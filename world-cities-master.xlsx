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Master List" sheetId="2" state="visible" r:id="rId2"/>
    <sheet xmlns:r="http://schemas.openxmlformats.org/officeDocument/2006/relationships" name="Second Tier Cities" sheetId="3" state="visible" r:id="rId3"/>
  </sheets>
  <definedNames>
    <definedName name="_xlnm._FilterDatabase" localSheetId="1" hidden="1">'Master List'!$A$1:$Q$6219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85E3F"/>
        <bgColor rgb="FF00808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7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7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3" fontId="0" fillId="0" borderId="0" pivotButton="0" quotePrefix="0" xfId="0"/>
    <xf numFmtId="3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85E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5E3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1" min="1" max="1"/>
    <col width="10" customWidth="1" style="11" min="2" max="2"/>
    <col width="110" customWidth="1" style="11" min="3" max="3"/>
  </cols>
  <sheetData>
    <row r="1" ht="17.35" customHeight="1" s="12">
      <c r="A1" s="13" t="inlineStr">
        <is>
          <t>Never Roam Alone — Master City List</t>
        </is>
      </c>
    </row>
    <row r="3" ht="15" customHeight="1" s="12">
      <c r="A3" s="11" t="inlineStr">
        <is>
          <t>Generated</t>
        </is>
      </c>
      <c r="B3" s="11" t="inlineStr">
        <is>
          <t>July 7, 2026</t>
        </is>
      </c>
    </row>
    <row r="4" ht="15" customHeight="1" s="12">
      <c r="A4" s="14" t="inlineStr">
        <is>
          <t>Visitor Score weights (change these to re-blend the score):</t>
        </is>
      </c>
    </row>
    <row r="5" ht="28.35" customHeight="1" s="12">
      <c r="A5" s="11" t="inlineStr">
        <is>
          <t>Aviation hub weight</t>
        </is>
      </c>
      <c r="B5" s="15" t="n">
        <v>0.4</v>
      </c>
      <c r="C5" s="16" t="inlineStr">
        <is>
          <t>Flight-traffic rank of the busiest airport serving the city. Source: OpenTravelData ref_airport_pageranked.csv (flight schedules), July 2026, log-scaled so 1.0 = world #1 (Istanbul).</t>
        </is>
      </c>
    </row>
    <row r="6" ht="28.35" customHeight="1" s="12">
      <c r="A6" s="11" t="inlineStr">
        <is>
          <t>Tourism index weight</t>
        </is>
      </c>
      <c r="B6" s="15" t="n">
        <v>0.4</v>
      </c>
      <c r="C6" s="16" t="inlineStr">
        <is>
          <t>1.0 if the city appears on Euromonitor Top 100 City Destinations (via the site's 101 featured cities) or Mastercard Global Destination Cities Index Top 20 (2019, final edition).</t>
        </is>
      </c>
    </row>
    <row r="7" ht="28.35" customHeight="1" s="12">
      <c r="A7" s="11" t="inlineStr">
        <is>
          <t>POI density weight</t>
        </is>
      </c>
      <c r="B7" s="15" t="n">
        <v>0.2</v>
      </c>
      <c r="C7" s="16" t="inlineStr">
        <is>
          <t>Hotel/hostel/attraction density from OpenStreetMap. Not filled yet — run poi-density.mjs on your Mac to fill it. Until then the score auto-renormalizes to 50/50 aviation/index.</t>
        </is>
      </c>
    </row>
    <row r="9" ht="108.95" customHeight="1" s="12">
      <c r="A9" s="16" t="inlineStr">
        <is>
          <t>Inclusion criteria (any one): population ≥100,000 · national capital · population ≥20,000 with own commercial airport (IATA, scheduled service, city match or ≤10 km) · on a tourism index.</t>
        </is>
      </c>
    </row>
    <row r="10" ht="82.05" customHeight="1" s="12">
      <c r="A10" s="16" t="inlineStr">
        <is>
          <t>City data: GeoNames (via all-the-cities). Airports: OurAirports, July 2026. Population figures are the latest in GeoNames and may lag official censuses.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9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1" min="1" max="1"/>
    <col width="20" customWidth="1" style="11" min="2" max="2"/>
    <col width="6" customWidth="1" style="11" min="3" max="3"/>
    <col width="8" customWidth="1" style="11" min="4" max="4"/>
    <col width="12" customWidth="1" style="11" min="5" max="5"/>
    <col width="8" customWidth="1" style="11" min="6" max="6"/>
    <col width="10" customWidth="1" style="11" min="7" max="7"/>
    <col width="34" customWidth="1" style="11" min="8" max="8"/>
    <col width="9" customWidth="1" style="11" min="9" max="9"/>
    <col width="18" customWidth="1" style="11" min="10" max="10"/>
    <col width="24" customWidth="1" style="11" min="11" max="11"/>
    <col width="9" customWidth="1" style="11" min="12" max="14"/>
    <col width="10" customWidth="1" style="11" min="15" max="17"/>
  </cols>
  <sheetData>
    <row r="1" ht="15" customHeight="1" s="12">
      <c r="A1" s="17" t="inlineStr">
        <is>
          <t>City</t>
        </is>
      </c>
      <c r="B1" s="17" t="inlineStr">
        <is>
          <t>Country</t>
        </is>
      </c>
      <c r="C1" s="11" t="inlineStr">
        <is>
          <t>Country Population</t>
        </is>
      </c>
      <c r="D1" s="17" t="inlineStr">
        <is>
          <t>ISO</t>
        </is>
      </c>
      <c r="E1" s="17" t="inlineStr">
        <is>
          <t>Admin</t>
        </is>
      </c>
      <c r="F1" s="17" t="inlineStr">
        <is>
          <t>Population</t>
        </is>
      </c>
      <c r="G1" s="17" t="inlineStr">
        <is>
          <t>Capital</t>
        </is>
      </c>
      <c r="H1" s="17" t="inlineStr">
        <is>
          <t>Main airport (IATA)</t>
        </is>
      </c>
      <c r="I1" s="17" t="inlineStr">
        <is>
          <t>Airport name</t>
        </is>
      </c>
      <c r="J1" s="17" t="inlineStr">
        <is>
          <t>Airport dist (km)</t>
        </is>
      </c>
      <c r="K1" s="17" t="inlineStr">
        <is>
          <t>All nearby airports</t>
        </is>
      </c>
      <c r="L1" s="17" t="inlineStr">
        <is>
          <t>Qualifies by</t>
        </is>
      </c>
      <c r="M1" s="17" t="inlineStr">
        <is>
          <t>Aviation score</t>
        </is>
      </c>
      <c r="N1" s="17" t="inlineStr">
        <is>
          <t>Index score</t>
        </is>
      </c>
      <c r="O1" s="17" t="inlineStr">
        <is>
          <t>POI score (pending)</t>
        </is>
      </c>
      <c r="P1" s="17" t="inlineStr">
        <is>
          <t>Visitor Score</t>
        </is>
      </c>
      <c r="Q1" s="17" t="inlineStr">
        <is>
          <t>Latitude</t>
        </is>
      </c>
      <c r="R1" s="17" t="inlineStr">
        <is>
          <t>Longitude</t>
        </is>
      </c>
    </row>
    <row r="2" ht="15" customHeight="1" s="12">
      <c r="A2" s="18" t="inlineStr">
        <is>
          <t>Istanbul</t>
        </is>
      </c>
      <c r="B2" s="18" t="inlineStr">
        <is>
          <t>Türkiye</t>
        </is>
      </c>
      <c r="C2" s="19" t="n">
        <v>86092168</v>
      </c>
      <c r="D2" s="18" t="inlineStr">
        <is>
          <t>TR</t>
        </is>
      </c>
      <c r="E2" s="18" t="inlineStr">
        <is>
          <t>34</t>
        </is>
      </c>
      <c r="F2" s="20" t="n">
        <v>14804116</v>
      </c>
      <c r="G2" s="18" t="n"/>
      <c r="H2" s="18" t="inlineStr">
        <is>
          <t>IST</t>
        </is>
      </c>
      <c r="I2" s="18" t="inlineStr">
        <is>
          <t>İstanbul Airport</t>
        </is>
      </c>
      <c r="J2" s="21" t="n">
        <v>34.3</v>
      </c>
      <c r="K2" s="18" t="inlineStr">
        <is>
          <t>IST</t>
        </is>
      </c>
      <c r="L2" s="18" t="inlineStr">
        <is>
          <t>100k +  pop + airport</t>
        </is>
      </c>
      <c r="M2" s="22" t="n">
        <v>1</v>
      </c>
      <c r="N2" s="22" t="n">
        <v>1</v>
      </c>
      <c r="O2" s="18" t="n"/>
      <c r="P2" s="22">
        <f>IF(O2="",(About!$B$5*M2+About!$B$6*N2)/(About!$B$5+About!$B$6),About!$B$5*M2+About!$B$6*N2+About!$B$7*O2)</f>
        <v/>
      </c>
      <c r="Q2" s="23" t="n">
        <v>41.0138</v>
      </c>
      <c r="R2" s="23" t="n">
        <v>28.9497</v>
      </c>
    </row>
    <row r="3" ht="15" customHeight="1" s="12">
      <c r="A3" s="18" t="inlineStr">
        <is>
          <t>Frankfurt am Main</t>
        </is>
      </c>
      <c r="B3" s="18" t="inlineStr">
        <is>
          <t>Germany</t>
        </is>
      </c>
      <c r="C3" s="19" t="n">
        <v>83497147</v>
      </c>
      <c r="D3" s="18" t="inlineStr">
        <is>
          <t>DE</t>
        </is>
      </c>
      <c r="E3" s="18" t="inlineStr">
        <is>
          <t>05</t>
        </is>
      </c>
      <c r="F3" s="20" t="n">
        <v>650000</v>
      </c>
      <c r="G3" s="18" t="n"/>
      <c r="H3" s="18" t="inlineStr">
        <is>
          <t>FRA</t>
        </is>
      </c>
      <c r="I3" s="18" t="inlineStr">
        <is>
          <t>Frankfurt Main Airport</t>
        </is>
      </c>
      <c r="J3" s="21" t="n">
        <v>13.3</v>
      </c>
      <c r="K3" s="18" t="inlineStr">
        <is>
          <t>FRA</t>
        </is>
      </c>
      <c r="L3" s="18" t="inlineStr">
        <is>
          <t>100k +  pop + airport</t>
        </is>
      </c>
      <c r="M3" s="22" t="n">
        <v>0.963</v>
      </c>
      <c r="N3" s="22" t="n">
        <v>1</v>
      </c>
      <c r="O3" s="18" t="n"/>
      <c r="P3" s="22">
        <f>IF(O3="",(About!$B$5*M3+About!$B$6*N3)/(About!$B$5+About!$B$6),About!$B$5*M3+About!$B$6*N3+About!$B$7*O3)</f>
        <v/>
      </c>
      <c r="Q3" s="23" t="n">
        <v>50.1155</v>
      </c>
      <c r="R3" s="23" t="n">
        <v>8.684200000000001</v>
      </c>
    </row>
    <row r="4" ht="15" customHeight="1" s="12">
      <c r="A4" s="18" t="inlineStr">
        <is>
          <t>London</t>
        </is>
      </c>
      <c r="B4" s="18" t="inlineStr">
        <is>
          <t>United Kingdom</t>
        </is>
      </c>
      <c r="C4" s="19" t="n">
        <v>69487000</v>
      </c>
      <c r="D4" s="18" t="inlineStr">
        <is>
          <t>GB</t>
        </is>
      </c>
      <c r="E4" s="18" t="inlineStr">
        <is>
          <t>ENG</t>
        </is>
      </c>
      <c r="F4" s="20" t="n">
        <v>7556900</v>
      </c>
      <c r="G4" s="18" t="inlineStr">
        <is>
          <t>Yes</t>
        </is>
      </c>
      <c r="H4" s="18" t="inlineStr">
        <is>
          <t>LHR</t>
        </is>
      </c>
      <c r="I4" s="18" t="inlineStr">
        <is>
          <t>London Heathrow Airport</t>
        </is>
      </c>
      <c r="J4" s="21" t="n">
        <v>23.5</v>
      </c>
      <c r="K4" s="18" t="inlineStr">
        <is>
          <t>LCY+LGW+LHR</t>
        </is>
      </c>
      <c r="L4" s="18" t="inlineStr">
        <is>
          <t>100k +  pop + capital + airport</t>
        </is>
      </c>
      <c r="M4" s="22" t="n">
        <v>0.954</v>
      </c>
      <c r="N4" s="22" t="n">
        <v>1</v>
      </c>
      <c r="O4" s="18" t="n"/>
      <c r="P4" s="22">
        <f>IF(O4="",(About!$B$5*M4+About!$B$6*N4)/(About!$B$5+About!$B$6),About!$B$5*M4+About!$B$6*N4+About!$B$7*O4)</f>
        <v/>
      </c>
      <c r="Q4" s="23" t="n">
        <v>51.5085</v>
      </c>
      <c r="R4" s="23" t="n">
        <v>-0.1257</v>
      </c>
    </row>
    <row r="5" ht="15" customHeight="1" s="12">
      <c r="A5" s="18" t="inlineStr">
        <is>
          <t>New York City</t>
        </is>
      </c>
      <c r="B5" s="18" t="inlineStr">
        <is>
          <t>United States</t>
        </is>
      </c>
      <c r="C5" s="19" t="n">
        <v>341784857</v>
      </c>
      <c r="D5" s="18" t="inlineStr">
        <is>
          <t>US</t>
        </is>
      </c>
      <c r="E5" s="18" t="inlineStr">
        <is>
          <t>NY</t>
        </is>
      </c>
      <c r="F5" s="20" t="n">
        <v>8922483</v>
      </c>
      <c r="G5" s="18" t="n"/>
      <c r="H5" s="18" t="inlineStr">
        <is>
          <t>JFK</t>
        </is>
      </c>
      <c r="I5" s="18" t="inlineStr">
        <is>
          <t>John F. Kennedy International Airport</t>
        </is>
      </c>
      <c r="J5" s="21" t="n">
        <v>20.8</v>
      </c>
      <c r="K5" s="18" t="inlineStr">
        <is>
          <t>EWR+JFK+JRA+LGA+NYS+TEB+TSS</t>
        </is>
      </c>
      <c r="L5" s="18" t="inlineStr">
        <is>
          <t>100k +  pop + airport</t>
        </is>
      </c>
      <c r="M5" s="22" t="n">
        <v>0.9429999999999999</v>
      </c>
      <c r="N5" s="22" t="n">
        <v>1</v>
      </c>
      <c r="O5" s="18" t="n"/>
      <c r="P5" s="22">
        <f>IF(O5="",(About!$B$5*M5+About!$B$6*N5)/(About!$B$5+About!$B$6),About!$B$5*M5+About!$B$6*N5+About!$B$7*O5)</f>
        <v/>
      </c>
      <c r="Q5" s="23" t="n">
        <v>40.7143</v>
      </c>
      <c r="R5" s="23" t="n">
        <v>-74.006</v>
      </c>
    </row>
    <row r="6" ht="15" customHeight="1" s="12">
      <c r="A6" s="18" t="inlineStr">
        <is>
          <t>Paris</t>
        </is>
      </c>
      <c r="B6" s="18" t="inlineStr">
        <is>
          <t>France</t>
        </is>
      </c>
      <c r="C6" s="19" t="n">
        <v>69081996</v>
      </c>
      <c r="D6" s="18" t="inlineStr">
        <is>
          <t>FR</t>
        </is>
      </c>
      <c r="E6" s="18" t="inlineStr">
        <is>
          <t>11</t>
        </is>
      </c>
      <c r="F6" s="20" t="n">
        <v>4666813</v>
      </c>
      <c r="G6" s="18" t="inlineStr">
        <is>
          <t>Yes</t>
        </is>
      </c>
      <c r="H6" s="18" t="inlineStr">
        <is>
          <t>CDG</t>
        </is>
      </c>
      <c r="I6" s="18" t="inlineStr">
        <is>
          <t>Charles de Gaulle International Airport</t>
        </is>
      </c>
      <c r="J6" s="21" t="n">
        <v>22.9</v>
      </c>
      <c r="K6" s="18" t="inlineStr">
        <is>
          <t>CDG+LBG+ORY</t>
        </is>
      </c>
      <c r="L6" s="18" t="inlineStr">
        <is>
          <t>100k +  pop + capital + airport</t>
        </is>
      </c>
      <c r="M6" s="22" t="n">
        <v>0.9379999999999999</v>
      </c>
      <c r="N6" s="22" t="n">
        <v>1</v>
      </c>
      <c r="O6" s="18" t="n"/>
      <c r="P6" s="22">
        <f>IF(O6="",(About!$B$5*M6+About!$B$6*N6)/(About!$B$5+About!$B$6),About!$B$5*M6+About!$B$6*N6+About!$B$7*O6)</f>
        <v/>
      </c>
      <c r="Q6" s="23" t="n">
        <v>48.8534</v>
      </c>
      <c r="R6" s="23" t="n">
        <v>2.3488</v>
      </c>
    </row>
    <row r="7" ht="15" customHeight="1" s="12">
      <c r="A7" s="18" t="inlineStr">
        <is>
          <t>Marne-la-Vallée</t>
        </is>
      </c>
      <c r="B7" s="18" t="inlineStr">
        <is>
          <t>France</t>
        </is>
      </c>
      <c r="C7" s="19" t="n">
        <v>69081996</v>
      </c>
      <c r="D7" s="18" t="inlineStr">
        <is>
          <t>FR</t>
        </is>
      </c>
      <c r="E7" s="18" t="inlineStr">
        <is>
          <t>11</t>
        </is>
      </c>
      <c r="F7" s="20" t="n">
        <v>320000</v>
      </c>
      <c r="G7" s="18" t="n"/>
      <c r="H7" s="18" t="n"/>
      <c r="I7" s="18" t="n"/>
      <c r="J7" s="18" t="n"/>
      <c r="K7" s="18" t="inlineStr">
        <is>
          <t>CDG</t>
        </is>
      </c>
      <c r="L7" s="18" t="inlineStr">
        <is>
          <t>index</t>
        </is>
      </c>
      <c r="M7" s="22" t="n">
        <v>0.9379999999999999</v>
      </c>
      <c r="N7" s="22" t="n">
        <v>1</v>
      </c>
      <c r="O7" s="18" t="n"/>
      <c r="P7" s="22">
        <f>IF(O7="",(About!$B$5*M7+About!$B$6*N7)/(About!$B$5+About!$B$6),About!$B$5*M7+About!$B$6*N7+About!$B$7*O7)</f>
        <v/>
      </c>
      <c r="Q7" s="23" t="n">
        <v>48.8547</v>
      </c>
      <c r="R7" s="23" t="n">
        <v>2.7744</v>
      </c>
    </row>
    <row r="8" ht="15" customHeight="1" s="12">
      <c r="A8" s="18" t="inlineStr">
        <is>
          <t>Los Angeles</t>
        </is>
      </c>
      <c r="B8" s="18" t="inlineStr">
        <is>
          <t>United States</t>
        </is>
      </c>
      <c r="C8" s="19" t="n">
        <v>341784857</v>
      </c>
      <c r="D8" s="18" t="inlineStr">
        <is>
          <t>US</t>
        </is>
      </c>
      <c r="E8" s="18" t="inlineStr">
        <is>
          <t>CA</t>
        </is>
      </c>
      <c r="F8" s="20" t="n">
        <v>3971883</v>
      </c>
      <c r="G8" s="18" t="n"/>
      <c r="H8" s="18" t="inlineStr">
        <is>
          <t>LAX</t>
        </is>
      </c>
      <c r="I8" s="18" t="inlineStr">
        <is>
          <t>Los Angeles International Airport</t>
        </is>
      </c>
      <c r="J8" s="21" t="n">
        <v>19.5</v>
      </c>
      <c r="K8" s="18" t="inlineStr">
        <is>
          <t>BUR+HHR+LAX</t>
        </is>
      </c>
      <c r="L8" s="18" t="inlineStr">
        <is>
          <t>100k +  pop + airport</t>
        </is>
      </c>
      <c r="M8" s="22" t="n">
        <v>0.9320000000000001</v>
      </c>
      <c r="N8" s="22" t="n">
        <v>1</v>
      </c>
      <c r="O8" s="18" t="n"/>
      <c r="P8" s="22">
        <f>IF(O8="",(About!$B$5*M8+About!$B$6*N8)/(About!$B$5+About!$B$6),About!$B$5*M8+About!$B$6*N8+About!$B$7*O8)</f>
        <v/>
      </c>
      <c r="Q8" s="23" t="n">
        <v>34.0522</v>
      </c>
      <c r="R8" s="23" t="n">
        <v>-118.2437</v>
      </c>
    </row>
    <row r="9" ht="15" customHeight="1" s="12">
      <c r="A9" s="18" t="inlineStr">
        <is>
          <t>Amsterdam</t>
        </is>
      </c>
      <c r="B9" s="18" t="inlineStr">
        <is>
          <t>Netherlands</t>
        </is>
      </c>
      <c r="C9" s="19" t="n">
        <v>18147273</v>
      </c>
      <c r="D9" s="18" t="inlineStr">
        <is>
          <t>NL</t>
        </is>
      </c>
      <c r="E9" s="18" t="inlineStr">
        <is>
          <t>07</t>
        </is>
      </c>
      <c r="F9" s="20" t="n">
        <v>741636</v>
      </c>
      <c r="G9" s="18" t="inlineStr">
        <is>
          <t>Yes</t>
        </is>
      </c>
      <c r="H9" s="18" t="inlineStr">
        <is>
          <t>AMS</t>
        </is>
      </c>
      <c r="I9" s="18" t="inlineStr">
        <is>
          <t>Amsterdam Airport Schiphol</t>
        </is>
      </c>
      <c r="J9" s="21" t="n">
        <v>11.2</v>
      </c>
      <c r="K9" s="18" t="inlineStr">
        <is>
          <t>AMS</t>
        </is>
      </c>
      <c r="L9" s="18" t="inlineStr">
        <is>
          <t>100k +  pop + capital + airport</t>
        </is>
      </c>
      <c r="M9" s="22" t="n">
        <v>0.931</v>
      </c>
      <c r="N9" s="22" t="n">
        <v>1</v>
      </c>
      <c r="O9" s="18" t="n"/>
      <c r="P9" s="22">
        <f>IF(O9="",(About!$B$5*M9+About!$B$6*N9)/(About!$B$5+About!$B$6),About!$B$5*M9+About!$B$6*N9+About!$B$7*O9)</f>
        <v/>
      </c>
      <c r="Q9" s="23" t="n">
        <v>52.374</v>
      </c>
      <c r="R9" s="23" t="n">
        <v>4.8897</v>
      </c>
    </row>
    <row r="10" ht="15" customHeight="1" s="12">
      <c r="A10" s="18" t="inlineStr">
        <is>
          <t>San Francisco</t>
        </is>
      </c>
      <c r="B10" s="18" t="inlineStr">
        <is>
          <t>United States</t>
        </is>
      </c>
      <c r="C10" s="19" t="n">
        <v>341784857</v>
      </c>
      <c r="D10" s="18" t="inlineStr">
        <is>
          <t>US</t>
        </is>
      </c>
      <c r="E10" s="18" t="inlineStr">
        <is>
          <t>CA</t>
        </is>
      </c>
      <c r="F10" s="20" t="n">
        <v>864816</v>
      </c>
      <c r="G10" s="18" t="n"/>
      <c r="H10" s="18" t="inlineStr">
        <is>
          <t>SFO</t>
        </is>
      </c>
      <c r="I10" s="18" t="inlineStr">
        <is>
          <t>San Francisco International Airport</t>
        </is>
      </c>
      <c r="J10" s="21" t="n">
        <v>17.7</v>
      </c>
      <c r="K10" s="18" t="inlineStr">
        <is>
          <t>OAK+SFO</t>
        </is>
      </c>
      <c r="L10" s="18" t="inlineStr">
        <is>
          <t>100k +  pop + airport</t>
        </is>
      </c>
      <c r="M10" s="22" t="n">
        <v>0.92</v>
      </c>
      <c r="N10" s="22" t="n">
        <v>1</v>
      </c>
      <c r="O10" s="18" t="n"/>
      <c r="P10" s="22">
        <f>IF(O10="",(About!$B$5*M10+About!$B$6*N10)/(About!$B$5+About!$B$6),About!$B$5*M10+About!$B$6*N10+About!$B$7*O10)</f>
        <v/>
      </c>
      <c r="Q10" s="23" t="n">
        <v>37.7749</v>
      </c>
      <c r="R10" s="23" t="n">
        <v>-122.4194</v>
      </c>
    </row>
    <row r="11" ht="15" customHeight="1" s="12">
      <c r="A11" s="18" t="inlineStr">
        <is>
          <t>Tokyo</t>
        </is>
      </c>
      <c r="B11" s="18" t="inlineStr">
        <is>
          <t>Japan</t>
        </is>
      </c>
      <c r="C11" s="19" t="n">
        <v>122810000</v>
      </c>
      <c r="D11" s="18" t="inlineStr">
        <is>
          <t>JP</t>
        </is>
      </c>
      <c r="E11" s="18" t="inlineStr">
        <is>
          <t>40</t>
        </is>
      </c>
      <c r="F11" s="20" t="n">
        <v>15674774</v>
      </c>
      <c r="G11" s="18" t="inlineStr">
        <is>
          <t>Yes</t>
        </is>
      </c>
      <c r="H11" s="18" t="inlineStr">
        <is>
          <t>HND</t>
        </is>
      </c>
      <c r="I11" s="18" t="inlineStr">
        <is>
          <t>Tokyo Haneda International Airport</t>
        </is>
      </c>
      <c r="J11" s="21" t="n">
        <v>17.8</v>
      </c>
      <c r="K11" s="18" t="inlineStr">
        <is>
          <t>HND</t>
        </is>
      </c>
      <c r="L11" s="18" t="inlineStr">
        <is>
          <t>100k +  pop + capital + airport</t>
        </is>
      </c>
      <c r="M11" s="22" t="n">
        <v>0.908</v>
      </c>
      <c r="N11" s="22" t="n">
        <v>1</v>
      </c>
      <c r="O11" s="18" t="n"/>
      <c r="P11" s="22">
        <f>IF(O11="",(About!$B$5*M11+About!$B$6*N11)/(About!$B$5+About!$B$6),About!$B$5*M11+About!$B$6*N11+About!$B$7*O11)</f>
        <v/>
      </c>
      <c r="Q11" s="23" t="n">
        <v>35.6895</v>
      </c>
      <c r="R11" s="23" t="n">
        <v>139.6917</v>
      </c>
    </row>
    <row r="12" ht="15" customHeight="1" s="12">
      <c r="A12" s="18" t="inlineStr">
        <is>
          <t>Sydney</t>
        </is>
      </c>
      <c r="B12" s="18" t="inlineStr">
        <is>
          <t>Australia</t>
        </is>
      </c>
      <c r="C12" s="19" t="n">
        <v>27724744</v>
      </c>
      <c r="D12" s="18" t="inlineStr">
        <is>
          <t>AU</t>
        </is>
      </c>
      <c r="E12" s="18" t="inlineStr">
        <is>
          <t>02</t>
        </is>
      </c>
      <c r="F12" s="20" t="n">
        <v>4627345</v>
      </c>
      <c r="G12" s="18" t="n"/>
      <c r="H12" s="18" t="inlineStr">
        <is>
          <t>SYD</t>
        </is>
      </c>
      <c r="I12" s="18" t="inlineStr">
        <is>
          <t>Sydney Kingsford Smith International Airport</t>
        </is>
      </c>
      <c r="J12" s="21" t="n">
        <v>9.1</v>
      </c>
      <c r="K12" s="18" t="inlineStr">
        <is>
          <t>LBH+SYD+WSI</t>
        </is>
      </c>
      <c r="L12" s="18" t="inlineStr">
        <is>
          <t>100k +  pop + airport</t>
        </is>
      </c>
      <c r="M12" s="22" t="n">
        <v>0.909</v>
      </c>
      <c r="N12" s="22" t="n">
        <v>1</v>
      </c>
      <c r="O12" s="18" t="n"/>
      <c r="P12" s="22">
        <f>IF(O12="",(About!$B$5*M12+About!$B$6*N12)/(About!$B$5+About!$B$6),About!$B$5*M12+About!$B$6*N12+About!$B$7*O12)</f>
        <v/>
      </c>
      <c r="Q12" s="23" t="n">
        <v>-33.8678</v>
      </c>
      <c r="R12" s="23" t="n">
        <v>151.2073</v>
      </c>
    </row>
    <row r="13" ht="15" customHeight="1" s="12">
      <c r="A13" s="18" t="inlineStr">
        <is>
          <t>Las Vegas</t>
        </is>
      </c>
      <c r="B13" s="18" t="inlineStr">
        <is>
          <t>United States</t>
        </is>
      </c>
      <c r="C13" s="19" t="n">
        <v>341784857</v>
      </c>
      <c r="D13" s="18" t="inlineStr">
        <is>
          <t>US</t>
        </is>
      </c>
      <c r="E13" s="18" t="inlineStr">
        <is>
          <t>NV</t>
        </is>
      </c>
      <c r="F13" s="20" t="n">
        <v>846914</v>
      </c>
      <c r="G13" s="18" t="n"/>
      <c r="H13" s="18" t="inlineStr">
        <is>
          <t>LAS</t>
        </is>
      </c>
      <c r="I13" s="18" t="inlineStr">
        <is>
          <t>Harry Reid International Airport</t>
        </is>
      </c>
      <c r="J13" s="21" t="n">
        <v>10.3</v>
      </c>
      <c r="K13" s="18" t="inlineStr">
        <is>
          <t>LAS</t>
        </is>
      </c>
      <c r="L13" s="18" t="inlineStr">
        <is>
          <t>100k +  pop + airport</t>
        </is>
      </c>
      <c r="M13" s="22" t="n">
        <v>0.905</v>
      </c>
      <c r="N13" s="22" t="n">
        <v>1</v>
      </c>
      <c r="O13" s="18" t="n"/>
      <c r="P13" s="22">
        <f>IF(O13="",(About!$B$5*M13+About!$B$6*N13)/(About!$B$5+About!$B$6),About!$B$5*M13+About!$B$6*N13+About!$B$7*O13)</f>
        <v/>
      </c>
      <c r="Q13" s="23" t="n">
        <v>36.175</v>
      </c>
      <c r="R13" s="23" t="n">
        <v>-115.1372</v>
      </c>
    </row>
    <row r="14" ht="15" customHeight="1" s="12">
      <c r="A14" s="18" t="inlineStr">
        <is>
          <t>Dubai</t>
        </is>
      </c>
      <c r="B14" s="18" t="inlineStr">
        <is>
          <t>UAE</t>
        </is>
      </c>
      <c r="C14" s="19" t="n">
        <v>11294243</v>
      </c>
      <c r="D14" s="18" t="inlineStr">
        <is>
          <t>AE</t>
        </is>
      </c>
      <c r="E14" s="18" t="inlineStr">
        <is>
          <t>03</t>
        </is>
      </c>
      <c r="F14" s="20" t="n">
        <v>2956587</v>
      </c>
      <c r="G14" s="18" t="n"/>
      <c r="H14" s="18" t="inlineStr">
        <is>
          <t>DXB</t>
        </is>
      </c>
      <c r="I14" s="18" t="inlineStr">
        <is>
          <t>Dubai International Airport</t>
        </is>
      </c>
      <c r="J14" s="21" t="n">
        <v>20.2</v>
      </c>
      <c r="K14" s="18" t="inlineStr">
        <is>
          <t>DWC+DXB</t>
        </is>
      </c>
      <c r="L14" s="18" t="inlineStr">
        <is>
          <t>100k +  pop + airport</t>
        </is>
      </c>
      <c r="M14" s="22" t="n">
        <v>0.904</v>
      </c>
      <c r="N14" s="22" t="n">
        <v>1</v>
      </c>
      <c r="O14" s="18" t="n"/>
      <c r="P14" s="22">
        <f>IF(O14="",(About!$B$5*M14+About!$B$6*N14)/(About!$B$5+About!$B$6),About!$B$5*M14+About!$B$6*N14+About!$B$7*O14)</f>
        <v/>
      </c>
      <c r="Q14" s="23" t="n">
        <v>25.0772</v>
      </c>
      <c r="R14" s="23" t="n">
        <v>55.3093</v>
      </c>
    </row>
    <row r="15" ht="15" customHeight="1" s="12">
      <c r="A15" s="18" t="inlineStr">
        <is>
          <t>Sharjah</t>
        </is>
      </c>
      <c r="B15" s="18" t="inlineStr">
        <is>
          <t>UAE</t>
        </is>
      </c>
      <c r="C15" s="19" t="n">
        <v>11294243</v>
      </c>
      <c r="D15" s="18" t="inlineStr">
        <is>
          <t>AE</t>
        </is>
      </c>
      <c r="E15" s="18" t="inlineStr">
        <is>
          <t>06</t>
        </is>
      </c>
      <c r="F15" s="20" t="n">
        <v>1324473</v>
      </c>
      <c r="G15" s="18" t="n"/>
      <c r="H15" s="18" t="inlineStr">
        <is>
          <t>DXB</t>
        </is>
      </c>
      <c r="I15" s="18" t="inlineStr">
        <is>
          <t>Dubai International Airport</t>
        </is>
      </c>
      <c r="J15" s="21" t="n">
        <v>10.6</v>
      </c>
      <c r="K15" s="18" t="inlineStr">
        <is>
          <t>DXB+SHJ</t>
        </is>
      </c>
      <c r="L15" s="18" t="inlineStr">
        <is>
          <t>100k +  pop + airport</t>
        </is>
      </c>
      <c r="M15" s="22" t="n">
        <v>0.904</v>
      </c>
      <c r="N15" s="22" t="n">
        <v>1</v>
      </c>
      <c r="O15" s="18" t="n"/>
      <c r="P15" s="22">
        <f>IF(O15="",(About!$B$5*M15+About!$B$6*N15)/(About!$B$5+About!$B$6),About!$B$5*M15+About!$B$6*N15+About!$B$7*O15)</f>
        <v/>
      </c>
      <c r="Q15" s="23" t="n">
        <v>25.3374</v>
      </c>
      <c r="R15" s="23" t="n">
        <v>55.4121</v>
      </c>
    </row>
    <row r="16" ht="15" customHeight="1" s="12">
      <c r="A16" s="18" t="inlineStr">
        <is>
          <t>Vienna</t>
        </is>
      </c>
      <c r="B16" s="18" t="inlineStr">
        <is>
          <t>Austria</t>
        </is>
      </c>
      <c r="C16" s="19" t="n">
        <v>9220882</v>
      </c>
      <c r="D16" s="18" t="inlineStr">
        <is>
          <t>AT</t>
        </is>
      </c>
      <c r="E16" s="18" t="inlineStr">
        <is>
          <t>09</t>
        </is>
      </c>
      <c r="F16" s="20" t="n">
        <v>1691468</v>
      </c>
      <c r="G16" s="18" t="inlineStr">
        <is>
          <t>Yes</t>
        </is>
      </c>
      <c r="H16" s="18" t="inlineStr">
        <is>
          <t>VIE</t>
        </is>
      </c>
      <c r="I16" s="18" t="inlineStr">
        <is>
          <t>Vienna International Airport</t>
        </is>
      </c>
      <c r="J16" s="21" t="n">
        <v>18.3</v>
      </c>
      <c r="K16" s="18" t="inlineStr">
        <is>
          <t>VIE</t>
        </is>
      </c>
      <c r="L16" s="18" t="inlineStr">
        <is>
          <t>100k +  pop + capital + airport</t>
        </is>
      </c>
      <c r="M16" s="22" t="n">
        <v>0.899</v>
      </c>
      <c r="N16" s="22" t="n">
        <v>1</v>
      </c>
      <c r="O16" s="18" t="n"/>
      <c r="P16" s="22">
        <f>IF(O16="",(About!$B$5*M16+About!$B$6*N16)/(About!$B$5+About!$B$6),About!$B$5*M16+About!$B$6*N16+About!$B$7*O16)</f>
        <v/>
      </c>
      <c r="Q16" s="23" t="n">
        <v>48.2085</v>
      </c>
      <c r="R16" s="23" t="n">
        <v>16.3721</v>
      </c>
    </row>
    <row r="17" ht="15" customHeight="1" s="12">
      <c r="A17" s="18" t="inlineStr">
        <is>
          <t>São Paulo</t>
        </is>
      </c>
      <c r="B17" s="18" t="inlineStr">
        <is>
          <t>Brazil</t>
        </is>
      </c>
      <c r="C17" s="19" t="n">
        <v>213421037</v>
      </c>
      <c r="D17" s="18" t="inlineStr">
        <is>
          <t>BR</t>
        </is>
      </c>
      <c r="E17" s="18" t="inlineStr">
        <is>
          <t>27</t>
        </is>
      </c>
      <c r="F17" s="20" t="n">
        <v>15627353</v>
      </c>
      <c r="G17" s="18" t="n"/>
      <c r="H17" s="18" t="inlineStr">
        <is>
          <t>GRU</t>
        </is>
      </c>
      <c r="I17" s="18" t="inlineStr">
        <is>
          <t>São Paulo/Guarulhos–Governor André Franco Montoro International Airport</t>
        </is>
      </c>
      <c r="J17" s="21" t="n">
        <v>21.3</v>
      </c>
      <c r="K17" s="18" t="inlineStr">
        <is>
          <t>CGH+GRU</t>
        </is>
      </c>
      <c r="L17" s="18" t="inlineStr">
        <is>
          <t>100k +  pop + airport</t>
        </is>
      </c>
      <c r="M17" s="22" t="n">
        <v>0.899</v>
      </c>
      <c r="N17" s="22" t="n">
        <v>1</v>
      </c>
      <c r="O17" s="18" t="n"/>
      <c r="P17" s="22">
        <f>IF(O17="",(About!$B$5*M17+About!$B$6*N17)/(About!$B$5+About!$B$6),About!$B$5*M17+About!$B$6*N17+About!$B$7*O17)</f>
        <v/>
      </c>
      <c r="Q17" s="23" t="n">
        <v>-23.5475</v>
      </c>
      <c r="R17" s="23" t="n">
        <v>-46.6361</v>
      </c>
    </row>
    <row r="18" ht="15" customHeight="1" s="12">
      <c r="A18" s="18" t="inlineStr">
        <is>
          <t>Doha</t>
        </is>
      </c>
      <c r="B18" s="18" t="inlineStr">
        <is>
          <t>Qatar</t>
        </is>
      </c>
      <c r="C18" s="19" t="n">
        <v>3214609</v>
      </c>
      <c r="D18" s="18" t="inlineStr">
        <is>
          <t>QA</t>
        </is>
      </c>
      <c r="E18" s="18" t="inlineStr">
        <is>
          <t>01</t>
        </is>
      </c>
      <c r="F18" s="20" t="n">
        <v>344939</v>
      </c>
      <c r="G18" s="18" t="inlineStr">
        <is>
          <t>Yes</t>
        </is>
      </c>
      <c r="H18" s="18" t="inlineStr">
        <is>
          <t>DOH</t>
        </is>
      </c>
      <c r="I18" s="18" t="inlineStr">
        <is>
          <t>Hamad International Airport</t>
        </is>
      </c>
      <c r="J18" s="21" t="n">
        <v>7.9</v>
      </c>
      <c r="K18" s="18" t="inlineStr">
        <is>
          <t>DIA+DOH</t>
        </is>
      </c>
      <c r="L18" s="18" t="inlineStr">
        <is>
          <t>100k +  pop + capital + airport</t>
        </is>
      </c>
      <c r="M18" s="22" t="n">
        <v>0.895</v>
      </c>
      <c r="N18" s="22" t="n">
        <v>1</v>
      </c>
      <c r="O18" s="18" t="n"/>
      <c r="P18" s="22">
        <f>IF(O18="",(About!$B$5*M18+About!$B$6*N18)/(About!$B$5+About!$B$6),About!$B$5*M18+About!$B$6*N18+About!$B$7*O18)</f>
        <v/>
      </c>
      <c r="Q18" s="23" t="n">
        <v>25.2855</v>
      </c>
      <c r="R18" s="23" t="n">
        <v>51.531</v>
      </c>
    </row>
    <row r="19" ht="15" customHeight="1" s="12">
      <c r="A19" s="18" t="inlineStr">
        <is>
          <t>Toronto</t>
        </is>
      </c>
      <c r="B19" s="18" t="inlineStr">
        <is>
          <t>Canada</t>
        </is>
      </c>
      <c r="C19" s="19" t="n">
        <v>41472081</v>
      </c>
      <c r="D19" s="18" t="inlineStr">
        <is>
          <t>CA</t>
        </is>
      </c>
      <c r="E19" s="18" t="inlineStr">
        <is>
          <t>08</t>
        </is>
      </c>
      <c r="F19" s="20" t="n">
        <v>2600000</v>
      </c>
      <c r="G19" s="18" t="n"/>
      <c r="H19" s="18" t="inlineStr">
        <is>
          <t>YYZ</t>
        </is>
      </c>
      <c r="I19" s="18" t="inlineStr">
        <is>
          <t>Toronto Pearson International Airport</t>
        </is>
      </c>
      <c r="J19" s="21" t="n">
        <v>17.3</v>
      </c>
      <c r="K19" s="18" t="inlineStr">
        <is>
          <t>YTZ+YYZ</t>
        </is>
      </c>
      <c r="L19" s="18" t="inlineStr">
        <is>
          <t>100k +  pop + airport</t>
        </is>
      </c>
      <c r="M19" s="22" t="n">
        <v>0.889</v>
      </c>
      <c r="N19" s="22" t="n">
        <v>1</v>
      </c>
      <c r="O19" s="18" t="n"/>
      <c r="P19" s="22">
        <f>IF(O19="",(About!$B$5*M19+About!$B$6*N19)/(About!$B$5+About!$B$6),About!$B$5*M19+About!$B$6*N19+About!$B$7*O19)</f>
        <v/>
      </c>
      <c r="Q19" s="23" t="n">
        <v>43.7001</v>
      </c>
      <c r="R19" s="23" t="n">
        <v>-79.41630000000001</v>
      </c>
    </row>
    <row r="20" ht="15" customHeight="1" s="12">
      <c r="A20" s="18" t="inlineStr">
        <is>
          <t>Barcelona</t>
        </is>
      </c>
      <c r="B20" s="18" t="inlineStr">
        <is>
          <t>Spain</t>
        </is>
      </c>
      <c r="C20" s="19" t="n">
        <v>49687120</v>
      </c>
      <c r="D20" s="18" t="inlineStr">
        <is>
          <t>ES</t>
        </is>
      </c>
      <c r="E20" s="18" t="inlineStr">
        <is>
          <t>56</t>
        </is>
      </c>
      <c r="F20" s="20" t="n">
        <v>3161012</v>
      </c>
      <c r="G20" s="18" t="n"/>
      <c r="H20" s="18" t="inlineStr">
        <is>
          <t>BCN</t>
        </is>
      </c>
      <c r="I20" s="18" t="inlineStr">
        <is>
          <t>Josep Tarradellas Barcelona-El Prat Airport</t>
        </is>
      </c>
      <c r="J20" s="21" t="n">
        <v>12.2</v>
      </c>
      <c r="K20" s="18" t="inlineStr">
        <is>
          <t>BCN</t>
        </is>
      </c>
      <c r="L20" s="18" t="inlineStr">
        <is>
          <t>100k +  pop + airport</t>
        </is>
      </c>
      <c r="M20" s="22" t="n">
        <v>0.889</v>
      </c>
      <c r="N20" s="22" t="n">
        <v>1</v>
      </c>
      <c r="O20" s="18" t="n"/>
      <c r="P20" s="22">
        <f>IF(O20="",(About!$B$5*M20+About!$B$6*N20)/(About!$B$5+About!$B$6),About!$B$5*M20+About!$B$6*N20+About!$B$7*O20)</f>
        <v/>
      </c>
      <c r="Q20" s="23" t="n">
        <v>41.3888</v>
      </c>
      <c r="R20" s="23" t="n">
        <v>2.159</v>
      </c>
    </row>
    <row r="21" ht="15" customHeight="1" s="12">
      <c r="A21" s="18" t="inlineStr">
        <is>
          <t>Munich</t>
        </is>
      </c>
      <c r="B21" s="18" t="inlineStr">
        <is>
          <t>Germany</t>
        </is>
      </c>
      <c r="C21" s="19" t="n">
        <v>83497147</v>
      </c>
      <c r="D21" s="18" t="inlineStr">
        <is>
          <t>DE</t>
        </is>
      </c>
      <c r="E21" s="18" t="inlineStr">
        <is>
          <t>02</t>
        </is>
      </c>
      <c r="F21" s="20" t="n">
        <v>1260391</v>
      </c>
      <c r="G21" s="18" t="n"/>
      <c r="H21" s="18" t="inlineStr">
        <is>
          <t>MUC</t>
        </is>
      </c>
      <c r="I21" s="18" t="inlineStr">
        <is>
          <t>Munich Airport</t>
        </is>
      </c>
      <c r="J21" s="21" t="n">
        <v>28.7</v>
      </c>
      <c r="K21" s="18" t="inlineStr">
        <is>
          <t>MUC</t>
        </is>
      </c>
      <c r="L21" s="18" t="inlineStr">
        <is>
          <t>100k +  pop + airport</t>
        </is>
      </c>
      <c r="M21" s="22" t="n">
        <v>0.886</v>
      </c>
      <c r="N21" s="22" t="n">
        <v>1</v>
      </c>
      <c r="O21" s="18" t="n"/>
      <c r="P21" s="22">
        <f>IF(O21="",(About!$B$5*M21+About!$B$6*N21)/(About!$B$5+About!$B$6),About!$B$5*M21+About!$B$6*N21+About!$B$7*O21)</f>
        <v/>
      </c>
      <c r="Q21" s="23" t="n">
        <v>48.1374</v>
      </c>
      <c r="R21" s="23" t="n">
        <v>11.5755</v>
      </c>
    </row>
    <row r="22" ht="15" customHeight="1" s="12">
      <c r="A22" s="18" t="inlineStr">
        <is>
          <t>Bangkok</t>
        </is>
      </c>
      <c r="B22" s="18" t="inlineStr">
        <is>
          <t>Thailand</t>
        </is>
      </c>
      <c r="C22" s="19" t="n">
        <v>65826149</v>
      </c>
      <c r="D22" s="18" t="inlineStr">
        <is>
          <t>TH</t>
        </is>
      </c>
      <c r="E22" s="18" t="inlineStr">
        <is>
          <t>40</t>
        </is>
      </c>
      <c r="F22" s="20" t="n">
        <v>5104476</v>
      </c>
      <c r="G22" s="18" t="inlineStr">
        <is>
          <t>Yes</t>
        </is>
      </c>
      <c r="H22" s="18" t="inlineStr">
        <is>
          <t>BKK</t>
        </is>
      </c>
      <c r="I22" s="18" t="inlineStr">
        <is>
          <t>Suvarnabhumi Airport</t>
        </is>
      </c>
      <c r="J22" s="21" t="n">
        <v>27.7</v>
      </c>
      <c r="K22" s="18" t="inlineStr">
        <is>
          <t>BKK+DMK</t>
        </is>
      </c>
      <c r="L22" s="18" t="inlineStr">
        <is>
          <t>100k +  pop + capital + airport</t>
        </is>
      </c>
      <c r="M22" s="22" t="n">
        <v>0.879</v>
      </c>
      <c r="N22" s="22" t="n">
        <v>1</v>
      </c>
      <c r="O22" s="18" t="n"/>
      <c r="P22" s="22">
        <f>IF(O22="",(About!$B$5*M22+About!$B$6*N22)/(About!$B$5+About!$B$6),About!$B$5*M22+About!$B$6*N22+About!$B$7*O22)</f>
        <v/>
      </c>
      <c r="Q22" s="23" t="n">
        <v>13.754</v>
      </c>
      <c r="R22" s="23" t="n">
        <v>100.5014</v>
      </c>
    </row>
    <row r="23" ht="15" customHeight="1" s="12">
      <c r="A23" s="18" t="inlineStr">
        <is>
          <t>Brussels</t>
        </is>
      </c>
      <c r="B23" s="18" t="inlineStr">
        <is>
          <t>Belgium</t>
        </is>
      </c>
      <c r="C23" s="19" t="n">
        <v>11933850</v>
      </c>
      <c r="D23" s="18" t="inlineStr">
        <is>
          <t>BE</t>
        </is>
      </c>
      <c r="E23" s="18" t="inlineStr">
        <is>
          <t>BRU</t>
        </is>
      </c>
      <c r="F23" s="20" t="n">
        <v>1019022</v>
      </c>
      <c r="G23" s="18" t="inlineStr">
        <is>
          <t>Yes</t>
        </is>
      </c>
      <c r="H23" s="18" t="inlineStr">
        <is>
          <t>BRU</t>
        </is>
      </c>
      <c r="I23" s="18" t="inlineStr">
        <is>
          <t>Brussels Airport</t>
        </is>
      </c>
      <c r="J23" s="21" t="n">
        <v>11.1</v>
      </c>
      <c r="K23" s="18" t="inlineStr">
        <is>
          <t>BRU</t>
        </is>
      </c>
      <c r="L23" s="18" t="inlineStr">
        <is>
          <t>100k +  pop + capital</t>
        </is>
      </c>
      <c r="M23" s="22" t="n">
        <v>0.879</v>
      </c>
      <c r="N23" s="22" t="n">
        <v>1</v>
      </c>
      <c r="O23" s="18" t="n"/>
      <c r="P23" s="22">
        <f>IF(O23="",(About!$B$5*M23+About!$B$6*N23)/(About!$B$5+About!$B$6),About!$B$5*M23+About!$B$6*N23+About!$B$7*O23)</f>
        <v/>
      </c>
      <c r="Q23" s="23" t="n">
        <v>50.8505</v>
      </c>
      <c r="R23" s="23" t="n">
        <v>4.3488</v>
      </c>
    </row>
    <row r="24" ht="15" customHeight="1" s="12">
      <c r="A24" s="18" t="inlineStr">
        <is>
          <t>Madrid</t>
        </is>
      </c>
      <c r="B24" s="18" t="inlineStr">
        <is>
          <t>Spain</t>
        </is>
      </c>
      <c r="C24" s="19" t="n">
        <v>49687120</v>
      </c>
      <c r="D24" s="18" t="inlineStr">
        <is>
          <t>ES</t>
        </is>
      </c>
      <c r="E24" s="18" t="inlineStr">
        <is>
          <t>29</t>
        </is>
      </c>
      <c r="F24" s="20" t="n">
        <v>4729915</v>
      </c>
      <c r="G24" s="18" t="inlineStr">
        <is>
          <t>Yes</t>
        </is>
      </c>
      <c r="H24" s="18" t="inlineStr">
        <is>
          <t>MAD</t>
        </is>
      </c>
      <c r="I24" s="18" t="inlineStr">
        <is>
          <t>Adolfo Suárez Madrid–Barajas Airport</t>
        </is>
      </c>
      <c r="J24" s="21" t="n">
        <v>14</v>
      </c>
      <c r="K24" s="18" t="inlineStr">
        <is>
          <t>MAD</t>
        </is>
      </c>
      <c r="L24" s="18" t="inlineStr">
        <is>
          <t>100k +  pop + capital + airport</t>
        </is>
      </c>
      <c r="M24" s="22" t="n">
        <v>0.874</v>
      </c>
      <c r="N24" s="22" t="n">
        <v>1</v>
      </c>
      <c r="O24" s="18" t="n"/>
      <c r="P24" s="22">
        <f>IF(O24="",(About!$B$5*M24+About!$B$6*N24)/(About!$B$5+About!$B$6),About!$B$5*M24+About!$B$6*N24+About!$B$7*O24)</f>
        <v/>
      </c>
      <c r="Q24" s="23" t="n">
        <v>40.4165</v>
      </c>
      <c r="R24" s="23" t="n">
        <v>-3.7026</v>
      </c>
    </row>
    <row r="25" ht="15" customHeight="1" s="12">
      <c r="A25" s="18" t="inlineStr">
        <is>
          <t>Vancouver</t>
        </is>
      </c>
      <c r="B25" s="18" t="inlineStr">
        <is>
          <t>Canada</t>
        </is>
      </c>
      <c r="C25" s="19" t="n">
        <v>41472081</v>
      </c>
      <c r="D25" s="18" t="inlineStr">
        <is>
          <t>CA</t>
        </is>
      </c>
      <c r="E25" s="18" t="inlineStr">
        <is>
          <t>02</t>
        </is>
      </c>
      <c r="F25" s="20" t="n">
        <v>600000</v>
      </c>
      <c r="G25" s="18" t="n"/>
      <c r="H25" s="18" t="inlineStr">
        <is>
          <t>YVR</t>
        </is>
      </c>
      <c r="I25" s="18" t="inlineStr">
        <is>
          <t>Vancouver International Airport</t>
        </is>
      </c>
      <c r="J25" s="21" t="n">
        <v>7.8</v>
      </c>
      <c r="K25" s="18" t="inlineStr">
        <is>
          <t>CXH+YVR</t>
        </is>
      </c>
      <c r="L25" s="18" t="inlineStr">
        <is>
          <t>100k +  pop + airport</t>
        </is>
      </c>
      <c r="M25" s="22" t="n">
        <v>0.873</v>
      </c>
      <c r="N25" s="22" t="n">
        <v>1</v>
      </c>
      <c r="O25" s="18" t="n"/>
      <c r="P25" s="22">
        <f>IF(O25="",(About!$B$5*M25+About!$B$6*N25)/(About!$B$5+About!$B$6),About!$B$5*M25+About!$B$6*N25+About!$B$7*O25)</f>
        <v/>
      </c>
      <c r="Q25" s="23" t="n">
        <v>49.2497</v>
      </c>
      <c r="R25" s="23" t="n">
        <v>-123.1193</v>
      </c>
    </row>
    <row r="26" ht="15" customHeight="1" s="12">
      <c r="A26" s="18" t="inlineStr">
        <is>
          <t>Shanghai</t>
        </is>
      </c>
      <c r="B26" s="18" t="inlineStr">
        <is>
          <t>China</t>
        </is>
      </c>
      <c r="C26" s="19" t="n">
        <v>1404890000</v>
      </c>
      <c r="D26" s="18" t="inlineStr">
        <is>
          <t>CN</t>
        </is>
      </c>
      <c r="E26" s="18" t="inlineStr">
        <is>
          <t>23</t>
        </is>
      </c>
      <c r="F26" s="20" t="n">
        <v>22315474</v>
      </c>
      <c r="G26" s="18" t="n"/>
      <c r="H26" s="18" t="inlineStr">
        <is>
          <t>SHA</t>
        </is>
      </c>
      <c r="I26" s="18" t="inlineStr">
        <is>
          <t>Shanghai Hongqiao International Airport</t>
        </is>
      </c>
      <c r="J26" s="21" t="n">
        <v>12.1</v>
      </c>
      <c r="K26" s="18" t="inlineStr">
        <is>
          <t>SHA</t>
        </is>
      </c>
      <c r="L26" s="18" t="inlineStr">
        <is>
          <t>100k +  pop</t>
        </is>
      </c>
      <c r="M26" s="22" t="n">
        <v>0.871</v>
      </c>
      <c r="N26" s="22" t="n">
        <v>1</v>
      </c>
      <c r="O26" s="18" t="n"/>
      <c r="P26" s="22">
        <f>IF(O26="",(About!$B$5*M26+About!$B$6*N26)/(About!$B$5+About!$B$6),About!$B$5*M26+About!$B$6*N26+About!$B$7*O26)</f>
        <v/>
      </c>
      <c r="Q26" s="23" t="n">
        <v>31.2222</v>
      </c>
      <c r="R26" s="23" t="n">
        <v>121.4581</v>
      </c>
    </row>
    <row r="27" ht="15" customHeight="1" s="12">
      <c r="A27" s="18" t="inlineStr">
        <is>
          <t>Delhi</t>
        </is>
      </c>
      <c r="B27" s="18" t="inlineStr">
        <is>
          <t>India</t>
        </is>
      </c>
      <c r="C27" s="19" t="n">
        <v>1417492000</v>
      </c>
      <c r="D27" s="18" t="inlineStr">
        <is>
          <t>IN</t>
        </is>
      </c>
      <c r="E27" s="18" t="inlineStr">
        <is>
          <t>07</t>
        </is>
      </c>
      <c r="F27" s="20" t="n">
        <v>13935222</v>
      </c>
      <c r="G27" s="18" t="n"/>
      <c r="H27" s="18" t="inlineStr">
        <is>
          <t>DEL</t>
        </is>
      </c>
      <c r="I27" s="18" t="inlineStr">
        <is>
          <t>Indira Gandhi International Airport</t>
        </is>
      </c>
      <c r="J27" s="21" t="n">
        <v>17.1</v>
      </c>
      <c r="K27" s="18" t="inlineStr">
        <is>
          <t>DEL+HDO</t>
        </is>
      </c>
      <c r="L27" s="18" t="inlineStr">
        <is>
          <t>100k +  pop</t>
        </is>
      </c>
      <c r="M27" s="22" t="n">
        <v>0.872</v>
      </c>
      <c r="N27" s="22" t="n">
        <v>1</v>
      </c>
      <c r="O27" s="18" t="n"/>
      <c r="P27" s="22">
        <f>IF(O27="",(About!$B$5*M27+About!$B$6*N27)/(About!$B$5+About!$B$6),About!$B$5*M27+About!$B$6*N27+About!$B$7*O27)</f>
        <v/>
      </c>
      <c r="Q27" s="23" t="n">
        <v>28.6519</v>
      </c>
      <c r="R27" s="23" t="n">
        <v>77.2315</v>
      </c>
    </row>
    <row r="28" ht="15" customHeight="1" s="12">
      <c r="A28" s="18" t="inlineStr">
        <is>
          <t>Miami</t>
        </is>
      </c>
      <c r="B28" s="18" t="inlineStr">
        <is>
          <t>United States</t>
        </is>
      </c>
      <c r="C28" s="19" t="n">
        <v>341784857</v>
      </c>
      <c r="D28" s="18" t="inlineStr">
        <is>
          <t>US</t>
        </is>
      </c>
      <c r="E28" s="18" t="inlineStr">
        <is>
          <t>FL</t>
        </is>
      </c>
      <c r="F28" s="20" t="n">
        <v>441003</v>
      </c>
      <c r="G28" s="18" t="n"/>
      <c r="H28" s="18" t="inlineStr">
        <is>
          <t>MIA</t>
        </is>
      </c>
      <c r="I28" s="18" t="inlineStr">
        <is>
          <t>Miami International Airport</t>
        </is>
      </c>
      <c r="J28" s="21" t="n">
        <v>9.9</v>
      </c>
      <c r="K28" s="18" t="inlineStr">
        <is>
          <t>MIA+OPF</t>
        </is>
      </c>
      <c r="L28" s="18" t="inlineStr">
        <is>
          <t>100k +  pop + airport</t>
        </is>
      </c>
      <c r="M28" s="22" t="n">
        <v>0.872</v>
      </c>
      <c r="N28" s="22" t="n">
        <v>1</v>
      </c>
      <c r="O28" s="18" t="n"/>
      <c r="P28" s="22">
        <f>IF(O28="",(About!$B$5*M28+About!$B$6*N28)/(About!$B$5+About!$B$6),About!$B$5*M28+About!$B$6*N28+About!$B$7*O28)</f>
        <v/>
      </c>
      <c r="Q28" s="23" t="n">
        <v>25.7743</v>
      </c>
      <c r="R28" s="23" t="n">
        <v>-80.19370000000001</v>
      </c>
    </row>
    <row r="29" ht="15" customHeight="1" s="12">
      <c r="A29" s="18" t="inlineStr">
        <is>
          <t>Zürich</t>
        </is>
      </c>
      <c r="B29" s="18" t="inlineStr">
        <is>
          <t>Switzerland</t>
        </is>
      </c>
      <c r="C29" s="19" t="n">
        <v>9124288</v>
      </c>
      <c r="D29" s="18" t="inlineStr">
        <is>
          <t>CH</t>
        </is>
      </c>
      <c r="E29" s="18" t="inlineStr">
        <is>
          <t>ZH</t>
        </is>
      </c>
      <c r="F29" s="20" t="n">
        <v>341730</v>
      </c>
      <c r="G29" s="18" t="n"/>
      <c r="H29" s="18" t="inlineStr">
        <is>
          <t>ZRH</t>
        </is>
      </c>
      <c r="I29" s="18" t="inlineStr">
        <is>
          <t>Zürich Airport</t>
        </is>
      </c>
      <c r="J29" s="21" t="n">
        <v>10.2</v>
      </c>
      <c r="K29" s="18" t="inlineStr">
        <is>
          <t>ZRH</t>
        </is>
      </c>
      <c r="L29" s="18" t="inlineStr">
        <is>
          <t>100k +  pop + airport</t>
        </is>
      </c>
      <c r="M29" s="22" t="n">
        <v>0.873</v>
      </c>
      <c r="N29" s="22" t="n">
        <v>1</v>
      </c>
      <c r="O29" s="18" t="n"/>
      <c r="P29" s="22">
        <f>IF(O29="",(About!$B$5*M29+About!$B$6*N29)/(About!$B$5+About!$B$6),About!$B$5*M29+About!$B$6*N29+About!$B$7*O29)</f>
        <v/>
      </c>
      <c r="Q29" s="23" t="n">
        <v>47.3667</v>
      </c>
      <c r="R29" s="23" t="n">
        <v>8.550000000000001</v>
      </c>
    </row>
    <row r="30" ht="15" customHeight="1" s="12">
      <c r="A30" s="18" t="inlineStr">
        <is>
          <t>Buenos Aires</t>
        </is>
      </c>
      <c r="B30" s="18" t="inlineStr">
        <is>
          <t>Argentina</t>
        </is>
      </c>
      <c r="C30" s="19" t="n">
        <v>46387098</v>
      </c>
      <c r="D30" s="18" t="inlineStr">
        <is>
          <t>AR</t>
        </is>
      </c>
      <c r="E30" s="18" t="inlineStr">
        <is>
          <t>07</t>
        </is>
      </c>
      <c r="F30" s="20" t="n">
        <v>13076300</v>
      </c>
      <c r="G30" s="18" t="inlineStr">
        <is>
          <t>Yes</t>
        </is>
      </c>
      <c r="H30" s="18" t="inlineStr">
        <is>
          <t>AEP</t>
        </is>
      </c>
      <c r="I30" s="18" t="inlineStr">
        <is>
          <t>Aeroparque Jorge Newbery</t>
        </is>
      </c>
      <c r="J30" s="21" t="n">
        <v>6.9</v>
      </c>
      <c r="K30" s="18" t="inlineStr">
        <is>
          <t>AEP</t>
        </is>
      </c>
      <c r="L30" s="18" t="inlineStr">
        <is>
          <t>100k +  pop + capital + airport</t>
        </is>
      </c>
      <c r="M30" s="22" t="n">
        <v>0.87</v>
      </c>
      <c r="N30" s="22" t="n">
        <v>1</v>
      </c>
      <c r="O30" s="18" t="n"/>
      <c r="P30" s="22">
        <f>IF(O30="",(About!$B$5*M30+About!$B$6*N30)/(About!$B$5+About!$B$6),About!$B$5*M30+About!$B$6*N30+About!$B$7*O30)</f>
        <v/>
      </c>
      <c r="Q30" s="23" t="n">
        <v>-34.6131</v>
      </c>
      <c r="R30" s="23" t="n">
        <v>-58.3772</v>
      </c>
    </row>
    <row r="31" ht="15" customHeight="1" s="12">
      <c r="A31" s="18" t="inlineStr">
        <is>
          <t>Orlando</t>
        </is>
      </c>
      <c r="B31" s="18" t="inlineStr">
        <is>
          <t>United States</t>
        </is>
      </c>
      <c r="C31" s="19" t="n">
        <v>341784857</v>
      </c>
      <c r="D31" s="18" t="inlineStr">
        <is>
          <t>US</t>
        </is>
      </c>
      <c r="E31" s="18" t="inlineStr">
        <is>
          <t>FL</t>
        </is>
      </c>
      <c r="F31" s="20" t="n">
        <v>270934</v>
      </c>
      <c r="G31" s="18" t="n"/>
      <c r="H31" s="18" t="inlineStr">
        <is>
          <t>MCO</t>
        </is>
      </c>
      <c r="I31" s="18" t="inlineStr">
        <is>
          <t>Orlando International Airport</t>
        </is>
      </c>
      <c r="J31" s="21" t="n">
        <v>13.9</v>
      </c>
      <c r="K31" s="18" t="inlineStr">
        <is>
          <t>MCO+SFB</t>
        </is>
      </c>
      <c r="L31" s="18" t="inlineStr">
        <is>
          <t>100k +  pop + airport</t>
        </is>
      </c>
      <c r="M31" s="22" t="n">
        <v>0.867</v>
      </c>
      <c r="N31" s="22" t="n">
        <v>1</v>
      </c>
      <c r="O31" s="18" t="n"/>
      <c r="P31" s="22">
        <f>IF(O31="",(About!$B$5*M31+About!$B$6*N31)/(About!$B$5+About!$B$6),About!$B$5*M31+About!$B$6*N31+About!$B$7*O31)</f>
        <v/>
      </c>
      <c r="Q31" s="23" t="n">
        <v>28.5383</v>
      </c>
      <c r="R31" s="23" t="n">
        <v>-81.3792</v>
      </c>
    </row>
    <row r="32" ht="15" customHeight="1" s="12">
      <c r="A32" s="18" t="inlineStr">
        <is>
          <t>Mexico City</t>
        </is>
      </c>
      <c r="B32" s="18" t="inlineStr">
        <is>
          <t>Mexico</t>
        </is>
      </c>
      <c r="C32" s="19" t="n">
        <v>131150866</v>
      </c>
      <c r="D32" s="18" t="inlineStr">
        <is>
          <t>MX</t>
        </is>
      </c>
      <c r="E32" s="18" t="inlineStr">
        <is>
          <t>09</t>
        </is>
      </c>
      <c r="F32" s="20" t="n">
        <v>20711221</v>
      </c>
      <c r="G32" s="18" t="inlineStr">
        <is>
          <t>Yes</t>
        </is>
      </c>
      <c r="H32" s="18" t="inlineStr">
        <is>
          <t>MEX</t>
        </is>
      </c>
      <c r="I32" s="18" t="inlineStr">
        <is>
          <t>Mexico City Benito Juárez International Airport</t>
        </is>
      </c>
      <c r="J32" s="21" t="n">
        <v>6.1</v>
      </c>
      <c r="K32" s="18" t="inlineStr">
        <is>
          <t>MEX+NLU</t>
        </is>
      </c>
      <c r="L32" s="18" t="inlineStr">
        <is>
          <t>100k +  pop + capital + airport</t>
        </is>
      </c>
      <c r="M32" s="22" t="n">
        <v>0.865</v>
      </c>
      <c r="N32" s="22" t="n">
        <v>1</v>
      </c>
      <c r="O32" s="18" t="n"/>
      <c r="P32" s="22">
        <f>IF(O32="",(About!$B$5*M32+About!$B$6*N32)/(About!$B$5+About!$B$6),About!$B$5*M32+About!$B$6*N32+About!$B$7*O32)</f>
        <v/>
      </c>
      <c r="Q32" s="23" t="n">
        <v>19.4285</v>
      </c>
      <c r="R32" s="23" t="n">
        <v>-99.1277</v>
      </c>
    </row>
    <row r="33" ht="15" customHeight="1" s="12">
      <c r="A33" s="18" t="inlineStr">
        <is>
          <t>Melbourne</t>
        </is>
      </c>
      <c r="B33" s="18" t="inlineStr">
        <is>
          <t>Australia</t>
        </is>
      </c>
      <c r="C33" s="19" t="n">
        <v>27724744</v>
      </c>
      <c r="D33" s="18" t="inlineStr">
        <is>
          <t>AU</t>
        </is>
      </c>
      <c r="E33" s="18" t="inlineStr">
        <is>
          <t>07</t>
        </is>
      </c>
      <c r="F33" s="20" t="n">
        <v>4246375</v>
      </c>
      <c r="G33" s="18" t="n"/>
      <c r="H33" s="18" t="inlineStr">
        <is>
          <t>MEL</t>
        </is>
      </c>
      <c r="I33" s="18" t="inlineStr">
        <is>
          <t>Melbourne Airport</t>
        </is>
      </c>
      <c r="J33" s="21" t="n">
        <v>19.4</v>
      </c>
      <c r="K33" s="18" t="inlineStr">
        <is>
          <t>MBW+MEB+MEL</t>
        </is>
      </c>
      <c r="L33" s="18" t="inlineStr">
        <is>
          <t>100k +  pop + airport</t>
        </is>
      </c>
      <c r="M33" s="22" t="n">
        <v>0.861</v>
      </c>
      <c r="N33" s="22" t="n">
        <v>1</v>
      </c>
      <c r="O33" s="18" t="n"/>
      <c r="P33" s="22">
        <f>IF(O33="",(About!$B$5*M33+About!$B$6*N33)/(About!$B$5+About!$B$6),About!$B$5*M33+About!$B$6*N33+About!$B$7*O33)</f>
        <v/>
      </c>
      <c r="Q33" s="23" t="n">
        <v>-37.814</v>
      </c>
      <c r="R33" s="23" t="n">
        <v>144.9633</v>
      </c>
    </row>
    <row r="34" ht="15" customHeight="1" s="12">
      <c r="A34" s="18" t="inlineStr">
        <is>
          <t>Beijing</t>
        </is>
      </c>
      <c r="B34" s="18" t="inlineStr">
        <is>
          <t>China</t>
        </is>
      </c>
      <c r="C34" s="19" t="n">
        <v>1404890000</v>
      </c>
      <c r="D34" s="18" t="inlineStr">
        <is>
          <t>CN</t>
        </is>
      </c>
      <c r="E34" s="18" t="inlineStr">
        <is>
          <t>22</t>
        </is>
      </c>
      <c r="F34" s="20" t="n">
        <v>11716620</v>
      </c>
      <c r="G34" s="18" t="inlineStr">
        <is>
          <t>Yes</t>
        </is>
      </c>
      <c r="H34" s="18" t="inlineStr">
        <is>
          <t>PEK</t>
        </is>
      </c>
      <c r="I34" s="18" t="inlineStr">
        <is>
          <t>Beijing Capital International Airport</t>
        </is>
      </c>
      <c r="J34" s="21" t="n">
        <v>25.4</v>
      </c>
      <c r="K34" s="18" t="inlineStr">
        <is>
          <t>PEK+PKX</t>
        </is>
      </c>
      <c r="L34" s="18" t="inlineStr">
        <is>
          <t>100k +  pop + capital + airport</t>
        </is>
      </c>
      <c r="M34" s="22" t="n">
        <v>0.854</v>
      </c>
      <c r="N34" s="22" t="n">
        <v>1</v>
      </c>
      <c r="O34" s="18" t="n"/>
      <c r="P34" s="22">
        <f>IF(O34="",(About!$B$5*M34+About!$B$6*N34)/(About!$B$5+About!$B$6),About!$B$5*M34+About!$B$6*N34+About!$B$7*O34)</f>
        <v/>
      </c>
      <c r="Q34" s="23" t="n">
        <v>39.9075</v>
      </c>
      <c r="R34" s="23" t="n">
        <v>116.3972</v>
      </c>
    </row>
    <row r="35" ht="15" customHeight="1" s="12">
      <c r="A35" s="18" t="inlineStr">
        <is>
          <t>Washington, D.C.</t>
        </is>
      </c>
      <c r="B35" s="18" t="inlineStr">
        <is>
          <t>United States</t>
        </is>
      </c>
      <c r="C35" s="19" t="n">
        <v>341784857</v>
      </c>
      <c r="D35" s="18" t="inlineStr">
        <is>
          <t>US</t>
        </is>
      </c>
      <c r="E35" s="18" t="inlineStr">
        <is>
          <t>DC</t>
        </is>
      </c>
      <c r="F35" s="20" t="n">
        <v>601723</v>
      </c>
      <c r="G35" s="18" t="inlineStr">
        <is>
          <t>Yes</t>
        </is>
      </c>
      <c r="H35" s="18" t="inlineStr">
        <is>
          <t>DCA</t>
        </is>
      </c>
      <c r="I35" s="18" t="inlineStr">
        <is>
          <t>Ronald Reagan Washington National Airport</t>
        </is>
      </c>
      <c r="J35" s="21" t="n">
        <v>4.8</v>
      </c>
      <c r="K35" s="18" t="inlineStr">
        <is>
          <t>DCA</t>
        </is>
      </c>
      <c r="L35" s="18" t="inlineStr">
        <is>
          <t>100k +  pop + capital + airport</t>
        </is>
      </c>
      <c r="M35" s="22" t="n">
        <v>0.851</v>
      </c>
      <c r="N35" s="22" t="n">
        <v>1</v>
      </c>
      <c r="O35" s="18" t="n"/>
      <c r="P35" s="22">
        <f>IF(O35="",(About!$B$5*M35+About!$B$6*N35)/(About!$B$5+About!$B$6),About!$B$5*M35+About!$B$6*N35+About!$B$7*O35)</f>
        <v/>
      </c>
      <c r="Q35" s="23" t="n">
        <v>38.8951</v>
      </c>
      <c r="R35" s="23" t="n">
        <v>-77.0364</v>
      </c>
    </row>
    <row r="36" ht="15" customHeight="1" s="12">
      <c r="A36" s="18" t="inlineStr">
        <is>
          <t>Singapore</t>
        </is>
      </c>
      <c r="B36" s="18" t="inlineStr">
        <is>
          <t>Singapore</t>
        </is>
      </c>
      <c r="C36" s="19" t="n">
        <v>6110200</v>
      </c>
      <c r="D36" s="18" t="inlineStr">
        <is>
          <t>SG</t>
        </is>
      </c>
      <c r="E36" s="18" t="inlineStr">
        <is>
          <t>01</t>
        </is>
      </c>
      <c r="F36" s="20" t="n">
        <v>3547809</v>
      </c>
      <c r="G36" s="18" t="inlineStr">
        <is>
          <t>Yes</t>
        </is>
      </c>
      <c r="H36" s="18" t="inlineStr">
        <is>
          <t>SIN</t>
        </is>
      </c>
      <c r="I36" s="18" t="inlineStr">
        <is>
          <t>Singapore Changi Airport</t>
        </is>
      </c>
      <c r="J36" s="21" t="n">
        <v>17.4</v>
      </c>
      <c r="K36" s="18" t="inlineStr">
        <is>
          <t>SIN+XSP</t>
        </is>
      </c>
      <c r="L36" s="18" t="inlineStr">
        <is>
          <t>100k +  pop + capital + airport</t>
        </is>
      </c>
      <c r="M36" s="22" t="n">
        <v>0.847</v>
      </c>
      <c r="N36" s="22" t="n">
        <v>1</v>
      </c>
      <c r="O36" s="18" t="n"/>
      <c r="P36" s="22">
        <f>IF(O36="",(About!$B$5*M36+About!$B$6*N36)/(About!$B$5+About!$B$6),About!$B$5*M36+About!$B$6*N36+About!$B$7*O36)</f>
        <v/>
      </c>
      <c r="Q36" s="23" t="n">
        <v>1.2897</v>
      </c>
      <c r="R36" s="23" t="n">
        <v>103.8501</v>
      </c>
    </row>
    <row r="37" ht="15" customHeight="1" s="12">
      <c r="A37" s="18" t="inlineStr">
        <is>
          <t>Montréal</t>
        </is>
      </c>
      <c r="B37" s="18" t="inlineStr">
        <is>
          <t>Canada</t>
        </is>
      </c>
      <c r="C37" s="19" t="n">
        <v>41472081</v>
      </c>
      <c r="D37" s="18" t="inlineStr">
        <is>
          <t>CA</t>
        </is>
      </c>
      <c r="E37" s="18" t="inlineStr">
        <is>
          <t>10</t>
        </is>
      </c>
      <c r="F37" s="20" t="n">
        <v>1600000</v>
      </c>
      <c r="G37" s="18" t="n"/>
      <c r="H37" s="18" t="inlineStr">
        <is>
          <t>YUL</t>
        </is>
      </c>
      <c r="I37" s="18" t="inlineStr">
        <is>
          <t>Montreal / Pierre Elliott Trudeau International Airport</t>
        </is>
      </c>
      <c r="J37" s="21" t="n">
        <v>12.9</v>
      </c>
      <c r="K37" s="18" t="inlineStr">
        <is>
          <t>YHU+YMX+YUL</t>
        </is>
      </c>
      <c r="L37" s="18" t="inlineStr">
        <is>
          <t>100k +  pop + airport</t>
        </is>
      </c>
      <c r="M37" s="22" t="n">
        <v>0.849</v>
      </c>
      <c r="N37" s="22" t="n">
        <v>1</v>
      </c>
      <c r="O37" s="18" t="n"/>
      <c r="P37" s="22">
        <f>IF(O37="",(About!$B$5*M37+About!$B$6*N37)/(About!$B$5+About!$B$6),About!$B$5*M37+About!$B$6*N37+About!$B$7*O37)</f>
        <v/>
      </c>
      <c r="Q37" s="23" t="n">
        <v>45.5088</v>
      </c>
      <c r="R37" s="23" t="n">
        <v>-73.5878</v>
      </c>
    </row>
    <row r="38" ht="15" customHeight="1" s="12">
      <c r="A38" s="18" t="inlineStr">
        <is>
          <t>Shenzhen</t>
        </is>
      </c>
      <c r="B38" s="18" t="inlineStr">
        <is>
          <t>China</t>
        </is>
      </c>
      <c r="C38" s="19" t="n">
        <v>1404890000</v>
      </c>
      <c r="D38" s="18" t="inlineStr">
        <is>
          <t>CN</t>
        </is>
      </c>
      <c r="E38" s="18" t="inlineStr">
        <is>
          <t>30</t>
        </is>
      </c>
      <c r="F38" s="20" t="n">
        <v>10358381</v>
      </c>
      <c r="G38" s="18" t="n"/>
      <c r="H38" s="18" t="inlineStr">
        <is>
          <t>SZX</t>
        </is>
      </c>
      <c r="I38" s="18" t="inlineStr">
        <is>
          <t>Shenzhen Bao'an International Airport</t>
        </is>
      </c>
      <c r="J38" s="21" t="n">
        <v>29.1</v>
      </c>
      <c r="K38" s="18" t="inlineStr">
        <is>
          <t>SZX</t>
        </is>
      </c>
      <c r="L38" s="18" t="inlineStr">
        <is>
          <t>100k +  pop + airport</t>
        </is>
      </c>
      <c r="M38" s="22" t="n">
        <v>0.846</v>
      </c>
      <c r="N38" s="22" t="n">
        <v>1</v>
      </c>
      <c r="O38" s="18" t="n"/>
      <c r="P38" s="22">
        <f>IF(O38="",(About!$B$5*M38+About!$B$6*N38)/(About!$B$5+About!$B$6),About!$B$5*M38+About!$B$6*N38+About!$B$7*O38)</f>
        <v/>
      </c>
      <c r="Q38" s="23" t="n">
        <v>22.5455</v>
      </c>
      <c r="R38" s="23" t="n">
        <v>114.0683</v>
      </c>
    </row>
    <row r="39" ht="15" customHeight="1" s="12">
      <c r="A39" s="18" t="inlineStr">
        <is>
          <t>Rome</t>
        </is>
      </c>
      <c r="B39" s="18" t="inlineStr">
        <is>
          <t>Italy</t>
        </is>
      </c>
      <c r="C39" s="19" t="n">
        <v>58932330</v>
      </c>
      <c r="D39" s="18" t="inlineStr">
        <is>
          <t>IT</t>
        </is>
      </c>
      <c r="E39" s="18" t="inlineStr">
        <is>
          <t>07</t>
        </is>
      </c>
      <c r="F39" s="20" t="n">
        <v>2562213</v>
      </c>
      <c r="G39" s="18" t="inlineStr">
        <is>
          <t>Yes</t>
        </is>
      </c>
      <c r="H39" s="18" t="inlineStr">
        <is>
          <t>FCO</t>
        </is>
      </c>
      <c r="I39" s="18" t="inlineStr">
        <is>
          <t>Rome–Fiumicino Leonardo da Vinci International Airport</t>
        </is>
      </c>
      <c r="J39" s="21" t="n">
        <v>23.6</v>
      </c>
      <c r="K39" s="18" t="inlineStr">
        <is>
          <t>CIA+FCO</t>
        </is>
      </c>
      <c r="L39" s="18" t="inlineStr">
        <is>
          <t>100k +  pop + capital + airport</t>
        </is>
      </c>
      <c r="M39" s="22" t="n">
        <v>0.838</v>
      </c>
      <c r="N39" s="22" t="n">
        <v>1</v>
      </c>
      <c r="O39" s="18" t="n"/>
      <c r="P39" s="22">
        <f>IF(O39="",(About!$B$5*M39+About!$B$6*N39)/(About!$B$5+About!$B$6),About!$B$5*M39+About!$B$6*N39+About!$B$7*O39)</f>
        <v/>
      </c>
      <c r="Q39" s="23" t="n">
        <v>41.8919</v>
      </c>
      <c r="R39" s="23" t="n">
        <v>12.5113</v>
      </c>
    </row>
    <row r="40" ht="15" customHeight="1" s="12">
      <c r="A40" s="18" t="inlineStr">
        <is>
          <t>Santiago</t>
        </is>
      </c>
      <c r="B40" s="18" t="inlineStr">
        <is>
          <t>Chile</t>
        </is>
      </c>
      <c r="C40" s="19" t="n">
        <v>20206953</v>
      </c>
      <c r="D40" s="18" t="inlineStr">
        <is>
          <t>CL</t>
        </is>
      </c>
      <c r="E40" s="18" t="inlineStr">
        <is>
          <t>12</t>
        </is>
      </c>
      <c r="F40" s="20" t="n">
        <v>4837295</v>
      </c>
      <c r="G40" s="18" t="inlineStr">
        <is>
          <t>Yes</t>
        </is>
      </c>
      <c r="H40" s="18" t="inlineStr">
        <is>
          <t>SCL</t>
        </is>
      </c>
      <c r="I40" s="18" t="inlineStr">
        <is>
          <t>Comodoro Arturo Merino Benítez International Airport</t>
        </is>
      </c>
      <c r="J40" s="21" t="n">
        <v>14.6</v>
      </c>
      <c r="K40" s="18" t="inlineStr">
        <is>
          <t>SCL</t>
        </is>
      </c>
      <c r="L40" s="18" t="inlineStr">
        <is>
          <t>100k +  pop + capital + airport</t>
        </is>
      </c>
      <c r="M40" s="22" t="n">
        <v>0.836</v>
      </c>
      <c r="N40" s="22" t="n">
        <v>1</v>
      </c>
      <c r="O40" s="18" t="n"/>
      <c r="P40" s="22">
        <f>IF(O40="",(About!$B$5*M40+About!$B$6*N40)/(About!$B$5+About!$B$6),About!$B$5*M40+About!$B$6*N40+About!$B$7*O40)</f>
        <v/>
      </c>
      <c r="Q40" s="23" t="n">
        <v>-33.4569</v>
      </c>
      <c r="R40" s="23" t="n">
        <v>-70.64830000000001</v>
      </c>
    </row>
    <row r="41" ht="15" customHeight="1" s="12">
      <c r="A41" s="18" t="inlineStr">
        <is>
          <t>Stockholm</t>
        </is>
      </c>
      <c r="B41" s="18" t="inlineStr">
        <is>
          <t>Sweden</t>
        </is>
      </c>
      <c r="C41" s="19" t="n">
        <v>10604616</v>
      </c>
      <c r="D41" s="18" t="inlineStr">
        <is>
          <t>SE</t>
        </is>
      </c>
      <c r="E41" s="18" t="inlineStr">
        <is>
          <t>26</t>
        </is>
      </c>
      <c r="F41" s="20" t="n">
        <v>1515017</v>
      </c>
      <c r="G41" s="18" t="inlineStr">
        <is>
          <t>Yes</t>
        </is>
      </c>
      <c r="H41" s="18" t="inlineStr">
        <is>
          <t>ARN</t>
        </is>
      </c>
      <c r="I41" s="18" t="inlineStr">
        <is>
          <t>Stockholm-Arlanda Airport</t>
        </is>
      </c>
      <c r="J41" s="21" t="n">
        <v>36.4</v>
      </c>
      <c r="K41" s="18" t="inlineStr">
        <is>
          <t>ARN+BMA</t>
        </is>
      </c>
      <c r="L41" s="18" t="inlineStr">
        <is>
          <t>100k +  pop + capital + airport</t>
        </is>
      </c>
      <c r="M41" s="22" t="n">
        <v>0.834</v>
      </c>
      <c r="N41" s="22" t="n">
        <v>1</v>
      </c>
      <c r="O41" s="18" t="n"/>
      <c r="P41" s="22">
        <f>IF(O41="",(About!$B$5*M41+About!$B$6*N41)/(About!$B$5+About!$B$6),About!$B$5*M41+About!$B$6*N41+About!$B$7*O41)</f>
        <v/>
      </c>
      <c r="Q41" s="23" t="n">
        <v>59.3294</v>
      </c>
      <c r="R41" s="23" t="n">
        <v>18.0687</v>
      </c>
    </row>
    <row r="42" ht="15" customHeight="1" s="12">
      <c r="A42" s="18" t="inlineStr">
        <is>
          <t>Berlin</t>
        </is>
      </c>
      <c r="B42" s="18" t="inlineStr">
        <is>
          <t>Germany</t>
        </is>
      </c>
      <c r="C42" s="19" t="n">
        <v>83497147</v>
      </c>
      <c r="D42" s="18" t="inlineStr">
        <is>
          <t>DE</t>
        </is>
      </c>
      <c r="E42" s="18" t="inlineStr">
        <is>
          <t>16</t>
        </is>
      </c>
      <c r="F42" s="20" t="n">
        <v>3426354</v>
      </c>
      <c r="G42" s="18" t="inlineStr">
        <is>
          <t>Yes</t>
        </is>
      </c>
      <c r="H42" s="18" t="inlineStr">
        <is>
          <t>BER</t>
        </is>
      </c>
      <c r="I42" s="18" t="inlineStr">
        <is>
          <t>Berlin Brandenburg Airport</t>
        </is>
      </c>
      <c r="J42" s="21" t="n">
        <v>19.1</v>
      </c>
      <c r="K42" s="18" t="inlineStr">
        <is>
          <t>BER</t>
        </is>
      </c>
      <c r="L42" s="18" t="inlineStr">
        <is>
          <t>100k +  pop + capital + airport</t>
        </is>
      </c>
      <c r="M42" s="22" t="n">
        <v>0.83</v>
      </c>
      <c r="N42" s="22" t="n">
        <v>1</v>
      </c>
      <c r="O42" s="18" t="n"/>
      <c r="P42" s="22">
        <f>IF(O42="",(About!$B$5*M42+About!$B$6*N42)/(About!$B$5+About!$B$6),About!$B$5*M42+About!$B$6*N42+About!$B$7*O42)</f>
        <v/>
      </c>
      <c r="Q42" s="23" t="n">
        <v>52.5244</v>
      </c>
      <c r="R42" s="23" t="n">
        <v>13.4105</v>
      </c>
    </row>
    <row r="43" ht="15" customHeight="1" s="12">
      <c r="A43" s="18" t="inlineStr">
        <is>
          <t>Lima</t>
        </is>
      </c>
      <c r="B43" s="18" t="inlineStr">
        <is>
          <t>Peru</t>
        </is>
      </c>
      <c r="C43" s="19" t="n">
        <v>34350244</v>
      </c>
      <c r="D43" s="18" t="inlineStr">
        <is>
          <t>PE</t>
        </is>
      </c>
      <c r="E43" s="18" t="inlineStr">
        <is>
          <t>LMA</t>
        </is>
      </c>
      <c r="F43" s="20" t="n">
        <v>8550266</v>
      </c>
      <c r="G43" s="18" t="inlineStr">
        <is>
          <t>Yes</t>
        </is>
      </c>
      <c r="H43" s="18" t="inlineStr">
        <is>
          <t>LIM</t>
        </is>
      </c>
      <c r="I43" s="18" t="inlineStr">
        <is>
          <t>Jorge Chávez International Airport</t>
        </is>
      </c>
      <c r="J43" s="21" t="n">
        <v>9.699999999999999</v>
      </c>
      <c r="K43" s="18" t="inlineStr">
        <is>
          <t>LIM</t>
        </is>
      </c>
      <c r="L43" s="18" t="inlineStr">
        <is>
          <t>100k +  pop + capital + airport</t>
        </is>
      </c>
      <c r="M43" s="22" t="n">
        <v>0.825</v>
      </c>
      <c r="N43" s="22" t="n">
        <v>1</v>
      </c>
      <c r="O43" s="18" t="n"/>
      <c r="P43" s="22">
        <f>IF(O43="",(About!$B$5*M43+About!$B$6*N43)/(About!$B$5+About!$B$6),About!$B$5*M43+About!$B$6*N43+About!$B$7*O43)</f>
        <v/>
      </c>
      <c r="Q43" s="23" t="n">
        <v>-12.0432</v>
      </c>
      <c r="R43" s="23" t="n">
        <v>-77.0282</v>
      </c>
    </row>
    <row r="44" ht="15" customHeight="1" s="12">
      <c r="A44" s="18" t="inlineStr">
        <is>
          <t>Helsinki</t>
        </is>
      </c>
      <c r="B44" s="18" t="inlineStr">
        <is>
          <t>Finland</t>
        </is>
      </c>
      <c r="C44" s="19" t="n">
        <v>5650152</v>
      </c>
      <c r="D44" s="18" t="inlineStr">
        <is>
          <t>FI</t>
        </is>
      </c>
      <c r="E44" s="18" t="inlineStr">
        <is>
          <t>01</t>
        </is>
      </c>
      <c r="F44" s="20" t="n">
        <v>558457</v>
      </c>
      <c r="G44" s="18" t="inlineStr">
        <is>
          <t>Yes</t>
        </is>
      </c>
      <c r="H44" s="18" t="inlineStr">
        <is>
          <t>HEL</t>
        </is>
      </c>
      <c r="I44" s="18" t="inlineStr">
        <is>
          <t>Helsinki Vantaa Airport</t>
        </is>
      </c>
      <c r="J44" s="21" t="n">
        <v>16.6</v>
      </c>
      <c r="K44" s="18" t="inlineStr">
        <is>
          <t>HEL</t>
        </is>
      </c>
      <c r="L44" s="18" t="inlineStr">
        <is>
          <t>100k +  pop + capital</t>
        </is>
      </c>
      <c r="M44" s="22" t="n">
        <v>0.823</v>
      </c>
      <c r="N44" s="22" t="n">
        <v>1</v>
      </c>
      <c r="O44" s="18" t="n"/>
      <c r="P44" s="22">
        <f>IF(O44="",(About!$B$5*M44+About!$B$6*N44)/(About!$B$5+About!$B$6),About!$B$5*M44+About!$B$6*N44+About!$B$7*O44)</f>
        <v/>
      </c>
      <c r="Q44" s="23" t="n">
        <v>60.1695</v>
      </c>
      <c r="R44" s="23" t="n">
        <v>24.9354</v>
      </c>
    </row>
    <row r="45" ht="15" customHeight="1" s="12">
      <c r="A45" s="18" t="inlineStr">
        <is>
          <t>Cairo</t>
        </is>
      </c>
      <c r="B45" s="18" t="inlineStr">
        <is>
          <t>Egypt</t>
        </is>
      </c>
      <c r="C45" s="19" t="n">
        <v>108613296</v>
      </c>
      <c r="D45" s="18" t="inlineStr">
        <is>
          <t>EG</t>
        </is>
      </c>
      <c r="E45" s="18" t="inlineStr">
        <is>
          <t>11</t>
        </is>
      </c>
      <c r="F45" s="20" t="n">
        <v>10177817</v>
      </c>
      <c r="G45" s="18" t="inlineStr">
        <is>
          <t>Yes</t>
        </is>
      </c>
      <c r="H45" s="18" t="inlineStr">
        <is>
          <t>CAI</t>
        </is>
      </c>
      <c r="I45" s="18" t="inlineStr">
        <is>
          <t>Cairo International Airport</t>
        </is>
      </c>
      <c r="J45" s="21" t="n">
        <v>15.2</v>
      </c>
      <c r="K45" s="18" t="inlineStr">
        <is>
          <t>CAI</t>
        </is>
      </c>
      <c r="L45" s="18" t="inlineStr">
        <is>
          <t>100k +  pop + capital + airport</t>
        </is>
      </c>
      <c r="M45" s="22" t="n">
        <v>0.82</v>
      </c>
      <c r="N45" s="22" t="n">
        <v>1</v>
      </c>
      <c r="O45" s="18" t="n"/>
      <c r="P45" s="22">
        <f>IF(O45="",(About!$B$5*M45+About!$B$6*N45)/(About!$B$5+About!$B$6),About!$B$5*M45+About!$B$6*N45+About!$B$7*O45)</f>
        <v/>
      </c>
      <c r="Q45" s="23" t="n">
        <v>30.0626</v>
      </c>
      <c r="R45" s="23" t="n">
        <v>31.2497</v>
      </c>
    </row>
    <row r="46" ht="15" customHeight="1" s="12">
      <c r="A46" s="18" t="inlineStr">
        <is>
          <t>Athens</t>
        </is>
      </c>
      <c r="B46" s="18" t="inlineStr">
        <is>
          <t>Greece</t>
        </is>
      </c>
      <c r="C46" s="19" t="n">
        <v>10372335</v>
      </c>
      <c r="D46" s="18" t="inlineStr">
        <is>
          <t>GR</t>
        </is>
      </c>
      <c r="E46" s="18" t="inlineStr">
        <is>
          <t>ESYE31</t>
        </is>
      </c>
      <c r="F46" s="20" t="n">
        <v>664046</v>
      </c>
      <c r="G46" s="18" t="inlineStr">
        <is>
          <t>Yes</t>
        </is>
      </c>
      <c r="H46" s="18" t="inlineStr">
        <is>
          <t>ATH</t>
        </is>
      </c>
      <c r="I46" s="18" t="inlineStr">
        <is>
          <t>Athens Eleftherios Venizelos International Airport</t>
        </is>
      </c>
      <c r="J46" s="21" t="n">
        <v>19.7</v>
      </c>
      <c r="K46" s="18" t="inlineStr">
        <is>
          <t>ATH</t>
        </is>
      </c>
      <c r="L46" s="18" t="inlineStr">
        <is>
          <t>100k +  pop + capital</t>
        </is>
      </c>
      <c r="M46" s="22" t="n">
        <v>0.82</v>
      </c>
      <c r="N46" s="22" t="n">
        <v>1</v>
      </c>
      <c r="O46" s="18" t="n"/>
      <c r="P46" s="22">
        <f>IF(O46="",(About!$B$5*M46+About!$B$6*N46)/(About!$B$5+About!$B$6),About!$B$5*M46+About!$B$6*N46+About!$B$7*O46)</f>
        <v/>
      </c>
      <c r="Q46" s="23" t="n">
        <v>37.9838</v>
      </c>
      <c r="R46" s="23" t="n">
        <v>23.7278</v>
      </c>
    </row>
    <row r="47" ht="15" customHeight="1" s="12">
      <c r="A47" s="18" t="inlineStr">
        <is>
          <t>Lisbon</t>
        </is>
      </c>
      <c r="B47" s="18" t="inlineStr">
        <is>
          <t>Portugal</t>
        </is>
      </c>
      <c r="C47" s="19" t="n">
        <v>10749635</v>
      </c>
      <c r="D47" s="18" t="inlineStr">
        <is>
          <t>PT</t>
        </is>
      </c>
      <c r="E47" s="18" t="inlineStr">
        <is>
          <t>14</t>
        </is>
      </c>
      <c r="F47" s="20" t="n">
        <v>517802</v>
      </c>
      <c r="G47" s="18" t="inlineStr">
        <is>
          <t>Yes</t>
        </is>
      </c>
      <c r="H47" s="18" t="inlineStr">
        <is>
          <t>LIS</t>
        </is>
      </c>
      <c r="I47" s="18" t="inlineStr">
        <is>
          <t>Lisbon Humberto Delgado Airport</t>
        </is>
      </c>
      <c r="J47" s="21" t="n">
        <v>7.2</v>
      </c>
      <c r="K47" s="18" t="inlineStr">
        <is>
          <t>CAT+LIS</t>
        </is>
      </c>
      <c r="L47" s="18" t="inlineStr">
        <is>
          <t>100k +  pop + capital + airport</t>
        </is>
      </c>
      <c r="M47" s="22" t="n">
        <v>0.819</v>
      </c>
      <c r="N47" s="22" t="n">
        <v>1</v>
      </c>
      <c r="O47" s="18" t="n"/>
      <c r="P47" s="22">
        <f>IF(O47="",(About!$B$5*M47+About!$B$6*N47)/(About!$B$5+About!$B$6),About!$B$5*M47+About!$B$6*N47+About!$B$7*O47)</f>
        <v/>
      </c>
      <c r="Q47" s="23" t="n">
        <v>38.7167</v>
      </c>
      <c r="R47" s="23" t="n">
        <v>-9.1333</v>
      </c>
    </row>
    <row r="48" ht="15" customHeight="1" s="12">
      <c r="A48" s="18" t="inlineStr">
        <is>
          <t>Hong Kong</t>
        </is>
      </c>
      <c r="B48" s="18" t="inlineStr">
        <is>
          <t>Hong Kong (SAR)</t>
        </is>
      </c>
      <c r="C48" s="19" t="n">
        <v>7510800</v>
      </c>
      <c r="D48" s="18" t="inlineStr">
        <is>
          <t>HK</t>
        </is>
      </c>
      <c r="E48" s="18" t="inlineStr">
        <is>
          <t>HCW</t>
        </is>
      </c>
      <c r="F48" s="20" t="n">
        <v>7012738</v>
      </c>
      <c r="G48" s="18" t="inlineStr">
        <is>
          <t>Yes</t>
        </is>
      </c>
      <c r="H48" s="18" t="inlineStr">
        <is>
          <t>HKG</t>
        </is>
      </c>
      <c r="I48" s="18" t="inlineStr">
        <is>
          <t>Hong Kong International Airport</t>
        </is>
      </c>
      <c r="J48" s="21" t="n">
        <v>27</v>
      </c>
      <c r="K48" s="18" t="inlineStr">
        <is>
          <t>HHP+HKG</t>
        </is>
      </c>
      <c r="L48" s="18" t="inlineStr">
        <is>
          <t>100k +  pop + capital + airport</t>
        </is>
      </c>
      <c r="M48" s="22" t="n">
        <v>0.8169999999999999</v>
      </c>
      <c r="N48" s="22" t="n">
        <v>1</v>
      </c>
      <c r="O48" s="18" t="n"/>
      <c r="P48" s="22">
        <f>IF(O48="",(About!$B$5*M48+About!$B$6*N48)/(About!$B$5+About!$B$6),About!$B$5*M48+About!$B$6*N48+About!$B$7*O48)</f>
        <v/>
      </c>
      <c r="Q48" s="23" t="n">
        <v>22.2783</v>
      </c>
      <c r="R48" s="23" t="n">
        <v>114.1747</v>
      </c>
    </row>
    <row r="49" ht="15" customHeight="1" s="12">
      <c r="A49" s="18" t="inlineStr">
        <is>
          <t>Warsaw</t>
        </is>
      </c>
      <c r="B49" s="18" t="inlineStr">
        <is>
          <t>Poland</t>
        </is>
      </c>
      <c r="C49" s="19" t="n">
        <v>37281000</v>
      </c>
      <c r="D49" s="18" t="inlineStr">
        <is>
          <t>PL</t>
        </is>
      </c>
      <c r="E49" s="18" t="inlineStr">
        <is>
          <t>78</t>
        </is>
      </c>
      <c r="F49" s="20" t="n">
        <v>1702139</v>
      </c>
      <c r="G49" s="18" t="inlineStr">
        <is>
          <t>Yes</t>
        </is>
      </c>
      <c r="H49" s="18" t="inlineStr">
        <is>
          <t>WAW</t>
        </is>
      </c>
      <c r="I49" s="18" t="inlineStr">
        <is>
          <t>Warsaw Chopin Airport</t>
        </is>
      </c>
      <c r="J49" s="21" t="n">
        <v>7.7</v>
      </c>
      <c r="K49" s="18" t="inlineStr">
        <is>
          <t>WAW</t>
        </is>
      </c>
      <c r="L49" s="18" t="inlineStr">
        <is>
          <t>100k +  pop + capital + airport</t>
        </is>
      </c>
      <c r="M49" s="22" t="n">
        <v>0.8169999999999999</v>
      </c>
      <c r="N49" s="22" t="n">
        <v>1</v>
      </c>
      <c r="O49" s="18" t="n"/>
      <c r="P49" s="22">
        <f>IF(O49="",(About!$B$5*M49+About!$B$6*N49)/(About!$B$5+About!$B$6),About!$B$5*M49+About!$B$6*N49+About!$B$7*O49)</f>
        <v/>
      </c>
      <c r="Q49" s="23" t="n">
        <v>52.2298</v>
      </c>
      <c r="R49" s="23" t="n">
        <v>21.0118</v>
      </c>
    </row>
    <row r="50" ht="15" customHeight="1" s="12">
      <c r="A50" s="18" t="inlineStr">
        <is>
          <t>Cancún</t>
        </is>
      </c>
      <c r="B50" s="18" t="inlineStr">
        <is>
          <t>Mexico</t>
        </is>
      </c>
      <c r="C50" s="19" t="n">
        <v>131150866</v>
      </c>
      <c r="D50" s="18" t="inlineStr">
        <is>
          <t>MX</t>
        </is>
      </c>
      <c r="E50" s="18" t="inlineStr">
        <is>
          <t>23</t>
        </is>
      </c>
      <c r="F50" s="20" t="n">
        <v>628306</v>
      </c>
      <c r="G50" s="18" t="n"/>
      <c r="H50" s="18" t="inlineStr">
        <is>
          <t>CUN</t>
        </is>
      </c>
      <c r="I50" s="18" t="inlineStr">
        <is>
          <t>Cancún International Airport</t>
        </is>
      </c>
      <c r="J50" s="21" t="n">
        <v>15.1</v>
      </c>
      <c r="K50" s="18" t="inlineStr">
        <is>
          <t>CUN</t>
        </is>
      </c>
      <c r="L50" s="18" t="inlineStr">
        <is>
          <t>100k +  pop + airport</t>
        </is>
      </c>
      <c r="M50" s="22" t="n">
        <v>0.8169999999999999</v>
      </c>
      <c r="N50" s="22" t="n">
        <v>1</v>
      </c>
      <c r="O50" s="18" t="n"/>
      <c r="P50" s="22">
        <f>IF(O50="",(About!$B$5*M50+About!$B$6*N50)/(About!$B$5+About!$B$6),About!$B$5*M50+About!$B$6*N50+About!$B$7*O50)</f>
        <v/>
      </c>
      <c r="Q50" s="23" t="n">
        <v>21.1743</v>
      </c>
      <c r="R50" s="23" t="n">
        <v>-86.8466</v>
      </c>
    </row>
    <row r="51" ht="15" customHeight="1" s="12">
      <c r="A51" s="18" t="inlineStr">
        <is>
          <t>Seoul</t>
        </is>
      </c>
      <c r="B51" s="18" t="inlineStr">
        <is>
          <t>South Korea</t>
        </is>
      </c>
      <c r="C51" s="19" t="n">
        <v>51111158</v>
      </c>
      <c r="D51" s="18" t="inlineStr">
        <is>
          <t>KR</t>
        </is>
      </c>
      <c r="E51" s="18" t="inlineStr">
        <is>
          <t>11</t>
        </is>
      </c>
      <c r="F51" s="20" t="n">
        <v>17734238</v>
      </c>
      <c r="G51" s="18" t="inlineStr">
        <is>
          <t>Yes</t>
        </is>
      </c>
      <c r="H51" s="18" t="inlineStr">
        <is>
          <t>ICN</t>
        </is>
      </c>
      <c r="I51" s="18" t="inlineStr">
        <is>
          <t>Incheon International Airport</t>
        </is>
      </c>
      <c r="J51" s="21" t="n">
        <v>47.7</v>
      </c>
      <c r="K51" s="18" t="inlineStr">
        <is>
          <t>GMP+ICN</t>
        </is>
      </c>
      <c r="L51" s="18" t="inlineStr">
        <is>
          <t>100k +  pop + capital + airport</t>
        </is>
      </c>
      <c r="M51" s="22" t="n">
        <v>0.8139999999999999</v>
      </c>
      <c r="N51" s="22" t="n">
        <v>1</v>
      </c>
      <c r="O51" s="18" t="n"/>
      <c r="P51" s="22">
        <f>IF(O51="",(About!$B$5*M51+About!$B$6*N51)/(About!$B$5+About!$B$6),About!$B$5*M51+About!$B$6*N51+About!$B$7*O51)</f>
        <v/>
      </c>
      <c r="Q51" s="23" t="n">
        <v>37.566</v>
      </c>
      <c r="R51" s="23" t="n">
        <v>126.9784</v>
      </c>
    </row>
    <row r="52" ht="15" customHeight="1" s="12">
      <c r="A52" s="18" t="inlineStr">
        <is>
          <t>Abu Dhabi</t>
        </is>
      </c>
      <c r="B52" s="18" t="inlineStr">
        <is>
          <t>UAE</t>
        </is>
      </c>
      <c r="C52" s="19" t="n">
        <v>11294243</v>
      </c>
      <c r="D52" s="18" t="inlineStr">
        <is>
          <t>AE</t>
        </is>
      </c>
      <c r="E52" s="18" t="inlineStr">
        <is>
          <t>01</t>
        </is>
      </c>
      <c r="F52" s="20" t="n">
        <v>603492</v>
      </c>
      <c r="G52" s="18" t="inlineStr">
        <is>
          <t>Yes</t>
        </is>
      </c>
      <c r="H52" s="18" t="inlineStr">
        <is>
          <t>AUH</t>
        </is>
      </c>
      <c r="I52" s="18" t="inlineStr">
        <is>
          <t>Zayed International Airport</t>
        </is>
      </c>
      <c r="J52" s="21" t="n">
        <v>25.6</v>
      </c>
      <c r="K52" s="18" t="inlineStr">
        <is>
          <t>AUH</t>
        </is>
      </c>
      <c r="L52" s="18" t="inlineStr">
        <is>
          <t>100k +  pop + capital + airport</t>
        </is>
      </c>
      <c r="M52" s="22" t="n">
        <v>0.8100000000000001</v>
      </c>
      <c r="N52" s="22" t="n">
        <v>1</v>
      </c>
      <c r="O52" s="18" t="n"/>
      <c r="P52" s="22">
        <f>IF(O52="",(About!$B$5*M52+About!$B$6*N52)/(About!$B$5+About!$B$6),About!$B$5*M52+About!$B$6*N52+About!$B$7*O52)</f>
        <v/>
      </c>
      <c r="Q52" s="23" t="n">
        <v>24.4512</v>
      </c>
      <c r="R52" s="23" t="n">
        <v>54.397</v>
      </c>
    </row>
    <row r="53" ht="15" customHeight="1" s="12">
      <c r="A53" s="18" t="inlineStr">
        <is>
          <t>Ho Chi Minh City</t>
        </is>
      </c>
      <c r="B53" s="18" t="inlineStr">
        <is>
          <t>Vietnam</t>
        </is>
      </c>
      <c r="C53" s="19" t="n">
        <v>102300000</v>
      </c>
      <c r="D53" s="18" t="inlineStr">
        <is>
          <t>VN</t>
        </is>
      </c>
      <c r="E53" s="18" t="inlineStr">
        <is>
          <t>20</t>
        </is>
      </c>
      <c r="F53" s="20" t="n">
        <v>3467331</v>
      </c>
      <c r="G53" s="18" t="n"/>
      <c r="H53" s="18" t="inlineStr">
        <is>
          <t>SGN</t>
        </is>
      </c>
      <c r="I53" s="18" t="inlineStr">
        <is>
          <t>Tan Son Nhat International Airport</t>
        </is>
      </c>
      <c r="J53" s="21" t="n">
        <v>2.5</v>
      </c>
      <c r="K53" s="18" t="inlineStr">
        <is>
          <t>SGN</t>
        </is>
      </c>
      <c r="L53" s="18" t="inlineStr">
        <is>
          <t>100k +  pop + airport</t>
        </is>
      </c>
      <c r="M53" s="22" t="n">
        <v>0.8070000000000001</v>
      </c>
      <c r="N53" s="22" t="n">
        <v>1</v>
      </c>
      <c r="O53" s="18" t="n"/>
      <c r="P53" s="22">
        <f>IF(O53="",(About!$B$5*M53+About!$B$6*N53)/(About!$B$5+About!$B$6),About!$B$5*M53+About!$B$6*N53+About!$B$7*O53)</f>
        <v/>
      </c>
      <c r="Q53" s="23" t="n">
        <v>10.823</v>
      </c>
      <c r="R53" s="23" t="n">
        <v>106.6296</v>
      </c>
    </row>
    <row r="54" ht="15" customHeight="1" s="12">
      <c r="A54" s="18" t="inlineStr">
        <is>
          <t>Copenhagen</t>
        </is>
      </c>
      <c r="B54" s="18" t="inlineStr">
        <is>
          <t>Denmark</t>
        </is>
      </c>
      <c r="C54" s="19" t="n">
        <v>6031247</v>
      </c>
      <c r="D54" s="18" t="inlineStr">
        <is>
          <t>DK</t>
        </is>
      </c>
      <c r="E54" s="18" t="inlineStr">
        <is>
          <t>17</t>
        </is>
      </c>
      <c r="F54" s="20" t="n">
        <v>1153615</v>
      </c>
      <c r="G54" s="18" t="inlineStr">
        <is>
          <t>Yes</t>
        </is>
      </c>
      <c r="H54" s="18" t="inlineStr">
        <is>
          <t>CPH</t>
        </is>
      </c>
      <c r="I54" s="18" t="inlineStr">
        <is>
          <t>Copenhagen Kastrup Airport</t>
        </is>
      </c>
      <c r="J54" s="21" t="n">
        <v>8.6</v>
      </c>
      <c r="K54" s="18" t="inlineStr">
        <is>
          <t>CPH</t>
        </is>
      </c>
      <c r="L54" s="18" t="inlineStr">
        <is>
          <t>100k +  pop + capital + airport</t>
        </is>
      </c>
      <c r="M54" s="22" t="n">
        <v>0.798</v>
      </c>
      <c r="N54" s="22" t="n">
        <v>1</v>
      </c>
      <c r="O54" s="18" t="n"/>
      <c r="P54" s="22">
        <f>IF(O54="",(About!$B$5*M54+About!$B$6*N54)/(About!$B$5+About!$B$6),About!$B$5*M54+About!$B$6*N54+About!$B$7*O54)</f>
        <v/>
      </c>
      <c r="Q54" s="23" t="n">
        <v>55.6759</v>
      </c>
      <c r="R54" s="23" t="n">
        <v>12.5655</v>
      </c>
    </row>
    <row r="55" ht="15" customHeight="1" s="12">
      <c r="A55" s="18" t="inlineStr">
        <is>
          <t>Honolulu</t>
        </is>
      </c>
      <c r="B55" s="18" t="inlineStr">
        <is>
          <t>United States</t>
        </is>
      </c>
      <c r="C55" s="19" t="n">
        <v>341784857</v>
      </c>
      <c r="D55" s="18" t="inlineStr">
        <is>
          <t>US</t>
        </is>
      </c>
      <c r="E55" s="18" t="inlineStr">
        <is>
          <t>HI</t>
        </is>
      </c>
      <c r="F55" s="20" t="n">
        <v>371657</v>
      </c>
      <c r="G55" s="18" t="n"/>
      <c r="H55" s="18" t="inlineStr">
        <is>
          <t>HNL</t>
        </is>
      </c>
      <c r="I55" s="18" t="inlineStr">
        <is>
          <t>Daniel K. Inouye International Airport</t>
        </is>
      </c>
      <c r="J55" s="21" t="n">
        <v>7.1</v>
      </c>
      <c r="K55" s="18" t="inlineStr">
        <is>
          <t>HNL</t>
        </is>
      </c>
      <c r="L55" s="18" t="inlineStr">
        <is>
          <t>100k +  pop + airport</t>
        </is>
      </c>
      <c r="M55" s="22" t="n">
        <v>0.793</v>
      </c>
      <c r="N55" s="22" t="n">
        <v>1</v>
      </c>
      <c r="O55" s="18" t="n"/>
      <c r="P55" s="22">
        <f>IF(O55="",(About!$B$5*M55+About!$B$6*N55)/(About!$B$5+About!$B$6),About!$B$5*M55+About!$B$6*N55+About!$B$7*O55)</f>
        <v/>
      </c>
      <c r="Q55" s="23" t="n">
        <v>21.3069</v>
      </c>
      <c r="R55" s="23" t="n">
        <v>-157.8583</v>
      </c>
    </row>
    <row r="56" ht="15" customHeight="1" s="12">
      <c r="A56" s="18" t="inlineStr">
        <is>
          <t>Riyadh</t>
        </is>
      </c>
      <c r="B56" s="18" t="inlineStr">
        <is>
          <t>Saudi Arabia</t>
        </is>
      </c>
      <c r="C56" s="19" t="n">
        <v>35300280</v>
      </c>
      <c r="D56" s="18" t="inlineStr">
        <is>
          <t>SA</t>
        </is>
      </c>
      <c r="E56" s="18" t="inlineStr">
        <is>
          <t>10</t>
        </is>
      </c>
      <c r="F56" s="20" t="n">
        <v>4205961</v>
      </c>
      <c r="G56" s="18" t="inlineStr">
        <is>
          <t>Yes</t>
        </is>
      </c>
      <c r="H56" s="18" t="inlineStr">
        <is>
          <t>RUH</t>
        </is>
      </c>
      <c r="I56" s="18" t="inlineStr">
        <is>
          <t>King Khalid International Airport</t>
        </is>
      </c>
      <c r="J56" s="21" t="n">
        <v>30.1</v>
      </c>
      <c r="K56" s="18" t="inlineStr">
        <is>
          <t>RUH</t>
        </is>
      </c>
      <c r="L56" s="18" t="inlineStr">
        <is>
          <t>100k +  pop + capital + airport</t>
        </is>
      </c>
      <c r="M56" s="22" t="n">
        <v>0.792</v>
      </c>
      <c r="N56" s="22" t="n">
        <v>1</v>
      </c>
      <c r="O56" s="18" t="n"/>
      <c r="P56" s="22">
        <f>IF(O56="",(About!$B$5*M56+About!$B$6*N56)/(About!$B$5+About!$B$6),About!$B$5*M56+About!$B$6*N56+About!$B$7*O56)</f>
        <v/>
      </c>
      <c r="Q56" s="23" t="n">
        <v>24.6877</v>
      </c>
      <c r="R56" s="23" t="n">
        <v>46.7219</v>
      </c>
    </row>
    <row r="57" ht="15" customHeight="1" s="12">
      <c r="A57" s="18" t="inlineStr">
        <is>
          <t>Fukuoka</t>
        </is>
      </c>
      <c r="B57" s="18" t="inlineStr">
        <is>
          <t>Japan</t>
        </is>
      </c>
      <c r="C57" s="19" t="n">
        <v>122810000</v>
      </c>
      <c r="D57" s="18" t="inlineStr">
        <is>
          <t>JP</t>
        </is>
      </c>
      <c r="E57" s="18" t="inlineStr">
        <is>
          <t>07</t>
        </is>
      </c>
      <c r="F57" s="20" t="n">
        <v>1392289</v>
      </c>
      <c r="G57" s="18" t="n"/>
      <c r="H57" s="18" t="inlineStr">
        <is>
          <t>FUK</t>
        </is>
      </c>
      <c r="I57" s="18" t="inlineStr">
        <is>
          <t>Fukuoka Airport</t>
        </is>
      </c>
      <c r="J57" s="21" t="n">
        <v>3.5</v>
      </c>
      <c r="K57" s="18" t="inlineStr">
        <is>
          <t>FUK</t>
        </is>
      </c>
      <c r="L57" s="18" t="inlineStr">
        <is>
          <t>100k +  pop + airport</t>
        </is>
      </c>
      <c r="M57" s="22" t="n">
        <v>0.789</v>
      </c>
      <c r="N57" s="22" t="n">
        <v>1</v>
      </c>
      <c r="O57" s="18" t="n"/>
      <c r="P57" s="22">
        <f>IF(O57="",(About!$B$5*M57+About!$B$6*N57)/(About!$B$5+About!$B$6),About!$B$5*M57+About!$B$6*N57+About!$B$7*O57)</f>
        <v/>
      </c>
      <c r="Q57" s="23" t="n">
        <v>33.6</v>
      </c>
      <c r="R57" s="23" t="n">
        <v>130.4167</v>
      </c>
    </row>
    <row r="58" ht="15" customHeight="1" s="12">
      <c r="A58" s="18" t="inlineStr">
        <is>
          <t>Dublin</t>
        </is>
      </c>
      <c r="B58" s="18" t="inlineStr">
        <is>
          <t>Ireland</t>
        </is>
      </c>
      <c r="C58" s="19" t="n">
        <v>5458600</v>
      </c>
      <c r="D58" s="18" t="inlineStr">
        <is>
          <t>IE</t>
        </is>
      </c>
      <c r="E58" s="18" t="inlineStr">
        <is>
          <t>L</t>
        </is>
      </c>
      <c r="F58" s="20" t="n">
        <v>1024027</v>
      </c>
      <c r="G58" s="18" t="inlineStr">
        <is>
          <t>Yes</t>
        </is>
      </c>
      <c r="H58" s="18" t="inlineStr">
        <is>
          <t>DUB</t>
        </is>
      </c>
      <c r="I58" s="18" t="inlineStr">
        <is>
          <t>Dublin Airport</t>
        </is>
      </c>
      <c r="J58" s="21" t="n">
        <v>10.7</v>
      </c>
      <c r="K58" s="18" t="inlineStr">
        <is>
          <t>DUB</t>
        </is>
      </c>
      <c r="L58" s="18" t="inlineStr">
        <is>
          <t>100k +  pop + capital + airport</t>
        </is>
      </c>
      <c r="M58" s="22" t="n">
        <v>0.781</v>
      </c>
      <c r="N58" s="22" t="n">
        <v>1</v>
      </c>
      <c r="O58" s="18" t="n"/>
      <c r="P58" s="22">
        <f>IF(O58="",(About!$B$5*M58+About!$B$6*N58)/(About!$B$5+About!$B$6),About!$B$5*M58+About!$B$6*N58+About!$B$7*O58)</f>
        <v/>
      </c>
      <c r="Q58" s="23" t="n">
        <v>53.3331</v>
      </c>
      <c r="R58" s="23" t="n">
        <v>-6.2489</v>
      </c>
    </row>
    <row r="59" ht="15" customHeight="1" s="12">
      <c r="A59" s="18" t="inlineStr">
        <is>
          <t>Osaka</t>
        </is>
      </c>
      <c r="B59" s="18" t="inlineStr">
        <is>
          <t>Japan</t>
        </is>
      </c>
      <c r="C59" s="19" t="n">
        <v>122810000</v>
      </c>
      <c r="D59" s="18" t="inlineStr">
        <is>
          <t>JP</t>
        </is>
      </c>
      <c r="E59" s="18" t="inlineStr">
        <is>
          <t>32</t>
        </is>
      </c>
      <c r="F59" s="20" t="n">
        <v>7880677</v>
      </c>
      <c r="G59" s="18" t="n"/>
      <c r="H59" s="18" t="inlineStr">
        <is>
          <t>ITM</t>
        </is>
      </c>
      <c r="I59" s="18" t="inlineStr">
        <is>
          <t>Osaka Itami International Airport</t>
        </is>
      </c>
      <c r="J59" s="21" t="n">
        <v>11.2</v>
      </c>
      <c r="K59" s="18" t="inlineStr">
        <is>
          <t>ITM+KIX</t>
        </is>
      </c>
      <c r="L59" s="18" t="inlineStr">
        <is>
          <t>100k +  pop + airport</t>
        </is>
      </c>
      <c r="M59" s="22" t="n">
        <v>0.774</v>
      </c>
      <c r="N59" s="22" t="n">
        <v>1</v>
      </c>
      <c r="O59" s="18" t="n"/>
      <c r="P59" s="22">
        <f>IF(O59="",(About!$B$5*M59+About!$B$6*N59)/(About!$B$5+About!$B$6),About!$B$5*M59+About!$B$6*N59+About!$B$7*O59)</f>
        <v/>
      </c>
      <c r="Q59" s="23" t="n">
        <v>34.6937</v>
      </c>
      <c r="R59" s="23" t="n">
        <v>135.5022</v>
      </c>
    </row>
    <row r="60" ht="15" customHeight="1" s="12">
      <c r="A60" s="18" t="inlineStr">
        <is>
          <t>Denpasar</t>
        </is>
      </c>
      <c r="B60" s="18" t="inlineStr">
        <is>
          <t>Indonesia</t>
        </is>
      </c>
      <c r="C60" s="19" t="n">
        <v>288315089</v>
      </c>
      <c r="D60" s="18" t="inlineStr">
        <is>
          <t>ID</t>
        </is>
      </c>
      <c r="E60" s="18" t="inlineStr">
        <is>
          <t>02</t>
        </is>
      </c>
      <c r="F60" s="20" t="n">
        <v>834881</v>
      </c>
      <c r="G60" s="18" t="n"/>
      <c r="H60" s="18" t="inlineStr">
        <is>
          <t>DPS</t>
        </is>
      </c>
      <c r="I60" s="18" t="inlineStr">
        <is>
          <t>Denpasar I Gusti Ngurah Rai International Airport</t>
        </is>
      </c>
      <c r="J60" s="21" t="n">
        <v>12.2</v>
      </c>
      <c r="K60" s="18" t="inlineStr">
        <is>
          <t>DPS</t>
        </is>
      </c>
      <c r="L60" s="18" t="inlineStr">
        <is>
          <t>100k +  pop</t>
        </is>
      </c>
      <c r="M60" s="22" t="n">
        <v>0.773</v>
      </c>
      <c r="N60" s="22" t="n">
        <v>1</v>
      </c>
      <c r="O60" s="18" t="n"/>
      <c r="P60" s="22">
        <f>IF(O60="",(About!$B$5*M60+About!$B$6*N60)/(About!$B$5+About!$B$6),About!$B$5*M60+About!$B$6*N60+About!$B$7*O60)</f>
        <v/>
      </c>
      <c r="Q60" s="23" t="n">
        <v>-8.65</v>
      </c>
      <c r="R60" s="23" t="n">
        <v>115.2167</v>
      </c>
    </row>
    <row r="61" ht="15" customHeight="1" s="12">
      <c r="A61" s="18" t="inlineStr">
        <is>
          <t>Bologna</t>
        </is>
      </c>
      <c r="B61" s="18" t="inlineStr">
        <is>
          <t>Italy</t>
        </is>
      </c>
      <c r="C61" s="19" t="n">
        <v>58932330</v>
      </c>
      <c r="D61" s="18" t="inlineStr">
        <is>
          <t>IT</t>
        </is>
      </c>
      <c r="E61" s="18" t="inlineStr">
        <is>
          <t>05</t>
        </is>
      </c>
      <c r="F61" s="20" t="n">
        <v>399922</v>
      </c>
      <c r="G61" s="18" t="n"/>
      <c r="H61" s="18" t="inlineStr">
        <is>
          <t>BLQ</t>
        </is>
      </c>
      <c r="I61" s="18" t="inlineStr">
        <is>
          <t>Bologna Guglielmo Marconi Airport</t>
        </is>
      </c>
      <c r="J61" s="21" t="n">
        <v>6.1</v>
      </c>
      <c r="K61" s="18" t="inlineStr">
        <is>
          <t>BLQ</t>
        </is>
      </c>
      <c r="L61" s="18" t="inlineStr">
        <is>
          <t>100k +  pop + airport</t>
        </is>
      </c>
      <c r="M61" s="22" t="n">
        <v>0.773</v>
      </c>
      <c r="N61" s="22" t="n">
        <v>1</v>
      </c>
      <c r="O61" s="18" t="n"/>
      <c r="P61" s="22">
        <f>IF(O61="",(About!$B$5*M61+About!$B$6*N61)/(About!$B$5+About!$B$6),About!$B$5*M61+About!$B$6*N61+About!$B$7*O61)</f>
        <v/>
      </c>
      <c r="Q61" s="23" t="n">
        <v>44.4938</v>
      </c>
      <c r="R61" s="23" t="n">
        <v>11.3387</v>
      </c>
    </row>
    <row r="62" ht="15" customHeight="1" s="12">
      <c r="A62" s="18" t="inlineStr">
        <is>
          <t>Rio de Janeiro</t>
        </is>
      </c>
      <c r="B62" s="18" t="inlineStr">
        <is>
          <t>Brazil</t>
        </is>
      </c>
      <c r="C62" s="19" t="n">
        <v>213421037</v>
      </c>
      <c r="D62" s="18" t="inlineStr">
        <is>
          <t>BR</t>
        </is>
      </c>
      <c r="E62" s="18" t="inlineStr">
        <is>
          <t>21</t>
        </is>
      </c>
      <c r="F62" s="20" t="n">
        <v>8366710</v>
      </c>
      <c r="G62" s="18" t="n"/>
      <c r="H62" s="18" t="inlineStr">
        <is>
          <t>GIG</t>
        </is>
      </c>
      <c r="I62" s="18" t="inlineStr">
        <is>
          <t>Rio Galeão – Tom Jobim International Airport</t>
        </is>
      </c>
      <c r="J62" s="21" t="n">
        <v>12.8</v>
      </c>
      <c r="K62" s="18" t="inlineStr">
        <is>
          <t>GIG+RRJ+SDU</t>
        </is>
      </c>
      <c r="L62" s="18" t="inlineStr">
        <is>
          <t>100k +  pop + airport</t>
        </is>
      </c>
      <c r="M62" s="22" t="n">
        <v>0.769</v>
      </c>
      <c r="N62" s="22" t="n">
        <v>1</v>
      </c>
      <c r="O62" s="18" t="n"/>
      <c r="P62" s="22">
        <f>IF(O62="",(About!$B$5*M62+About!$B$6*N62)/(About!$B$5+About!$B$6),About!$B$5*M62+About!$B$6*N62+About!$B$7*O62)</f>
        <v/>
      </c>
      <c r="Q62" s="23" t="n">
        <v>-22.9064</v>
      </c>
      <c r="R62" s="23" t="n">
        <v>-43.1822</v>
      </c>
    </row>
    <row r="63" ht="15" customHeight="1" s="12">
      <c r="A63" s="18" t="inlineStr">
        <is>
          <t>Prague</t>
        </is>
      </c>
      <c r="B63" s="18" t="inlineStr">
        <is>
          <t>Czechia</t>
        </is>
      </c>
      <c r="C63" s="19" t="n">
        <v>10915839</v>
      </c>
      <c r="D63" s="18" t="inlineStr">
        <is>
          <t>CZ</t>
        </is>
      </c>
      <c r="E63" s="18" t="inlineStr">
        <is>
          <t>52</t>
        </is>
      </c>
      <c r="F63" s="20" t="n">
        <v>1165581</v>
      </c>
      <c r="G63" s="18" t="inlineStr">
        <is>
          <t>Yes</t>
        </is>
      </c>
      <c r="H63" s="18" t="inlineStr">
        <is>
          <t>PRG</t>
        </is>
      </c>
      <c r="I63" s="18" t="inlineStr">
        <is>
          <t>Václav Havel Airport Prague</t>
        </is>
      </c>
      <c r="J63" s="21" t="n">
        <v>11.6</v>
      </c>
      <c r="K63" s="18" t="inlineStr">
        <is>
          <t>PRG</t>
        </is>
      </c>
      <c r="L63" s="18" t="inlineStr">
        <is>
          <t>100k +  pop + capital + airport</t>
        </is>
      </c>
      <c r="M63" s="22" t="n">
        <v>0.771</v>
      </c>
      <c r="N63" s="22" t="n">
        <v>1</v>
      </c>
      <c r="O63" s="18" t="n"/>
      <c r="P63" s="22">
        <f>IF(O63="",(About!$B$5*M63+About!$B$6*N63)/(About!$B$5+About!$B$6),About!$B$5*M63+About!$B$6*N63+About!$B$7*O63)</f>
        <v/>
      </c>
      <c r="Q63" s="23" t="n">
        <v>50.088</v>
      </c>
      <c r="R63" s="23" t="n">
        <v>14.4208</v>
      </c>
    </row>
    <row r="64" ht="15" customHeight="1" s="12">
      <c r="A64" s="18" t="inlineStr">
        <is>
          <t>Milan</t>
        </is>
      </c>
      <c r="B64" s="18" t="inlineStr">
        <is>
          <t>Italy</t>
        </is>
      </c>
      <c r="C64" s="19" t="n">
        <v>58932330</v>
      </c>
      <c r="D64" s="18" t="inlineStr">
        <is>
          <t>IT</t>
        </is>
      </c>
      <c r="E64" s="18" t="inlineStr">
        <is>
          <t>09</t>
        </is>
      </c>
      <c r="F64" s="20" t="n">
        <v>1553219</v>
      </c>
      <c r="G64" s="18" t="n"/>
      <c r="H64" s="18" t="inlineStr">
        <is>
          <t>LIN</t>
        </is>
      </c>
      <c r="I64" s="18" t="inlineStr">
        <is>
          <t>Milano Linate Airport</t>
        </is>
      </c>
      <c r="J64" s="21" t="n">
        <v>7.1</v>
      </c>
      <c r="K64" s="18" t="inlineStr">
        <is>
          <t>LIN</t>
        </is>
      </c>
      <c r="L64" s="18" t="inlineStr">
        <is>
          <t>100k +  pop + airport</t>
        </is>
      </c>
      <c r="M64" s="22" t="n">
        <v>0.765</v>
      </c>
      <c r="N64" s="22" t="n">
        <v>1</v>
      </c>
      <c r="O64" s="18" t="n"/>
      <c r="P64" s="22">
        <f>IF(O64="",(About!$B$5*M64+About!$B$6*N64)/(About!$B$5+About!$B$6),About!$B$5*M64+About!$B$6*N64+About!$B$7*O64)</f>
        <v/>
      </c>
      <c r="Q64" s="23" t="n">
        <v>45.4643</v>
      </c>
      <c r="R64" s="23" t="n">
        <v>9.189500000000001</v>
      </c>
    </row>
    <row r="65" ht="15" customHeight="1" s="12">
      <c r="A65" s="18" t="inlineStr">
        <is>
          <t>Edinburgh</t>
        </is>
      </c>
      <c r="B65" s="18" t="inlineStr">
        <is>
          <t>United Kingdom</t>
        </is>
      </c>
      <c r="C65" s="19" t="n">
        <v>69487000</v>
      </c>
      <c r="D65" s="18" t="inlineStr">
        <is>
          <t>GB</t>
        </is>
      </c>
      <c r="E65" s="18" t="inlineStr">
        <is>
          <t>SCT</t>
        </is>
      </c>
      <c r="F65" s="20" t="n">
        <v>464990</v>
      </c>
      <c r="G65" s="18" t="n"/>
      <c r="H65" s="18" t="inlineStr">
        <is>
          <t>EDI</t>
        </is>
      </c>
      <c r="I65" s="18" t="inlineStr">
        <is>
          <t>Edinburgh Airport</t>
        </is>
      </c>
      <c r="J65" s="21" t="n">
        <v>10.9</v>
      </c>
      <c r="K65" s="18" t="inlineStr">
        <is>
          <t>EDI</t>
        </is>
      </c>
      <c r="L65" s="18" t="inlineStr">
        <is>
          <t>100k +  pop + airport</t>
        </is>
      </c>
      <c r="M65" s="22" t="n">
        <v>0.766</v>
      </c>
      <c r="N65" s="22" t="n">
        <v>1</v>
      </c>
      <c r="O65" s="18" t="n"/>
      <c r="P65" s="22">
        <f>IF(O65="",(About!$B$5*M65+About!$B$6*N65)/(About!$B$5+About!$B$6),About!$B$5*M65+About!$B$6*N65+About!$B$7*O65)</f>
        <v/>
      </c>
      <c r="Q65" s="23" t="n">
        <v>55.9521</v>
      </c>
      <c r="R65" s="23" t="n">
        <v>-3.1965</v>
      </c>
    </row>
    <row r="66" ht="15" customHeight="1" s="12">
      <c r="A66" s="18" t="inlineStr">
        <is>
          <t>Hanoi</t>
        </is>
      </c>
      <c r="B66" s="18" t="inlineStr">
        <is>
          <t>Vietnam</t>
        </is>
      </c>
      <c r="C66" s="19" t="n">
        <v>102300000</v>
      </c>
      <c r="D66" s="18" t="inlineStr">
        <is>
          <t>VN</t>
        </is>
      </c>
      <c r="E66" s="18" t="inlineStr">
        <is>
          <t>44</t>
        </is>
      </c>
      <c r="F66" s="20" t="n">
        <v>1431270</v>
      </c>
      <c r="G66" s="18" t="inlineStr">
        <is>
          <t>Yes</t>
        </is>
      </c>
      <c r="H66" s="18" t="inlineStr">
        <is>
          <t>HAN</t>
        </is>
      </c>
      <c r="I66" s="18" t="inlineStr">
        <is>
          <t>Noi Bai International Airport</t>
        </is>
      </c>
      <c r="J66" s="21" t="n">
        <v>22.2</v>
      </c>
      <c r="K66" s="18" t="inlineStr">
        <is>
          <t>HAN</t>
        </is>
      </c>
      <c r="L66" s="18" t="inlineStr">
        <is>
          <t>100k +  pop + capital</t>
        </is>
      </c>
      <c r="M66" s="22" t="n">
        <v>0.757</v>
      </c>
      <c r="N66" s="22" t="n">
        <v>1</v>
      </c>
      <c r="O66" s="18" t="n"/>
      <c r="P66" s="22">
        <f>IF(O66="",(About!$B$5*M66+About!$B$6*N66)/(About!$B$5+About!$B$6),About!$B$5*M66+About!$B$6*N66+About!$B$7*O66)</f>
        <v/>
      </c>
      <c r="Q66" s="23" t="n">
        <v>21.0245</v>
      </c>
      <c r="R66" s="23" t="n">
        <v>105.8412</v>
      </c>
    </row>
    <row r="67" ht="15" customHeight="1" s="12">
      <c r="A67" s="18" t="inlineStr">
        <is>
          <t>Tel Aviv</t>
        </is>
      </c>
      <c r="B67" s="18" t="inlineStr">
        <is>
          <t>Israel</t>
        </is>
      </c>
      <c r="C67" s="19" t="n">
        <v>10244000</v>
      </c>
      <c r="D67" s="18" t="inlineStr">
        <is>
          <t>IL</t>
        </is>
      </c>
      <c r="E67" s="18" t="inlineStr">
        <is>
          <t>05</t>
        </is>
      </c>
      <c r="F67" s="20" t="n">
        <v>432892</v>
      </c>
      <c r="G67" s="18" t="n"/>
      <c r="H67" s="18" t="inlineStr">
        <is>
          <t>TLV</t>
        </is>
      </c>
      <c r="I67" s="18" t="inlineStr">
        <is>
          <t>Ben Gurion International Airport</t>
        </is>
      </c>
      <c r="J67" s="21" t="n">
        <v>12.6</v>
      </c>
      <c r="K67" s="18" t="inlineStr">
        <is>
          <t>TLV</t>
        </is>
      </c>
      <c r="L67" s="18" t="inlineStr">
        <is>
          <t>100k +  pop + airport</t>
        </is>
      </c>
      <c r="M67" s="22" t="n">
        <v>0.755</v>
      </c>
      <c r="N67" s="22" t="n">
        <v>1</v>
      </c>
      <c r="O67" s="18" t="n"/>
      <c r="P67" s="22">
        <f>IF(O67="",(About!$B$5*M67+About!$B$6*N67)/(About!$B$5+About!$B$6),About!$B$5*M67+About!$B$6*N67+About!$B$7*O67)</f>
        <v/>
      </c>
      <c r="Q67" s="23" t="n">
        <v>32.0809</v>
      </c>
      <c r="R67" s="23" t="n">
        <v>34.7806</v>
      </c>
    </row>
    <row r="68" ht="15" customHeight="1" s="12">
      <c r="A68" s="18" t="inlineStr">
        <is>
          <t>Palma</t>
        </is>
      </c>
      <c r="B68" s="18" t="inlineStr">
        <is>
          <t>Spain</t>
        </is>
      </c>
      <c r="C68" s="19" t="n">
        <v>49687120</v>
      </c>
      <c r="D68" s="18" t="inlineStr">
        <is>
          <t>ES</t>
        </is>
      </c>
      <c r="E68" s="18" t="inlineStr">
        <is>
          <t>07</t>
        </is>
      </c>
      <c r="F68" s="20" t="n">
        <v>401270</v>
      </c>
      <c r="G68" s="18" t="n"/>
      <c r="H68" s="18" t="inlineStr">
        <is>
          <t>PMI</t>
        </is>
      </c>
      <c r="I68" s="18" t="inlineStr">
        <is>
          <t>Palma de Mallorca Airport</t>
        </is>
      </c>
      <c r="J68" s="21" t="n">
        <v>7.8</v>
      </c>
      <c r="K68" s="18" t="inlineStr">
        <is>
          <t>PMI</t>
        </is>
      </c>
      <c r="L68" s="18" t="inlineStr">
        <is>
          <t>100k +  pop + airport</t>
        </is>
      </c>
      <c r="M68" s="22" t="n">
        <v>0.755</v>
      </c>
      <c r="N68" s="22" t="n">
        <v>1</v>
      </c>
      <c r="O68" s="18" t="n"/>
      <c r="P68" s="22">
        <f>IF(O68="",(About!$B$5*M68+About!$B$6*N68)/(About!$B$5+About!$B$6),About!$B$5*M68+About!$B$6*N68+About!$B$7*O68)</f>
        <v/>
      </c>
      <c r="Q68" s="23" t="n">
        <v>39.5694</v>
      </c>
      <c r="R68" s="23" t="n">
        <v>2.6502</v>
      </c>
    </row>
    <row r="69" ht="15" customHeight="1" s="12">
      <c r="A69" s="18" t="inlineStr">
        <is>
          <t>Cape Town</t>
        </is>
      </c>
      <c r="B69" s="18" t="inlineStr">
        <is>
          <t>South Africa</t>
        </is>
      </c>
      <c r="C69" s="19" t="n">
        <v>63100945</v>
      </c>
      <c r="D69" s="18" t="inlineStr">
        <is>
          <t>ZA</t>
        </is>
      </c>
      <c r="E69" s="18" t="inlineStr">
        <is>
          <t>11</t>
        </is>
      </c>
      <c r="F69" s="20" t="n">
        <v>3433441</v>
      </c>
      <c r="G69" s="18" t="n"/>
      <c r="H69" s="18" t="inlineStr">
        <is>
          <t>CPT</t>
        </is>
      </c>
      <c r="I69" s="18" t="inlineStr">
        <is>
          <t>Cape Town International Airport</t>
        </is>
      </c>
      <c r="J69" s="21" t="n">
        <v>17.5</v>
      </c>
      <c r="K69" s="18" t="inlineStr">
        <is>
          <t>CPT</t>
        </is>
      </c>
      <c r="L69" s="18" t="inlineStr">
        <is>
          <t>100k +  pop + airport</t>
        </is>
      </c>
      <c r="M69" s="22" t="n">
        <v>0.749</v>
      </c>
      <c r="N69" s="22" t="n">
        <v>1</v>
      </c>
      <c r="O69" s="18" t="n"/>
      <c r="P69" s="22">
        <f>IF(O69="",(About!$B$5*M69+About!$B$6*N69)/(About!$B$5+About!$B$6),About!$B$5*M69+About!$B$6*N69+About!$B$7*O69)</f>
        <v/>
      </c>
      <c r="Q69" s="23" t="n">
        <v>-33.9258</v>
      </c>
      <c r="R69" s="23" t="n">
        <v>18.4232</v>
      </c>
    </row>
    <row r="70" ht="15" customHeight="1" s="12">
      <c r="A70" s="18" t="inlineStr">
        <is>
          <t>Budapest</t>
        </is>
      </c>
      <c r="B70" s="18" t="inlineStr">
        <is>
          <t>Hungary</t>
        </is>
      </c>
      <c r="C70" s="19" t="n">
        <v>9489000</v>
      </c>
      <c r="D70" s="18" t="inlineStr">
        <is>
          <t>HU</t>
        </is>
      </c>
      <c r="E70" s="18" t="inlineStr">
        <is>
          <t>05</t>
        </is>
      </c>
      <c r="F70" s="20" t="n">
        <v>1741041</v>
      </c>
      <c r="G70" s="18" t="inlineStr">
        <is>
          <t>Yes</t>
        </is>
      </c>
      <c r="H70" s="18" t="inlineStr">
        <is>
          <t>BUD</t>
        </is>
      </c>
      <c r="I70" s="18" t="inlineStr">
        <is>
          <t>Budapest Liszt Ferenc International Airport</t>
        </is>
      </c>
      <c r="J70" s="21" t="n">
        <v>18.3</v>
      </c>
      <c r="K70" s="18" t="inlineStr">
        <is>
          <t>BUD</t>
        </is>
      </c>
      <c r="L70" s="18" t="inlineStr">
        <is>
          <t>100k +  pop + capital + airport</t>
        </is>
      </c>
      <c r="M70" s="22" t="n">
        <v>0.75</v>
      </c>
      <c r="N70" s="22" t="n">
        <v>1</v>
      </c>
      <c r="O70" s="18" t="n"/>
      <c r="P70" s="22">
        <f>IF(O70="",(About!$B$5*M70+About!$B$6*N70)/(About!$B$5+About!$B$6),About!$B$5*M70+About!$B$6*N70+About!$B$7*O70)</f>
        <v/>
      </c>
      <c r="Q70" s="23" t="n">
        <v>47.4984</v>
      </c>
      <c r="R70" s="23" t="n">
        <v>19.0404</v>
      </c>
    </row>
    <row r="71" ht="15" customHeight="1" s="12">
      <c r="A71" s="18" t="inlineStr">
        <is>
          <t>Antalya</t>
        </is>
      </c>
      <c r="B71" s="18" t="inlineStr">
        <is>
          <t>Türkiye</t>
        </is>
      </c>
      <c r="C71" s="19" t="n">
        <v>86092168</v>
      </c>
      <c r="D71" s="18" t="inlineStr">
        <is>
          <t>TR</t>
        </is>
      </c>
      <c r="E71" s="18" t="inlineStr">
        <is>
          <t>07</t>
        </is>
      </c>
      <c r="F71" s="20" t="n">
        <v>758188</v>
      </c>
      <c r="G71" s="18" t="n"/>
      <c r="H71" s="18" t="inlineStr">
        <is>
          <t>AYT</t>
        </is>
      </c>
      <c r="I71" s="18" t="inlineStr">
        <is>
          <t>Antalya International Airport</t>
        </is>
      </c>
      <c r="J71" s="21" t="n">
        <v>9.4</v>
      </c>
      <c r="K71" s="18" t="inlineStr">
        <is>
          <t>AYT</t>
        </is>
      </c>
      <c r="L71" s="18" t="inlineStr">
        <is>
          <t>100k +  pop + airport</t>
        </is>
      </c>
      <c r="M71" s="22" t="n">
        <v>0.75</v>
      </c>
      <c r="N71" s="22" t="n">
        <v>1</v>
      </c>
      <c r="O71" s="18" t="n"/>
      <c r="P71" s="22">
        <f>IF(O71="",(About!$B$5*M71+About!$B$6*N71)/(About!$B$5+About!$B$6),About!$B$5*M71+About!$B$6*N71+About!$B$7*O71)</f>
        <v/>
      </c>
      <c r="Q71" s="23" t="n">
        <v>36.9081</v>
      </c>
      <c r="R71" s="23" t="n">
        <v>30.6956</v>
      </c>
    </row>
    <row r="72" ht="15" customHeight="1" s="12">
      <c r="A72" s="18" t="inlineStr">
        <is>
          <t>Sapporo</t>
        </is>
      </c>
      <c r="B72" s="18" t="inlineStr">
        <is>
          <t>Japan</t>
        </is>
      </c>
      <c r="C72" s="19" t="n">
        <v>122810000</v>
      </c>
      <c r="D72" s="18" t="inlineStr">
        <is>
          <t>JP</t>
        </is>
      </c>
      <c r="E72" s="18" t="inlineStr">
        <is>
          <t>12</t>
        </is>
      </c>
      <c r="F72" s="20" t="n">
        <v>1883027</v>
      </c>
      <c r="G72" s="18" t="n"/>
      <c r="H72" s="18" t="inlineStr">
        <is>
          <t>CTS</t>
        </is>
      </c>
      <c r="I72" s="18" t="inlineStr">
        <is>
          <t>New Chitose Airport</t>
        </is>
      </c>
      <c r="J72" s="21" t="n">
        <v>42.7</v>
      </c>
      <c r="K72" s="18" t="inlineStr">
        <is>
          <t>CTS+OKD</t>
        </is>
      </c>
      <c r="L72" s="18" t="inlineStr">
        <is>
          <t>100k +  pop + airport</t>
        </is>
      </c>
      <c r="M72" s="22" t="n">
        <v>0.745</v>
      </c>
      <c r="N72" s="22" t="n">
        <v>1</v>
      </c>
      <c r="O72" s="18" t="n"/>
      <c r="P72" s="22">
        <f>IF(O72="",(About!$B$5*M72+About!$B$6*N72)/(About!$B$5+About!$B$6),About!$B$5*M72+About!$B$6*N72+About!$B$7*O72)</f>
        <v/>
      </c>
      <c r="Q72" s="23" t="n">
        <v>43.0667</v>
      </c>
      <c r="R72" s="23" t="n">
        <v>141.35</v>
      </c>
    </row>
    <row r="73" ht="15" customHeight="1" s="12">
      <c r="A73" s="18" t="inlineStr">
        <is>
          <t>Nice</t>
        </is>
      </c>
      <c r="B73" s="18" t="inlineStr">
        <is>
          <t>France</t>
        </is>
      </c>
      <c r="C73" s="19" t="n">
        <v>69081996</v>
      </c>
      <c r="D73" s="18" t="inlineStr">
        <is>
          <t>FR</t>
        </is>
      </c>
      <c r="E73" s="18" t="inlineStr">
        <is>
          <t>93</t>
        </is>
      </c>
      <c r="F73" s="20" t="n">
        <v>338620</v>
      </c>
      <c r="G73" s="18" t="n"/>
      <c r="H73" s="18" t="inlineStr">
        <is>
          <t>NCE</t>
        </is>
      </c>
      <c r="I73" s="18" t="inlineStr">
        <is>
          <t>Nice-Côte d'Azur Airport</t>
        </is>
      </c>
      <c r="J73" s="21" t="n">
        <v>6.4</v>
      </c>
      <c r="K73" s="18" t="inlineStr">
        <is>
          <t>MCM+NCE</t>
        </is>
      </c>
      <c r="L73" s="18" t="inlineStr">
        <is>
          <t>100k +  pop + airport</t>
        </is>
      </c>
      <c r="M73" s="22" t="n">
        <v>0.745</v>
      </c>
      <c r="N73" s="22" t="n">
        <v>1</v>
      </c>
      <c r="O73" s="18" t="n"/>
      <c r="P73" s="22">
        <f>IF(O73="",(About!$B$5*M73+About!$B$6*N73)/(About!$B$5+About!$B$6),About!$B$5*M73+About!$B$6*N73+About!$B$7*O73)</f>
        <v/>
      </c>
      <c r="Q73" s="23" t="n">
        <v>43.7031</v>
      </c>
      <c r="R73" s="23" t="n">
        <v>7.2661</v>
      </c>
    </row>
    <row r="74" ht="15" customHeight="1" s="12">
      <c r="A74" s="18" t="inlineStr">
        <is>
          <t>Busan</t>
        </is>
      </c>
      <c r="B74" s="18" t="inlineStr">
        <is>
          <t>South Korea</t>
        </is>
      </c>
      <c r="C74" s="19" t="n">
        <v>51111158</v>
      </c>
      <c r="D74" s="18" t="inlineStr">
        <is>
          <t>KR</t>
        </is>
      </c>
      <c r="E74" s="18" t="inlineStr">
        <is>
          <t>10</t>
        </is>
      </c>
      <c r="F74" s="20" t="n">
        <v>3678555</v>
      </c>
      <c r="G74" s="18" t="n"/>
      <c r="H74" s="18" t="inlineStr">
        <is>
          <t>PUS</t>
        </is>
      </c>
      <c r="I74" s="18" t="inlineStr">
        <is>
          <t>Gimhae International Airport</t>
        </is>
      </c>
      <c r="J74" s="21" t="n">
        <v>12</v>
      </c>
      <c r="K74" s="18" t="inlineStr">
        <is>
          <t>PUS</t>
        </is>
      </c>
      <c r="L74" s="18" t="inlineStr">
        <is>
          <t>100k +  pop + airport</t>
        </is>
      </c>
      <c r="M74" s="22" t="n">
        <v>0.711</v>
      </c>
      <c r="N74" s="22" t="n">
        <v>1</v>
      </c>
      <c r="O74" s="18" t="n"/>
      <c r="P74" s="22">
        <f>IF(O74="",(About!$B$5*M74+About!$B$6*N74)/(About!$B$5+About!$B$6),About!$B$5*M74+About!$B$6*N74+About!$B$7*O74)</f>
        <v/>
      </c>
      <c r="Q74" s="23" t="n">
        <v>35.1017</v>
      </c>
      <c r="R74" s="23" t="n">
        <v>129.03</v>
      </c>
    </row>
    <row r="75" ht="15" customHeight="1" s="12">
      <c r="A75" s="18" t="inlineStr">
        <is>
          <t>Valencia</t>
        </is>
      </c>
      <c r="B75" s="18" t="inlineStr">
        <is>
          <t>Spain</t>
        </is>
      </c>
      <c r="C75" s="19" t="n">
        <v>49687120</v>
      </c>
      <c r="D75" s="18" t="inlineStr">
        <is>
          <t>ES</t>
        </is>
      </c>
      <c r="E75" s="18" t="inlineStr">
        <is>
          <t>60</t>
        </is>
      </c>
      <c r="F75" s="20" t="n">
        <v>814208</v>
      </c>
      <c r="G75" s="18" t="n"/>
      <c r="H75" s="18" t="inlineStr">
        <is>
          <t>VLC</t>
        </is>
      </c>
      <c r="I75" s="18" t="inlineStr">
        <is>
          <t>Valencia Airport</t>
        </is>
      </c>
      <c r="J75" s="21" t="n">
        <v>9.1</v>
      </c>
      <c r="K75" s="18" t="inlineStr">
        <is>
          <t>VLC</t>
        </is>
      </c>
      <c r="L75" s="18" t="inlineStr">
        <is>
          <t>100k +  pop + airport</t>
        </is>
      </c>
      <c r="M75" s="22" t="n">
        <v>0.708</v>
      </c>
      <c r="N75" s="22" t="n">
        <v>1</v>
      </c>
      <c r="O75" s="18" t="n"/>
      <c r="P75" s="22">
        <f>IF(O75="",(About!$B$5*M75+About!$B$6*N75)/(About!$B$5+About!$B$6),About!$B$5*M75+About!$B$6*N75+About!$B$7*O75)</f>
        <v/>
      </c>
      <c r="Q75" s="23" t="n">
        <v>39.4697</v>
      </c>
      <c r="R75" s="23" t="n">
        <v>-0.3774</v>
      </c>
    </row>
    <row r="76" ht="15" customHeight="1" s="12">
      <c r="A76" s="18" t="inlineStr">
        <is>
          <t>Verona</t>
        </is>
      </c>
      <c r="B76" s="18" t="inlineStr">
        <is>
          <t>Italy</t>
        </is>
      </c>
      <c r="C76" s="19" t="n">
        <v>58932330</v>
      </c>
      <c r="D76" s="18" t="inlineStr">
        <is>
          <t>IT</t>
        </is>
      </c>
      <c r="E76" s="18" t="inlineStr">
        <is>
          <t>20</t>
        </is>
      </c>
      <c r="F76" s="20" t="n">
        <v>219103</v>
      </c>
      <c r="G76" s="18" t="n"/>
      <c r="H76" s="18" t="inlineStr">
        <is>
          <t>VRN</t>
        </is>
      </c>
      <c r="I76" s="18" t="inlineStr">
        <is>
          <t>Verona Villafranca Valerio Catullo Airport</t>
        </is>
      </c>
      <c r="J76" s="21" t="n">
        <v>8.5</v>
      </c>
      <c r="K76" s="18" t="inlineStr">
        <is>
          <t>VRN</t>
        </is>
      </c>
      <c r="L76" s="18" t="inlineStr">
        <is>
          <t>100k +  pop + airport</t>
        </is>
      </c>
      <c r="M76" s="22" t="n">
        <v>0.698</v>
      </c>
      <c r="N76" s="22" t="n">
        <v>1</v>
      </c>
      <c r="O76" s="18" t="n"/>
      <c r="P76" s="22">
        <f>IF(O76="",(About!$B$5*M76+About!$B$6*N76)/(About!$B$5+About!$B$6),About!$B$5*M76+About!$B$6*N76+About!$B$7*O76)</f>
        <v/>
      </c>
      <c r="Q76" s="23" t="n">
        <v>45.4299</v>
      </c>
      <c r="R76" s="23" t="n">
        <v>10.9844</v>
      </c>
    </row>
    <row r="77" ht="15" customHeight="1" s="12">
      <c r="A77" s="18" t="inlineStr">
        <is>
          <t>Macau</t>
        </is>
      </c>
      <c r="B77" s="18" t="inlineStr">
        <is>
          <t>Macau (SAR)</t>
        </is>
      </c>
      <c r="C77" s="19" t="n">
        <v>688100</v>
      </c>
      <c r="D77" s="18" t="inlineStr">
        <is>
          <t>MO</t>
        </is>
      </c>
      <c r="E77" s="18" t="inlineStr">
        <is>
          <t>02</t>
        </is>
      </c>
      <c r="F77" s="20" t="n">
        <v>520400</v>
      </c>
      <c r="G77" s="18" t="inlineStr">
        <is>
          <t>Yes</t>
        </is>
      </c>
      <c r="H77" s="18" t="inlineStr">
        <is>
          <t>MFM</t>
        </is>
      </c>
      <c r="I77" s="18" t="inlineStr">
        <is>
          <t>Macau International Airport</t>
        </is>
      </c>
      <c r="J77" s="21" t="n">
        <v>7.4</v>
      </c>
      <c r="K77" s="18" t="inlineStr">
        <is>
          <t>MFM</t>
        </is>
      </c>
      <c r="L77" s="18" t="inlineStr">
        <is>
          <t>100k +  pop + capital + airport</t>
        </is>
      </c>
      <c r="M77" s="22" t="n">
        <v>0.694</v>
      </c>
      <c r="N77" s="22" t="n">
        <v>1</v>
      </c>
      <c r="O77" s="18" t="n"/>
      <c r="P77" s="22">
        <f>IF(O77="",(About!$B$5*M77+About!$B$6*N77)/(About!$B$5+About!$B$6),About!$B$5*M77+About!$B$6*N77+About!$B$7*O77)</f>
        <v/>
      </c>
      <c r="Q77" s="23" t="n">
        <v>22.2006</v>
      </c>
      <c r="R77" s="23" t="n">
        <v>113.5461</v>
      </c>
    </row>
    <row r="78" ht="15" customHeight="1" s="12">
      <c r="A78" s="18" t="inlineStr">
        <is>
          <t>Zhuhai</t>
        </is>
      </c>
      <c r="B78" s="18" t="inlineStr">
        <is>
          <t>China</t>
        </is>
      </c>
      <c r="C78" s="19" t="n">
        <v>1404890000</v>
      </c>
      <c r="D78" s="18" t="inlineStr">
        <is>
          <t>CN</t>
        </is>
      </c>
      <c r="E78" s="18" t="inlineStr">
        <is>
          <t>30</t>
        </is>
      </c>
      <c r="F78" s="20" t="n">
        <v>501199</v>
      </c>
      <c r="G78" s="18" t="n"/>
      <c r="H78" s="18" t="inlineStr">
        <is>
          <t>MFM</t>
        </is>
      </c>
      <c r="I78" s="18" t="inlineStr">
        <is>
          <t>Macau International Airport</t>
        </is>
      </c>
      <c r="J78" s="21" t="n">
        <v>14.4</v>
      </c>
      <c r="K78" s="18" t="inlineStr">
        <is>
          <t>MFM</t>
        </is>
      </c>
      <c r="L78" s="18" t="inlineStr">
        <is>
          <t>100k +  pop</t>
        </is>
      </c>
      <c r="M78" s="22" t="n">
        <v>0.694</v>
      </c>
      <c r="N78" s="22" t="n">
        <v>1</v>
      </c>
      <c r="O78" s="18" t="n"/>
      <c r="P78" s="22">
        <f>IF(O78="",(About!$B$5*M78+About!$B$6*N78)/(About!$B$5+About!$B$6),About!$B$5*M78+About!$B$6*N78+About!$B$7*O78)</f>
        <v/>
      </c>
      <c r="Q78" s="23" t="n">
        <v>22.2769</v>
      </c>
      <c r="R78" s="23" t="n">
        <v>113.5678</v>
      </c>
    </row>
    <row r="79" ht="15" customHeight="1" s="12">
      <c r="A79" s="18" t="inlineStr">
        <is>
          <t>Sevilla</t>
        </is>
      </c>
      <c r="B79" s="18" t="inlineStr">
        <is>
          <t>Spain</t>
        </is>
      </c>
      <c r="C79" s="19" t="n">
        <v>49687120</v>
      </c>
      <c r="D79" s="18" t="inlineStr">
        <is>
          <t>ES</t>
        </is>
      </c>
      <c r="E79" s="18" t="inlineStr">
        <is>
          <t>51</t>
        </is>
      </c>
      <c r="F79" s="20" t="n">
        <v>703206</v>
      </c>
      <c r="G79" s="18" t="n"/>
      <c r="H79" s="18" t="inlineStr">
        <is>
          <t>SVQ</t>
        </is>
      </c>
      <c r="I79" s="18" t="inlineStr">
        <is>
          <t>Seville Airport</t>
        </is>
      </c>
      <c r="J79" s="21" t="n">
        <v>8.1</v>
      </c>
      <c r="K79" s="18" t="inlineStr">
        <is>
          <t>SVQ</t>
        </is>
      </c>
      <c r="L79" s="18" t="inlineStr">
        <is>
          <t>100k +  pop + airport</t>
        </is>
      </c>
      <c r="M79" s="22" t="n">
        <v>0.6909999999999999</v>
      </c>
      <c r="N79" s="22" t="n">
        <v>1</v>
      </c>
      <c r="O79" s="18" t="n"/>
      <c r="P79" s="22">
        <f>IF(O79="",(About!$B$5*M79+About!$B$6*N79)/(About!$B$5+About!$B$6),About!$B$5*M79+About!$B$6*N79+About!$B$7*O79)</f>
        <v/>
      </c>
      <c r="Q79" s="23" t="n">
        <v>37.3828</v>
      </c>
      <c r="R79" s="23" t="n">
        <v>-5.9732</v>
      </c>
    </row>
    <row r="80" ht="15" customHeight="1" s="12">
      <c r="A80" s="18" t="inlineStr">
        <is>
          <t>Punta Cana</t>
        </is>
      </c>
      <c r="B80" s="18" t="inlineStr">
        <is>
          <t>Dominican Republic</t>
        </is>
      </c>
      <c r="C80" s="19" t="n">
        <v>10771504</v>
      </c>
      <c r="D80" s="18" t="inlineStr">
        <is>
          <t>DO</t>
        </is>
      </c>
      <c r="E80" s="18" t="inlineStr">
        <is>
          <t>10</t>
        </is>
      </c>
      <c r="F80" s="20" t="n">
        <v>100023</v>
      </c>
      <c r="G80" s="18" t="n"/>
      <c r="H80" s="18" t="inlineStr">
        <is>
          <t>PUJ</t>
        </is>
      </c>
      <c r="I80" s="18" t="inlineStr">
        <is>
          <t>Punta Cana International Airport</t>
        </is>
      </c>
      <c r="J80" s="21" t="n">
        <v>4.5</v>
      </c>
      <c r="K80" s="18" t="inlineStr">
        <is>
          <t>PUJ</t>
        </is>
      </c>
      <c r="L80" s="18" t="inlineStr">
        <is>
          <t>100k +  pop + airport</t>
        </is>
      </c>
      <c r="M80" s="22" t="n">
        <v>0.6840000000000001</v>
      </c>
      <c r="N80" s="22" t="n">
        <v>1</v>
      </c>
      <c r="O80" s="18" t="n"/>
      <c r="P80" s="22">
        <f>IF(O80="",(About!$B$5*M80+About!$B$6*N80)/(About!$B$5+About!$B$6),About!$B$5*M80+About!$B$6*N80+About!$B$7*O80)</f>
        <v/>
      </c>
      <c r="Q80" s="23" t="n">
        <v>18.5818</v>
      </c>
      <c r="R80" s="23" t="n">
        <v>-68.40430000000001</v>
      </c>
    </row>
    <row r="81" ht="15" customHeight="1" s="12">
      <c r="A81" s="18" t="inlineStr">
        <is>
          <t>Taipei</t>
        </is>
      </c>
      <c r="B81" s="18" t="inlineStr">
        <is>
          <t>Taiwan</t>
        </is>
      </c>
      <c r="C81" s="19" t="n">
        <v>23262544</v>
      </c>
      <c r="D81" s="18" t="inlineStr">
        <is>
          <t>TW</t>
        </is>
      </c>
      <c r="E81" s="18" t="inlineStr">
        <is>
          <t>04</t>
        </is>
      </c>
      <c r="F81" s="20" t="n">
        <v>7871900</v>
      </c>
      <c r="G81" s="18" t="inlineStr">
        <is>
          <t>Yes</t>
        </is>
      </c>
      <c r="H81" s="18" t="inlineStr">
        <is>
          <t>TSA</t>
        </is>
      </c>
      <c r="I81" s="18" t="inlineStr">
        <is>
          <t>Taipei Songshan International Airport</t>
        </is>
      </c>
      <c r="J81" s="21" t="n">
        <v>3</v>
      </c>
      <c r="K81" s="18" t="inlineStr">
        <is>
          <t>TSA</t>
        </is>
      </c>
      <c r="L81" s="18" t="inlineStr">
        <is>
          <t>100k +  pop + capital + airport</t>
        </is>
      </c>
      <c r="M81" s="22" t="n">
        <v>0.679</v>
      </c>
      <c r="N81" s="22" t="n">
        <v>1</v>
      </c>
      <c r="O81" s="18" t="n"/>
      <c r="P81" s="22">
        <f>IF(O81="",(About!$B$5*M81+About!$B$6*N81)/(About!$B$5+About!$B$6),About!$B$5*M81+About!$B$6*N81+About!$B$7*O81)</f>
        <v/>
      </c>
      <c r="Q81" s="23" t="n">
        <v>25.0478</v>
      </c>
      <c r="R81" s="23" t="n">
        <v>121.5319</v>
      </c>
    </row>
    <row r="82" ht="15" customHeight="1" s="12">
      <c r="A82" s="18" t="inlineStr">
        <is>
          <t>Kraków</t>
        </is>
      </c>
      <c r="B82" s="18" t="inlineStr">
        <is>
          <t>Poland</t>
        </is>
      </c>
      <c r="C82" s="19" t="n">
        <v>37281000</v>
      </c>
      <c r="D82" s="18" t="inlineStr">
        <is>
          <t>PL</t>
        </is>
      </c>
      <c r="E82" s="18" t="inlineStr">
        <is>
          <t>77</t>
        </is>
      </c>
      <c r="F82" s="20" t="n">
        <v>755050</v>
      </c>
      <c r="G82" s="18" t="n"/>
      <c r="H82" s="18" t="inlineStr">
        <is>
          <t>KRK</t>
        </is>
      </c>
      <c r="I82" s="18" t="inlineStr">
        <is>
          <t>Kraków John Paul II International Airport</t>
        </is>
      </c>
      <c r="J82" s="21" t="n">
        <v>11</v>
      </c>
      <c r="K82" s="18" t="inlineStr">
        <is>
          <t>KRK</t>
        </is>
      </c>
      <c r="L82" s="18" t="inlineStr">
        <is>
          <t>100k +  pop</t>
        </is>
      </c>
      <c r="M82" s="22" t="n">
        <v>0.677</v>
      </c>
      <c r="N82" s="22" t="n">
        <v>1</v>
      </c>
      <c r="O82" s="18" t="n"/>
      <c r="P82" s="22">
        <f>IF(O82="",(About!$B$5*M82+About!$B$6*N82)/(About!$B$5+About!$B$6),About!$B$5*M82+About!$B$6*N82+About!$B$7*O82)</f>
        <v/>
      </c>
      <c r="Q82" s="23" t="n">
        <v>50.0614</v>
      </c>
      <c r="R82" s="23" t="n">
        <v>19.9366</v>
      </c>
    </row>
    <row r="83" ht="15" customHeight="1" s="12">
      <c r="A83" s="18" t="inlineStr">
        <is>
          <t>Porto</t>
        </is>
      </c>
      <c r="B83" s="18" t="inlineStr">
        <is>
          <t>Portugal</t>
        </is>
      </c>
      <c r="C83" s="19" t="n">
        <v>10749635</v>
      </c>
      <c r="D83" s="18" t="inlineStr">
        <is>
          <t>PT</t>
        </is>
      </c>
      <c r="E83" s="18" t="inlineStr">
        <is>
          <t>17</t>
        </is>
      </c>
      <c r="F83" s="20" t="n">
        <v>249633</v>
      </c>
      <c r="G83" s="18" t="n"/>
      <c r="H83" s="18" t="inlineStr">
        <is>
          <t>OPO</t>
        </is>
      </c>
      <c r="I83" s="18" t="inlineStr">
        <is>
          <t>Francisco de Sá Carneiro Airport</t>
        </is>
      </c>
      <c r="J83" s="21" t="n">
        <v>12.4</v>
      </c>
      <c r="K83" s="18" t="inlineStr">
        <is>
          <t>OPO</t>
        </is>
      </c>
      <c r="L83" s="18" t="inlineStr">
        <is>
          <t>100k +  pop + airport</t>
        </is>
      </c>
      <c r="M83" s="22" t="n">
        <v>0.676</v>
      </c>
      <c r="N83" s="22" t="n">
        <v>1</v>
      </c>
      <c r="O83" s="18" t="n"/>
      <c r="P83" s="22">
        <f>IF(O83="",(About!$B$5*M83+About!$B$6*N83)/(About!$B$5+About!$B$6),About!$B$5*M83+About!$B$6*N83+About!$B$7*O83)</f>
        <v/>
      </c>
      <c r="Q83" s="23" t="n">
        <v>41.1496</v>
      </c>
      <c r="R83" s="23" t="n">
        <v>-8.611000000000001</v>
      </c>
    </row>
    <row r="84" ht="15" customHeight="1" s="12">
      <c r="A84" s="18" t="inlineStr">
        <is>
          <t>Vilnius</t>
        </is>
      </c>
      <c r="B84" s="18" t="inlineStr">
        <is>
          <t>Lithuania</t>
        </is>
      </c>
      <c r="C84" s="19" t="n">
        <v>2884324</v>
      </c>
      <c r="D84" s="18" t="inlineStr">
        <is>
          <t>LT</t>
        </is>
      </c>
      <c r="E84" s="18" t="inlineStr">
        <is>
          <t>65</t>
        </is>
      </c>
      <c r="F84" s="20" t="n">
        <v>542366</v>
      </c>
      <c r="G84" s="18" t="inlineStr">
        <is>
          <t>Yes</t>
        </is>
      </c>
      <c r="H84" s="18" t="inlineStr">
        <is>
          <t>VNO</t>
        </is>
      </c>
      <c r="I84" s="18" t="inlineStr">
        <is>
          <t>Vilnius International Airport</t>
        </is>
      </c>
      <c r="J84" s="21" t="n">
        <v>6.1</v>
      </c>
      <c r="K84" s="18" t="inlineStr">
        <is>
          <t>VNO</t>
        </is>
      </c>
      <c r="L84" s="18" t="inlineStr">
        <is>
          <t>100k +  pop + capital + airport</t>
        </is>
      </c>
      <c r="M84" s="22" t="n">
        <v>0.668</v>
      </c>
      <c r="N84" s="22" t="n">
        <v>1</v>
      </c>
      <c r="O84" s="18" t="n"/>
      <c r="P84" s="22">
        <f>IF(O84="",(About!$B$5*M84+About!$B$6*N84)/(About!$B$5+About!$B$6),About!$B$5*M84+About!$B$6*N84+About!$B$7*O84)</f>
        <v/>
      </c>
      <c r="Q84" s="23" t="n">
        <v>54.6892</v>
      </c>
      <c r="R84" s="23" t="n">
        <v>25.2798</v>
      </c>
    </row>
    <row r="85" ht="15" customHeight="1" s="12">
      <c r="A85" s="18" t="inlineStr">
        <is>
          <t>Kuala Lumpur</t>
        </is>
      </c>
      <c r="B85" s="18" t="inlineStr">
        <is>
          <t>Malaysia</t>
        </is>
      </c>
      <c r="C85" s="19" t="n">
        <v>34374300</v>
      </c>
      <c r="D85" s="18" t="inlineStr">
        <is>
          <t>MY</t>
        </is>
      </c>
      <c r="E85" s="18" t="inlineStr">
        <is>
          <t>14</t>
        </is>
      </c>
      <c r="F85" s="20" t="n">
        <v>3586630</v>
      </c>
      <c r="G85" s="18" t="inlineStr">
        <is>
          <t>Yes</t>
        </is>
      </c>
      <c r="H85" s="18" t="inlineStr">
        <is>
          <t>SZB</t>
        </is>
      </c>
      <c r="I85" s="18" t="inlineStr">
        <is>
          <t>Sultan Abdul Aziz Shah International Airport</t>
        </is>
      </c>
      <c r="J85" s="21" t="n">
        <v>15.3</v>
      </c>
      <c r="K85" s="18" t="inlineStr">
        <is>
          <t>SZB</t>
        </is>
      </c>
      <c r="L85" s="18" t="inlineStr">
        <is>
          <t>100k +  pop + capital</t>
        </is>
      </c>
      <c r="M85" s="22" t="n">
        <v>0.664</v>
      </c>
      <c r="N85" s="22" t="n">
        <v>1</v>
      </c>
      <c r="O85" s="18" t="n"/>
      <c r="P85" s="22">
        <f>IF(O85="",(About!$B$5*M85+About!$B$6*N85)/(About!$B$5+About!$B$6),About!$B$5*M85+About!$B$6*N85+About!$B$7*O85)</f>
        <v/>
      </c>
      <c r="Q85" s="23" t="n">
        <v>3.1412</v>
      </c>
      <c r="R85" s="23" t="n">
        <v>101.6865</v>
      </c>
    </row>
    <row r="86" ht="15" customHeight="1" s="12">
      <c r="A86" s="18" t="inlineStr">
        <is>
          <t>Medina</t>
        </is>
      </c>
      <c r="B86" s="18" t="inlineStr">
        <is>
          <t>Saudi Arabia</t>
        </is>
      </c>
      <c r="C86" s="19" t="n">
        <v>35300280</v>
      </c>
      <c r="D86" s="18" t="inlineStr">
        <is>
          <t>SA</t>
        </is>
      </c>
      <c r="E86" s="18" t="inlineStr">
        <is>
          <t>05</t>
        </is>
      </c>
      <c r="F86" s="20" t="n">
        <v>1300000</v>
      </c>
      <c r="G86" s="18" t="n"/>
      <c r="H86" s="18" t="inlineStr">
        <is>
          <t>MED</t>
        </is>
      </c>
      <c r="I86" s="18" t="inlineStr">
        <is>
          <t>Prince Mohammad Bin Abdulaziz Airport</t>
        </is>
      </c>
      <c r="J86" s="21" t="n">
        <v>13.2</v>
      </c>
      <c r="K86" s="18" t="inlineStr">
        <is>
          <t>MED</t>
        </is>
      </c>
      <c r="L86" s="18" t="inlineStr">
        <is>
          <t>100k +  pop + airport</t>
        </is>
      </c>
      <c r="M86" s="22" t="n">
        <v>0.664</v>
      </c>
      <c r="N86" s="22" t="n">
        <v>1</v>
      </c>
      <c r="O86" s="18" t="n"/>
      <c r="P86" s="22">
        <f>IF(O86="",(About!$B$5*M86+About!$B$6*N86)/(About!$B$5+About!$B$6),About!$B$5*M86+About!$B$6*N86+About!$B$7*O86)</f>
        <v/>
      </c>
      <c r="Q86" s="23" t="n">
        <v>24.4686</v>
      </c>
      <c r="R86" s="23" t="n">
        <v>39.6142</v>
      </c>
    </row>
    <row r="87" ht="15" customHeight="1" s="12">
      <c r="A87" s="18" t="inlineStr">
        <is>
          <t>Thessaloníki</t>
        </is>
      </c>
      <c r="B87" s="18" t="inlineStr">
        <is>
          <t>Greece</t>
        </is>
      </c>
      <c r="C87" s="19" t="n">
        <v>10372335</v>
      </c>
      <c r="D87" s="18" t="inlineStr">
        <is>
          <t>GR</t>
        </is>
      </c>
      <c r="E87" s="18" t="inlineStr">
        <is>
          <t>ESYE12</t>
        </is>
      </c>
      <c r="F87" s="20" t="n">
        <v>354290</v>
      </c>
      <c r="G87" s="18" t="n"/>
      <c r="H87" s="18" t="inlineStr">
        <is>
          <t>SKG</t>
        </is>
      </c>
      <c r="I87" s="18" t="inlineStr">
        <is>
          <t>Thessaloniki Macedonia International Airport</t>
        </is>
      </c>
      <c r="J87" s="21" t="n">
        <v>14.2</v>
      </c>
      <c r="K87" s="18" t="inlineStr">
        <is>
          <t>SKG</t>
        </is>
      </c>
      <c r="L87" s="18" t="inlineStr">
        <is>
          <t>100k +  pop + airport</t>
        </is>
      </c>
      <c r="M87" s="22" t="n">
        <v>0.659</v>
      </c>
      <c r="N87" s="22" t="n">
        <v>1</v>
      </c>
      <c r="O87" s="18" t="n"/>
      <c r="P87" s="22">
        <f>IF(O87="",(About!$B$5*M87+About!$B$6*N87)/(About!$B$5+About!$B$6),About!$B$5*M87+About!$B$6*N87+About!$B$7*O87)</f>
        <v/>
      </c>
      <c r="Q87" s="23" t="n">
        <v>40.6436</v>
      </c>
      <c r="R87" s="23" t="n">
        <v>22.9309</v>
      </c>
    </row>
    <row r="88" ht="15" customHeight="1" s="12">
      <c r="A88" s="18" t="inlineStr">
        <is>
          <t>Florence</t>
        </is>
      </c>
      <c r="B88" s="18" t="inlineStr">
        <is>
          <t>Italy</t>
        </is>
      </c>
      <c r="C88" s="19" t="n">
        <v>58932330</v>
      </c>
      <c r="D88" s="18" t="inlineStr">
        <is>
          <t>IT</t>
        </is>
      </c>
      <c r="E88" s="18" t="inlineStr">
        <is>
          <t>16</t>
        </is>
      </c>
      <c r="F88" s="20" t="n">
        <v>654594</v>
      </c>
      <c r="G88" s="18" t="n"/>
      <c r="H88" s="18" t="inlineStr">
        <is>
          <t>FLR</t>
        </is>
      </c>
      <c r="I88" s="18" t="inlineStr">
        <is>
          <t>Florence Airport, Peretola</t>
        </is>
      </c>
      <c r="J88" s="21" t="n">
        <v>4.8</v>
      </c>
      <c r="K88" s="18" t="inlineStr">
        <is>
          <t>FLR</t>
        </is>
      </c>
      <c r="L88" s="18" t="inlineStr">
        <is>
          <t>100k +  pop + airport</t>
        </is>
      </c>
      <c r="M88" s="22" t="n">
        <v>0.657</v>
      </c>
      <c r="N88" s="22" t="n">
        <v>1</v>
      </c>
      <c r="O88" s="18" t="n"/>
      <c r="P88" s="22">
        <f>IF(O88="",(About!$B$5*M88+About!$B$6*N88)/(About!$B$5+About!$B$6),About!$B$5*M88+About!$B$6*N88+About!$B$7*O88)</f>
        <v/>
      </c>
      <c r="Q88" s="23" t="n">
        <v>43.7792</v>
      </c>
      <c r="R88" s="23" t="n">
        <v>11.2463</v>
      </c>
    </row>
    <row r="89" ht="15" customHeight="1" s="12">
      <c r="A89" s="18" t="inlineStr">
        <is>
          <t>Tallinn</t>
        </is>
      </c>
      <c r="B89" s="18" t="inlineStr">
        <is>
          <t>Estonia</t>
        </is>
      </c>
      <c r="C89" s="19" t="n">
        <v>1360745</v>
      </c>
      <c r="D89" s="18" t="inlineStr">
        <is>
          <t>EE</t>
        </is>
      </c>
      <c r="E89" s="18" t="inlineStr">
        <is>
          <t>01</t>
        </is>
      </c>
      <c r="F89" s="20" t="n">
        <v>394024</v>
      </c>
      <c r="G89" s="18" t="inlineStr">
        <is>
          <t>Yes</t>
        </is>
      </c>
      <c r="H89" s="18" t="inlineStr">
        <is>
          <t>TLL</t>
        </is>
      </c>
      <c r="I89" s="18" t="inlineStr">
        <is>
          <t>Lennart Meri Tallinn Airport</t>
        </is>
      </c>
      <c r="J89" s="21" t="n">
        <v>5.2</v>
      </c>
      <c r="K89" s="18" t="inlineStr">
        <is>
          <t>CHE+TLL</t>
        </is>
      </c>
      <c r="L89" s="18" t="inlineStr">
        <is>
          <t>100k +  pop + capital + airport</t>
        </is>
      </c>
      <c r="M89" s="22" t="n">
        <v>0.643</v>
      </c>
      <c r="N89" s="22" t="n">
        <v>1</v>
      </c>
      <c r="O89" s="18" t="n"/>
      <c r="P89" s="22">
        <f>IF(O89="",(About!$B$5*M89+About!$B$6*N89)/(About!$B$5+About!$B$6),About!$B$5*M89+About!$B$6*N89+About!$B$7*O89)</f>
        <v/>
      </c>
      <c r="Q89" s="23" t="n">
        <v>59.437</v>
      </c>
      <c r="R89" s="23" t="n">
        <v>24.7535</v>
      </c>
    </row>
    <row r="90" ht="15" customHeight="1" s="12">
      <c r="A90" s="18" t="inlineStr">
        <is>
          <t>Tbilisi</t>
        </is>
      </c>
      <c r="B90" s="18" t="inlineStr">
        <is>
          <t>Georgia</t>
        </is>
      </c>
      <c r="C90" s="19" t="n">
        <v>3941100</v>
      </c>
      <c r="D90" s="18" t="inlineStr">
        <is>
          <t>GE</t>
        </is>
      </c>
      <c r="E90" s="18" t="inlineStr">
        <is>
          <t>51</t>
        </is>
      </c>
      <c r="F90" s="20" t="n">
        <v>1049498</v>
      </c>
      <c r="G90" s="18" t="inlineStr">
        <is>
          <t>Yes</t>
        </is>
      </c>
      <c r="H90" s="18" t="inlineStr">
        <is>
          <t>TBS</t>
        </is>
      </c>
      <c r="I90" s="18" t="inlineStr">
        <is>
          <t>Tbilisi International Airport</t>
        </is>
      </c>
      <c r="J90" s="21" t="n">
        <v>10.4</v>
      </c>
      <c r="K90" s="18" t="inlineStr">
        <is>
          <t>TBS</t>
        </is>
      </c>
      <c r="L90" s="18" t="inlineStr">
        <is>
          <t>100k +  pop + capital + airport</t>
        </is>
      </c>
      <c r="M90" s="22" t="n">
        <v>0.631</v>
      </c>
      <c r="N90" s="22" t="n">
        <v>1</v>
      </c>
      <c r="O90" s="18" t="n"/>
      <c r="P90" s="22">
        <f>IF(O90="",(About!$B$5*M90+About!$B$6*N90)/(About!$B$5+About!$B$6),About!$B$5*M90+About!$B$6*N90+About!$B$7*O90)</f>
        <v/>
      </c>
      <c r="Q90" s="23" t="n">
        <v>41.6941</v>
      </c>
      <c r="R90" s="23" t="n">
        <v>44.8337</v>
      </c>
    </row>
    <row r="91" ht="15" customHeight="1" s="12">
      <c r="A91" s="18" t="inlineStr">
        <is>
          <t>Marrakesh</t>
        </is>
      </c>
      <c r="B91" s="18" t="inlineStr">
        <is>
          <t>Morocco</t>
        </is>
      </c>
      <c r="C91" s="19" t="n">
        <v>36828330</v>
      </c>
      <c r="D91" s="18" t="inlineStr">
        <is>
          <t>MA</t>
        </is>
      </c>
      <c r="E91" s="18" t="inlineStr">
        <is>
          <t>07</t>
        </is>
      </c>
      <c r="F91" s="20" t="n">
        <v>839296</v>
      </c>
      <c r="G91" s="18" t="n"/>
      <c r="H91" s="18" t="inlineStr">
        <is>
          <t>RAK</t>
        </is>
      </c>
      <c r="I91" s="18" t="inlineStr">
        <is>
          <t>Marrakesh Menara Airport</t>
        </is>
      </c>
      <c r="J91" s="21" t="n">
        <v>4.7</v>
      </c>
      <c r="K91" s="18" t="inlineStr">
        <is>
          <t>RAK</t>
        </is>
      </c>
      <c r="L91" s="18" t="inlineStr">
        <is>
          <t>100k +  pop + airport</t>
        </is>
      </c>
      <c r="M91" s="22" t="n">
        <v>0.628</v>
      </c>
      <c r="N91" s="22" t="n">
        <v>1</v>
      </c>
      <c r="O91" s="18" t="n"/>
      <c r="P91" s="22">
        <f>IF(O91="",(About!$B$5*M91+About!$B$6*N91)/(About!$B$5+About!$B$6),About!$B$5*M91+About!$B$6*N91+About!$B$7*O91)</f>
        <v/>
      </c>
      <c r="Q91" s="23" t="n">
        <v>31.6342</v>
      </c>
      <c r="R91" s="23" t="n">
        <v>-7.9999</v>
      </c>
    </row>
    <row r="92" ht="15" customHeight="1" s="12">
      <c r="A92" s="18" t="inlineStr">
        <is>
          <t>Ródos</t>
        </is>
      </c>
      <c r="B92" s="18" t="inlineStr">
        <is>
          <t>Greece</t>
        </is>
      </c>
      <c r="C92" s="19" t="n">
        <v>10372335</v>
      </c>
      <c r="D92" s="18" t="inlineStr">
        <is>
          <t>GR</t>
        </is>
      </c>
      <c r="E92" s="18" t="inlineStr">
        <is>
          <t>ESYE42</t>
        </is>
      </c>
      <c r="F92" s="20" t="n">
        <v>56128</v>
      </c>
      <c r="G92" s="18" t="n"/>
      <c r="H92" s="18" t="inlineStr">
        <is>
          <t>RHO</t>
        </is>
      </c>
      <c r="I92" s="18" t="inlineStr">
        <is>
          <t>Rhodes International Airport "Diagoras"</t>
        </is>
      </c>
      <c r="J92" s="21" t="n">
        <v>12.6</v>
      </c>
      <c r="K92" s="18" t="inlineStr">
        <is>
          <t>RHO</t>
        </is>
      </c>
      <c r="L92" s="18" t="inlineStr">
        <is>
          <t>index</t>
        </is>
      </c>
      <c r="M92" s="22" t="n">
        <v>0.614</v>
      </c>
      <c r="N92" s="22" t="n">
        <v>1</v>
      </c>
      <c r="O92" s="18" t="n"/>
      <c r="P92" s="22">
        <f>IF(O92="",(About!$B$5*M92+About!$B$6*N92)/(About!$B$5+About!$B$6),About!$B$5*M92+About!$B$6*N92+About!$B$7*O92)</f>
        <v/>
      </c>
      <c r="Q92" s="23" t="n">
        <v>36.4356</v>
      </c>
      <c r="R92" s="23" t="n">
        <v>28.222</v>
      </c>
    </row>
    <row r="93" ht="15" customHeight="1" s="12">
      <c r="A93" s="18" t="inlineStr">
        <is>
          <t>Irákleion</t>
        </is>
      </c>
      <c r="B93" s="18" t="inlineStr">
        <is>
          <t>Greece</t>
        </is>
      </c>
      <c r="C93" s="19" t="n">
        <v>10372335</v>
      </c>
      <c r="D93" s="18" t="inlineStr">
        <is>
          <t>GR</t>
        </is>
      </c>
      <c r="E93" s="18" t="inlineStr">
        <is>
          <t>ESYE43</t>
        </is>
      </c>
      <c r="F93" s="20" t="n">
        <v>137154</v>
      </c>
      <c r="G93" s="18" t="n"/>
      <c r="H93" s="18" t="inlineStr">
        <is>
          <t>HER</t>
        </is>
      </c>
      <c r="I93" s="18" t="inlineStr">
        <is>
          <t>Heraklion International Nikos Kazantzakis Airport</t>
        </is>
      </c>
      <c r="J93" s="21" t="n">
        <v>3.6</v>
      </c>
      <c r="K93" s="18" t="inlineStr">
        <is>
          <t>HER</t>
        </is>
      </c>
      <c r="L93" s="18" t="inlineStr">
        <is>
          <t>100k +  pop + airport</t>
        </is>
      </c>
      <c r="M93" s="22" t="n">
        <v>0.612</v>
      </c>
      <c r="N93" s="22" t="n">
        <v>1</v>
      </c>
      <c r="O93" s="18" t="n"/>
      <c r="P93" s="22">
        <f>IF(O93="",(About!$B$5*M93+About!$B$6*N93)/(About!$B$5+About!$B$6),About!$B$5*M93+About!$B$6*N93+About!$B$7*O93)</f>
        <v/>
      </c>
      <c r="Q93" s="23" t="n">
        <v>35.3279</v>
      </c>
      <c r="R93" s="23" t="n">
        <v>25.1434</v>
      </c>
    </row>
    <row r="94" ht="15" customHeight="1" s="12">
      <c r="A94" s="18" t="inlineStr">
        <is>
          <t>Guangzhou</t>
        </is>
      </c>
      <c r="B94" s="18" t="inlineStr">
        <is>
          <t>China</t>
        </is>
      </c>
      <c r="C94" s="19" t="n">
        <v>1404890000</v>
      </c>
      <c r="D94" s="18" t="inlineStr">
        <is>
          <t>CN</t>
        </is>
      </c>
      <c r="E94" s="18" t="inlineStr">
        <is>
          <t>30</t>
        </is>
      </c>
      <c r="F94" s="20" t="n">
        <v>11071424</v>
      </c>
      <c r="G94" s="18" t="n"/>
      <c r="H94" s="18" t="inlineStr">
        <is>
          <t>FUO</t>
        </is>
      </c>
      <c r="I94" s="18" t="inlineStr">
        <is>
          <t>Foshan Shadi Airport</t>
        </is>
      </c>
      <c r="J94" s="21" t="n">
        <v>18.7</v>
      </c>
      <c r="K94" s="18" t="inlineStr">
        <is>
          <t>FUO</t>
        </is>
      </c>
      <c r="L94" s="18" t="inlineStr">
        <is>
          <t>100k +  pop</t>
        </is>
      </c>
      <c r="M94" s="22" t="n">
        <v>0.534</v>
      </c>
      <c r="N94" s="22" t="n">
        <v>1</v>
      </c>
      <c r="O94" s="18" t="n"/>
      <c r="P94" s="22">
        <f>IF(O94="",(About!$B$5*M94+About!$B$6*N94)/(About!$B$5+About!$B$6),About!$B$5*M94+About!$B$6*N94+About!$B$7*O94)</f>
        <v/>
      </c>
      <c r="Q94" s="23" t="n">
        <v>23.1167</v>
      </c>
      <c r="R94" s="23" t="n">
        <v>113.25</v>
      </c>
    </row>
    <row r="95" ht="15" customHeight="1" s="12">
      <c r="A95" s="18" t="inlineStr">
        <is>
          <t>Kyoto</t>
        </is>
      </c>
      <c r="B95" s="18" t="inlineStr">
        <is>
          <t>Japan</t>
        </is>
      </c>
      <c r="C95" s="19" t="n">
        <v>122810000</v>
      </c>
      <c r="D95" s="18" t="inlineStr">
        <is>
          <t>JP</t>
        </is>
      </c>
      <c r="E95" s="18" t="inlineStr">
        <is>
          <t>22</t>
        </is>
      </c>
      <c r="F95" s="20" t="n">
        <v>1459640</v>
      </c>
      <c r="G95" s="18" t="n"/>
      <c r="H95" s="18" t="n"/>
      <c r="I95" s="18" t="n"/>
      <c r="J95" s="18" t="n"/>
      <c r="K95" s="18" t="n"/>
      <c r="L95" s="18" t="inlineStr">
        <is>
          <t>100k +  pop</t>
        </is>
      </c>
      <c r="M95" s="22" t="n">
        <v>0</v>
      </c>
      <c r="N95" s="22" t="n">
        <v>1</v>
      </c>
      <c r="O95" s="18" t="n"/>
      <c r="P95" s="22">
        <f>IF(O95="",(About!$B$5*M95+About!$B$6*N95)/(About!$B$5+About!$B$6),About!$B$5*M95+About!$B$6*N95+About!$B$7*O95)</f>
        <v/>
      </c>
      <c r="Q95" s="23" t="n">
        <v>35.0211</v>
      </c>
      <c r="R95" s="23" t="n">
        <v>135.7538</v>
      </c>
    </row>
    <row r="96" ht="15" customHeight="1" s="12">
      <c r="A96" s="18" t="inlineStr">
        <is>
          <t>Mecca</t>
        </is>
      </c>
      <c r="B96" s="18" t="inlineStr">
        <is>
          <t>Saudi Arabia</t>
        </is>
      </c>
      <c r="C96" s="19" t="n">
        <v>35300280</v>
      </c>
      <c r="D96" s="18" t="inlineStr">
        <is>
          <t>SA</t>
        </is>
      </c>
      <c r="E96" s="18" t="inlineStr">
        <is>
          <t>14</t>
        </is>
      </c>
      <c r="F96" s="20" t="n">
        <v>1323624</v>
      </c>
      <c r="G96" s="18" t="n"/>
      <c r="H96" s="18" t="n"/>
      <c r="I96" s="18" t="n"/>
      <c r="J96" s="18" t="n"/>
      <c r="K96" s="18" t="n"/>
      <c r="L96" s="18" t="inlineStr">
        <is>
          <t>100k +  pop</t>
        </is>
      </c>
      <c r="M96" s="22" t="n">
        <v>0</v>
      </c>
      <c r="N96" s="22" t="n">
        <v>1</v>
      </c>
      <c r="O96" s="18" t="n"/>
      <c r="P96" s="22">
        <f>IF(O96="",(About!$B$5*M96+About!$B$6*N96)/(About!$B$5+About!$B$6),About!$B$5*M96+About!$B$6*N96+About!$B$7*O96)</f>
        <v/>
      </c>
      <c r="Q96" s="23" t="n">
        <v>21.4266</v>
      </c>
      <c r="R96" s="23" t="n">
        <v>39.8256</v>
      </c>
    </row>
    <row r="97" ht="15" customHeight="1" s="12">
      <c r="A97" s="18" t="inlineStr">
        <is>
          <t>Jerusalem</t>
        </is>
      </c>
      <c r="B97" s="18" t="inlineStr">
        <is>
          <t>Israel</t>
        </is>
      </c>
      <c r="C97" s="19" t="n">
        <v>10244000</v>
      </c>
      <c r="D97" s="18" t="inlineStr">
        <is>
          <t>IL</t>
        </is>
      </c>
      <c r="E97" s="18" t="inlineStr">
        <is>
          <t>06</t>
        </is>
      </c>
      <c r="F97" s="20" t="n">
        <v>801000</v>
      </c>
      <c r="G97" s="18" t="n"/>
      <c r="H97" s="18" t="n"/>
      <c r="I97" s="18" t="n"/>
      <c r="J97" s="18" t="n"/>
      <c r="K97" s="18" t="n"/>
      <c r="L97" s="18" t="inlineStr">
        <is>
          <t>100k +  pop</t>
        </is>
      </c>
      <c r="M97" s="22" t="n">
        <v>0</v>
      </c>
      <c r="N97" s="22" t="n">
        <v>1</v>
      </c>
      <c r="O97" s="18" t="n"/>
      <c r="P97" s="22">
        <f>IF(O97="",(About!$B$5*M97+About!$B$6*N97)/(About!$B$5+About!$B$6),About!$B$5*M97+About!$B$6*N97+About!$B$7*O97)</f>
        <v/>
      </c>
      <c r="Q97" s="23" t="n">
        <v>31.769</v>
      </c>
      <c r="R97" s="23" t="n">
        <v>35.2163</v>
      </c>
    </row>
    <row r="98" ht="15" customHeight="1" s="12">
      <c r="A98" s="18" t="inlineStr">
        <is>
          <t>Oslo</t>
        </is>
      </c>
      <c r="B98" s="18" t="inlineStr">
        <is>
          <t>Norway</t>
        </is>
      </c>
      <c r="C98" s="19" t="n">
        <v>5633770</v>
      </c>
      <c r="D98" s="18" t="inlineStr">
        <is>
          <t>NO</t>
        </is>
      </c>
      <c r="E98" s="18" t="inlineStr">
        <is>
          <t>12</t>
        </is>
      </c>
      <c r="F98" s="20" t="n">
        <v>580000</v>
      </c>
      <c r="G98" s="18" t="inlineStr">
        <is>
          <t>Yes</t>
        </is>
      </c>
      <c r="H98" s="18" t="n"/>
      <c r="I98" s="18" t="n"/>
      <c r="J98" s="18" t="n"/>
      <c r="K98" s="18" t="n"/>
      <c r="L98" s="18" t="inlineStr">
        <is>
          <t>100k +  pop + capital</t>
        </is>
      </c>
      <c r="M98" s="22" t="n">
        <v>0</v>
      </c>
      <c r="N98" s="22" t="n">
        <v>1</v>
      </c>
      <c r="O98" s="18" t="n"/>
      <c r="P98" s="22">
        <f>IF(O98="",(About!$B$5*M98+About!$B$6*N98)/(About!$B$5+About!$B$6),About!$B$5*M98+About!$B$6*N98+About!$B$7*O98)</f>
        <v/>
      </c>
      <c r="Q98" s="23" t="n">
        <v>59.9127</v>
      </c>
      <c r="R98" s="23" t="n">
        <v>10.7461</v>
      </c>
    </row>
    <row r="99" ht="15" customHeight="1" s="12">
      <c r="A99" s="18" t="inlineStr">
        <is>
          <t>Chicago</t>
        </is>
      </c>
      <c r="B99" s="18" t="inlineStr">
        <is>
          <t>United States</t>
        </is>
      </c>
      <c r="C99" s="19" t="n">
        <v>341784857</v>
      </c>
      <c r="D99" s="18" t="inlineStr">
        <is>
          <t>US</t>
        </is>
      </c>
      <c r="E99" s="18" t="inlineStr">
        <is>
          <t>IL</t>
        </is>
      </c>
      <c r="F99" s="20" t="n">
        <v>2720546</v>
      </c>
      <c r="G99" s="18" t="n"/>
      <c r="H99" s="18" t="inlineStr">
        <is>
          <t>ORD</t>
        </is>
      </c>
      <c r="I99" s="18" t="inlineStr">
        <is>
          <t>Chicago O'Hare International Airport</t>
        </is>
      </c>
      <c r="J99" s="21" t="n">
        <v>25.5</v>
      </c>
      <c r="K99" s="18" t="inlineStr">
        <is>
          <t>MDW+ORD</t>
        </is>
      </c>
      <c r="L99" s="18" t="inlineStr">
        <is>
          <t>100k +  pop + airport</t>
        </is>
      </c>
      <c r="M99" s="22" t="n">
        <v>0.986</v>
      </c>
      <c r="N99" s="22" t="n">
        <v>0</v>
      </c>
      <c r="O99" s="18" t="n"/>
      <c r="P99" s="22">
        <f>IF(O99="",(About!$B$5*M99+About!$B$6*N99)/(About!$B$5+About!$B$6),About!$B$5*M99+About!$B$6*N99+About!$B$7*O99)</f>
        <v/>
      </c>
      <c r="Q99" s="23" t="n">
        <v>41.85</v>
      </c>
      <c r="R99" s="23" t="n">
        <v>-87.65000000000001</v>
      </c>
    </row>
    <row r="100" ht="15" customHeight="1" s="12">
      <c r="A100" s="18" t="inlineStr">
        <is>
          <t>Atlanta</t>
        </is>
      </c>
      <c r="B100" s="18" t="inlineStr">
        <is>
          <t>United States</t>
        </is>
      </c>
      <c r="C100" s="19" t="n">
        <v>341784857</v>
      </c>
      <c r="D100" s="18" t="inlineStr">
        <is>
          <t>US</t>
        </is>
      </c>
      <c r="E100" s="18" t="inlineStr">
        <is>
          <t>GA</t>
        </is>
      </c>
      <c r="F100" s="20" t="n">
        <v>463878</v>
      </c>
      <c r="G100" s="18" t="n"/>
      <c r="H100" s="18" t="inlineStr">
        <is>
          <t>ATL</t>
        </is>
      </c>
      <c r="I100" s="18" t="inlineStr">
        <is>
          <t>Hartsfield Jackson Atlanta International Airport</t>
        </is>
      </c>
      <c r="J100" s="21" t="n">
        <v>13</v>
      </c>
      <c r="K100" s="18" t="inlineStr">
        <is>
          <t>ATL+PDK</t>
        </is>
      </c>
      <c r="L100" s="18" t="inlineStr">
        <is>
          <t>100k +  pop + airport</t>
        </is>
      </c>
      <c r="M100" s="22" t="n">
        <v>0.971</v>
      </c>
      <c r="N100" s="22" t="n">
        <v>0</v>
      </c>
      <c r="O100" s="18" t="n"/>
      <c r="P100" s="22">
        <f>IF(O100="",(About!$B$5*M100+About!$B$6*N100)/(About!$B$5+About!$B$6),About!$B$5*M100+About!$B$6*N100+About!$B$7*O100)</f>
        <v/>
      </c>
      <c r="Q100" s="23" t="n">
        <v>33.749</v>
      </c>
      <c r="R100" s="23" t="n">
        <v>-84.38800000000001</v>
      </c>
    </row>
    <row r="101" ht="15" customHeight="1" s="12">
      <c r="A101" s="18" t="inlineStr">
        <is>
          <t>Denver</t>
        </is>
      </c>
      <c r="B101" s="18" t="inlineStr">
        <is>
          <t>United States</t>
        </is>
      </c>
      <c r="C101" s="19" t="n">
        <v>341784857</v>
      </c>
      <c r="D101" s="18" t="inlineStr">
        <is>
          <t>US</t>
        </is>
      </c>
      <c r="E101" s="18" t="inlineStr">
        <is>
          <t>CO</t>
        </is>
      </c>
      <c r="F101" s="20" t="n">
        <v>682545</v>
      </c>
      <c r="G101" s="18" t="n"/>
      <c r="H101" s="18" t="inlineStr">
        <is>
          <t>DEN</t>
        </is>
      </c>
      <c r="I101" s="18" t="inlineStr">
        <is>
          <t>Denver International Airport</t>
        </is>
      </c>
      <c r="J101" s="21" t="n">
        <v>29.8</v>
      </c>
      <c r="K101" s="18" t="inlineStr">
        <is>
          <t>BJC+DEN</t>
        </is>
      </c>
      <c r="L101" s="18" t="inlineStr">
        <is>
          <t>100k +  pop + airport</t>
        </is>
      </c>
      <c r="M101" s="22" t="n">
        <v>0.967</v>
      </c>
      <c r="N101" s="22" t="n">
        <v>0</v>
      </c>
      <c r="O101" s="18" t="n"/>
      <c r="P101" s="22">
        <f>IF(O101="",(About!$B$5*M101+About!$B$6*N101)/(About!$B$5+About!$B$6),About!$B$5*M101+About!$B$6*N101+About!$B$7*O101)</f>
        <v/>
      </c>
      <c r="Q101" s="23" t="n">
        <v>39.7392</v>
      </c>
      <c r="R101" s="23" t="n">
        <v>-104.9847</v>
      </c>
    </row>
    <row r="102" ht="15" customHeight="1" s="12">
      <c r="A102" s="18" t="inlineStr">
        <is>
          <t>Moscow</t>
        </is>
      </c>
      <c r="B102" s="18" t="inlineStr">
        <is>
          <t>Russia</t>
        </is>
      </c>
      <c r="C102" s="19" t="n">
        <v>146028325</v>
      </c>
      <c r="D102" s="18" t="inlineStr">
        <is>
          <t>RU</t>
        </is>
      </c>
      <c r="E102" s="18" t="inlineStr">
        <is>
          <t>48</t>
        </is>
      </c>
      <c r="F102" s="20" t="n">
        <v>10381222</v>
      </c>
      <c r="G102" s="18" t="inlineStr">
        <is>
          <t>Yes</t>
        </is>
      </c>
      <c r="H102" s="18" t="inlineStr">
        <is>
          <t>SVO</t>
        </is>
      </c>
      <c r="I102" s="18" t="inlineStr">
        <is>
          <t>Sheremetyevo International Airport</t>
        </is>
      </c>
      <c r="J102" s="21" t="n">
        <v>28</v>
      </c>
      <c r="K102" s="18" t="inlineStr">
        <is>
          <t>DME+SVO+VKO+ZIA</t>
        </is>
      </c>
      <c r="L102" s="18" t="inlineStr">
        <is>
          <t>100k +  pop + capital + airport</t>
        </is>
      </c>
      <c r="M102" s="22" t="n">
        <v>0.962</v>
      </c>
      <c r="N102" s="22" t="n">
        <v>0</v>
      </c>
      <c r="O102" s="18" t="n"/>
      <c r="P102" s="22">
        <f>IF(O102="",(About!$B$5*M102+About!$B$6*N102)/(About!$B$5+About!$B$6),About!$B$5*M102+About!$B$6*N102+About!$B$7*O102)</f>
        <v/>
      </c>
      <c r="Q102" s="23" t="n">
        <v>55.7522</v>
      </c>
      <c r="R102" s="23" t="n">
        <v>37.6156</v>
      </c>
    </row>
    <row r="103" ht="15" customHeight="1" s="12">
      <c r="A103" s="18" t="inlineStr">
        <is>
          <t>Wiesbaden</t>
        </is>
      </c>
      <c r="B103" s="18" t="inlineStr">
        <is>
          <t>Germany</t>
        </is>
      </c>
      <c r="C103" s="19" t="n">
        <v>83497147</v>
      </c>
      <c r="D103" s="18" t="inlineStr">
        <is>
          <t>DE</t>
        </is>
      </c>
      <c r="E103" s="18" t="inlineStr">
        <is>
          <t>05</t>
        </is>
      </c>
      <c r="F103" s="20" t="n">
        <v>272432</v>
      </c>
      <c r="G103" s="18" t="n"/>
      <c r="H103" s="18" t="inlineStr">
        <is>
          <t>FRA</t>
        </is>
      </c>
      <c r="I103" s="18" t="inlineStr">
        <is>
          <t>Frankfurt Main Airport</t>
        </is>
      </c>
      <c r="J103" s="21" t="n">
        <v>22.9</v>
      </c>
      <c r="K103" s="18" t="inlineStr">
        <is>
          <t>FRA</t>
        </is>
      </c>
      <c r="L103" s="18" t="inlineStr">
        <is>
          <t>100k +  pop</t>
        </is>
      </c>
      <c r="M103" s="22" t="n">
        <v>0.963</v>
      </c>
      <c r="N103" s="22" t="n">
        <v>0</v>
      </c>
      <c r="O103" s="18" t="n"/>
      <c r="P103" s="22">
        <f>IF(O103="",(About!$B$5*M103+About!$B$6*N103)/(About!$B$5+About!$B$6),About!$B$5*M103+About!$B$6*N103+About!$B$7*O103)</f>
        <v/>
      </c>
      <c r="Q103" s="23" t="n">
        <v>50.0826</v>
      </c>
      <c r="R103" s="23" t="n">
        <v>8.2493</v>
      </c>
    </row>
    <row r="104" ht="15" customHeight="1" s="12">
      <c r="A104" s="18" t="inlineStr">
        <is>
          <t>Mainz</t>
        </is>
      </c>
      <c r="B104" s="18" t="inlineStr">
        <is>
          <t>Germany</t>
        </is>
      </c>
      <c r="C104" s="19" t="n">
        <v>83497147</v>
      </c>
      <c r="D104" s="18" t="inlineStr">
        <is>
          <t>DE</t>
        </is>
      </c>
      <c r="E104" s="18" t="inlineStr">
        <is>
          <t>08</t>
        </is>
      </c>
      <c r="F104" s="20" t="n">
        <v>184997</v>
      </c>
      <c r="G104" s="18" t="n"/>
      <c r="H104" s="18" t="inlineStr">
        <is>
          <t>FRA</t>
        </is>
      </c>
      <c r="I104" s="18" t="inlineStr">
        <is>
          <t>Frankfurt Main Airport</t>
        </is>
      </c>
      <c r="J104" s="21" t="n">
        <v>20.5</v>
      </c>
      <c r="K104" s="18" t="inlineStr">
        <is>
          <t>FRA</t>
        </is>
      </c>
      <c r="L104" s="18" t="inlineStr">
        <is>
          <t>100k +  pop</t>
        </is>
      </c>
      <c r="M104" s="22" t="n">
        <v>0.963</v>
      </c>
      <c r="N104" s="22" t="n">
        <v>0</v>
      </c>
      <c r="O104" s="18" t="n"/>
      <c r="P104" s="22">
        <f>IF(O104="",(About!$B$5*M104+About!$B$6*N104)/(About!$B$5+About!$B$6),About!$B$5*M104+About!$B$6*N104+About!$B$7*O104)</f>
        <v/>
      </c>
      <c r="Q104" s="23" t="n">
        <v>49.9842</v>
      </c>
      <c r="R104" s="23" t="n">
        <v>8.2791</v>
      </c>
    </row>
    <row r="105" ht="15" customHeight="1" s="12">
      <c r="A105" s="18" t="inlineStr">
        <is>
          <t>Darmstadt</t>
        </is>
      </c>
      <c r="B105" s="18" t="inlineStr">
        <is>
          <t>Germany</t>
        </is>
      </c>
      <c r="C105" s="19" t="n">
        <v>83497147</v>
      </c>
      <c r="D105" s="18" t="inlineStr">
        <is>
          <t>DE</t>
        </is>
      </c>
      <c r="E105" s="18" t="inlineStr">
        <is>
          <t>05</t>
        </is>
      </c>
      <c r="F105" s="20" t="n">
        <v>140385</v>
      </c>
      <c r="G105" s="18" t="n"/>
      <c r="H105" s="18" t="inlineStr">
        <is>
          <t>FRA</t>
        </is>
      </c>
      <c r="I105" s="18" t="inlineStr">
        <is>
          <t>Frankfurt Main Airport</t>
        </is>
      </c>
      <c r="J105" s="21" t="n">
        <v>18.5</v>
      </c>
      <c r="K105" s="18" t="inlineStr">
        <is>
          <t>FRA</t>
        </is>
      </c>
      <c r="L105" s="18" t="inlineStr">
        <is>
          <t>100k +  pop</t>
        </is>
      </c>
      <c r="M105" s="22" t="n">
        <v>0.963</v>
      </c>
      <c r="N105" s="22" t="n">
        <v>0</v>
      </c>
      <c r="O105" s="18" t="n"/>
      <c r="P105" s="22">
        <f>IF(O105="",(About!$B$5*M105+About!$B$6*N105)/(About!$B$5+About!$B$6),About!$B$5*M105+About!$B$6*N105+About!$B$7*O105)</f>
        <v/>
      </c>
      <c r="Q105" s="23" t="n">
        <v>49.8717</v>
      </c>
      <c r="R105" s="23" t="n">
        <v>8.6503</v>
      </c>
    </row>
    <row r="106" ht="15" customHeight="1" s="12">
      <c r="A106" s="18" t="inlineStr">
        <is>
          <t>Offenbach</t>
        </is>
      </c>
      <c r="B106" s="18" t="inlineStr">
        <is>
          <t>Germany</t>
        </is>
      </c>
      <c r="C106" s="19" t="n">
        <v>83497147</v>
      </c>
      <c r="D106" s="18" t="inlineStr">
        <is>
          <t>DE</t>
        </is>
      </c>
      <c r="E106" s="18" t="inlineStr">
        <is>
          <t>05</t>
        </is>
      </c>
      <c r="F106" s="20" t="n">
        <v>119192</v>
      </c>
      <c r="G106" s="18" t="n"/>
      <c r="H106" s="18" t="inlineStr">
        <is>
          <t>FRA</t>
        </is>
      </c>
      <c r="I106" s="18" t="inlineStr">
        <is>
          <t>Frankfurt Main Airport</t>
        </is>
      </c>
      <c r="J106" s="21" t="n">
        <v>17</v>
      </c>
      <c r="K106" s="18" t="inlineStr">
        <is>
          <t>FRA</t>
        </is>
      </c>
      <c r="L106" s="18" t="inlineStr">
        <is>
          <t>100k +  pop</t>
        </is>
      </c>
      <c r="M106" s="22" t="n">
        <v>0.963</v>
      </c>
      <c r="N106" s="22" t="n">
        <v>0</v>
      </c>
      <c r="O106" s="18" t="n"/>
      <c r="P106" s="22">
        <f>IF(O106="",(About!$B$5*M106+About!$B$6*N106)/(About!$B$5+About!$B$6),About!$B$5*M106+About!$B$6*N106+About!$B$7*O106)</f>
        <v/>
      </c>
      <c r="Q106" s="23" t="n">
        <v>50.1006</v>
      </c>
      <c r="R106" s="23" t="n">
        <v>8.766500000000001</v>
      </c>
    </row>
    <row r="107" ht="15" customHeight="1" s="12">
      <c r="A107" s="18" t="inlineStr">
        <is>
          <t>Minneapolis</t>
        </is>
      </c>
      <c r="B107" s="18" t="inlineStr">
        <is>
          <t>United States</t>
        </is>
      </c>
      <c r="C107" s="19" t="n">
        <v>341784857</v>
      </c>
      <c r="D107" s="18" t="inlineStr">
        <is>
          <t>US</t>
        </is>
      </c>
      <c r="E107" s="18" t="inlineStr">
        <is>
          <t>MN</t>
        </is>
      </c>
      <c r="F107" s="20" t="n">
        <v>410939</v>
      </c>
      <c r="G107" s="18" t="n"/>
      <c r="H107" s="18" t="inlineStr">
        <is>
          <t>MSP</t>
        </is>
      </c>
      <c r="I107" s="18" t="inlineStr">
        <is>
          <t>Minneapolis–Saint Paul International Airport / Wold–Chamberlain Field</t>
        </is>
      </c>
      <c r="J107" s="21" t="n">
        <v>11.6</v>
      </c>
      <c r="K107" s="18" t="inlineStr">
        <is>
          <t>MSP</t>
        </is>
      </c>
      <c r="L107" s="18" t="inlineStr">
        <is>
          <t>100k +  pop + airport</t>
        </is>
      </c>
      <c r="M107" s="22" t="n">
        <v>0.944</v>
      </c>
      <c r="N107" s="22" t="n">
        <v>0</v>
      </c>
      <c r="O107" s="18" t="n"/>
      <c r="P107" s="22">
        <f>IF(O107="",(About!$B$5*M107+About!$B$6*N107)/(About!$B$5+About!$B$6),About!$B$5*M107+About!$B$6*N107+About!$B$7*O107)</f>
        <v/>
      </c>
      <c r="Q107" s="23" t="n">
        <v>44.98</v>
      </c>
      <c r="R107" s="23" t="n">
        <v>-93.2638</v>
      </c>
    </row>
    <row r="108" ht="15" customHeight="1" s="12">
      <c r="A108" s="18" t="inlineStr">
        <is>
          <t>Houston</t>
        </is>
      </c>
      <c r="B108" s="18" t="inlineStr">
        <is>
          <t>United States</t>
        </is>
      </c>
      <c r="C108" s="19" t="n">
        <v>341784857</v>
      </c>
      <c r="D108" s="18" t="inlineStr">
        <is>
          <t>US</t>
        </is>
      </c>
      <c r="E108" s="18" t="inlineStr">
        <is>
          <t>TX</t>
        </is>
      </c>
      <c r="F108" s="20" t="n">
        <v>2296224</v>
      </c>
      <c r="G108" s="18" t="n"/>
      <c r="H108" s="18" t="inlineStr">
        <is>
          <t>IAH</t>
        </is>
      </c>
      <c r="I108" s="18" t="inlineStr">
        <is>
          <t>George Bush Intercontinental Airport</t>
        </is>
      </c>
      <c r="J108" s="21" t="n">
        <v>24.7</v>
      </c>
      <c r="K108" s="18" t="inlineStr">
        <is>
          <t>HOU+IAH</t>
        </is>
      </c>
      <c r="L108" s="18" t="inlineStr">
        <is>
          <t>100k +  pop + airport</t>
        </is>
      </c>
      <c r="M108" s="22" t="n">
        <v>0.9360000000000001</v>
      </c>
      <c r="N108" s="22" t="n">
        <v>0</v>
      </c>
      <c r="O108" s="18" t="n"/>
      <c r="P108" s="22">
        <f>IF(O108="",(About!$B$5*M108+About!$B$6*N108)/(About!$B$5+About!$B$6),About!$B$5*M108+About!$B$6*N108+About!$B$7*O108)</f>
        <v/>
      </c>
      <c r="Q108" s="23" t="n">
        <v>29.7633</v>
      </c>
      <c r="R108" s="23" t="n">
        <v>-95.3633</v>
      </c>
    </row>
    <row r="109" ht="15" customHeight="1" s="12">
      <c r="A109" s="18" t="inlineStr">
        <is>
          <t>Haarlem</t>
        </is>
      </c>
      <c r="B109" s="18" t="inlineStr">
        <is>
          <t>Netherlands</t>
        </is>
      </c>
      <c r="C109" s="19" t="n">
        <v>18147273</v>
      </c>
      <c r="D109" s="18" t="inlineStr">
        <is>
          <t>NL</t>
        </is>
      </c>
      <c r="E109" s="18" t="inlineStr">
        <is>
          <t>07</t>
        </is>
      </c>
      <c r="F109" s="20" t="n">
        <v>147590</v>
      </c>
      <c r="G109" s="18" t="n"/>
      <c r="H109" s="18" t="inlineStr">
        <is>
          <t>AMS</t>
        </is>
      </c>
      <c r="I109" s="18" t="inlineStr">
        <is>
          <t>Amsterdam Airport Schiphol</t>
        </is>
      </c>
      <c r="J109" s="21" t="n">
        <v>11.8</v>
      </c>
      <c r="K109" s="18" t="inlineStr">
        <is>
          <t>AMS</t>
        </is>
      </c>
      <c r="L109" s="18" t="inlineStr">
        <is>
          <t>100k +  pop</t>
        </is>
      </c>
      <c r="M109" s="22" t="n">
        <v>0.931</v>
      </c>
      <c r="N109" s="22" t="n">
        <v>0</v>
      </c>
      <c r="O109" s="18" t="n"/>
      <c r="P109" s="22">
        <f>IF(O109="",(About!$B$5*M109+About!$B$6*N109)/(About!$B$5+About!$B$6),About!$B$5*M109+About!$B$6*N109+About!$B$7*O109)</f>
        <v/>
      </c>
      <c r="Q109" s="23" t="n">
        <v>52.3808</v>
      </c>
      <c r="R109" s="23" t="n">
        <v>4.6368</v>
      </c>
    </row>
    <row r="110" ht="15" customHeight="1" s="12">
      <c r="A110" s="18" t="inlineStr">
        <is>
          <t>Leiden</t>
        </is>
      </c>
      <c r="B110" s="18" t="inlineStr">
        <is>
          <t>Netherlands</t>
        </is>
      </c>
      <c r="C110" s="19" t="n">
        <v>18147273</v>
      </c>
      <c r="D110" s="18" t="inlineStr">
        <is>
          <t>NL</t>
        </is>
      </c>
      <c r="E110" s="18" t="inlineStr">
        <is>
          <t>11</t>
        </is>
      </c>
      <c r="F110" s="20" t="n">
        <v>119713</v>
      </c>
      <c r="G110" s="18" t="n"/>
      <c r="H110" s="18" t="inlineStr">
        <is>
          <t>AMS</t>
        </is>
      </c>
      <c r="I110" s="18" t="inlineStr">
        <is>
          <t>Amsterdam Airport Schiphol</t>
        </is>
      </c>
      <c r="J110" s="21" t="n">
        <v>24.9</v>
      </c>
      <c r="K110" s="18" t="inlineStr">
        <is>
          <t>AMS+RTM</t>
        </is>
      </c>
      <c r="L110" s="18" t="inlineStr">
        <is>
          <t>100k +  pop</t>
        </is>
      </c>
      <c r="M110" s="22" t="n">
        <v>0.931</v>
      </c>
      <c r="N110" s="22" t="n">
        <v>0</v>
      </c>
      <c r="O110" s="18" t="n"/>
      <c r="P110" s="22">
        <f>IF(O110="",(About!$B$5*M110+About!$B$6*N110)/(About!$B$5+About!$B$6),About!$B$5*M110+About!$B$6*N110+About!$B$7*O110)</f>
        <v/>
      </c>
      <c r="Q110" s="23" t="n">
        <v>52.1583</v>
      </c>
      <c r="R110" s="23" t="n">
        <v>4.4931</v>
      </c>
    </row>
    <row r="111" ht="15" customHeight="1" s="12">
      <c r="A111" s="18" t="inlineStr">
        <is>
          <t>Seattle</t>
        </is>
      </c>
      <c r="B111" s="18" t="inlineStr">
        <is>
          <t>United States</t>
        </is>
      </c>
      <c r="C111" s="19" t="n">
        <v>341784857</v>
      </c>
      <c r="D111" s="18" t="inlineStr">
        <is>
          <t>US</t>
        </is>
      </c>
      <c r="E111" s="18" t="inlineStr">
        <is>
          <t>WA</t>
        </is>
      </c>
      <c r="F111" s="20" t="n">
        <v>684451</v>
      </c>
      <c r="G111" s="18" t="n"/>
      <c r="H111" s="18" t="inlineStr">
        <is>
          <t>SEA</t>
        </is>
      </c>
      <c r="I111" s="18" t="inlineStr">
        <is>
          <t>Seattle–Tacoma International Airport</t>
        </is>
      </c>
      <c r="J111" s="21" t="n">
        <v>17.7</v>
      </c>
      <c r="K111" s="18" t="inlineStr">
        <is>
          <t>BFI+KEH+LKE+SEA</t>
        </is>
      </c>
      <c r="L111" s="18" t="inlineStr">
        <is>
          <t>100k +  pop + airport</t>
        </is>
      </c>
      <c r="M111" s="22" t="n">
        <v>0.929</v>
      </c>
      <c r="N111" s="22" t="n">
        <v>0</v>
      </c>
      <c r="O111" s="18" t="n"/>
      <c r="P111" s="22">
        <f>IF(O111="",(About!$B$5*M111+About!$B$6*N111)/(About!$B$5+About!$B$6),About!$B$5*M111+About!$B$6*N111+About!$B$7*O111)</f>
        <v/>
      </c>
      <c r="Q111" s="23" t="n">
        <v>47.6062</v>
      </c>
      <c r="R111" s="23" t="n">
        <v>-122.3321</v>
      </c>
    </row>
    <row r="112" ht="15" customHeight="1" s="12">
      <c r="A112" s="18" t="inlineStr">
        <is>
          <t>Detroit</t>
        </is>
      </c>
      <c r="B112" s="18" t="inlineStr">
        <is>
          <t>United States</t>
        </is>
      </c>
      <c r="C112" s="19" t="n">
        <v>341784857</v>
      </c>
      <c r="D112" s="18" t="inlineStr">
        <is>
          <t>US</t>
        </is>
      </c>
      <c r="E112" s="18" t="inlineStr">
        <is>
          <t>MI</t>
        </is>
      </c>
      <c r="F112" s="20" t="n">
        <v>677116</v>
      </c>
      <c r="G112" s="18" t="n"/>
      <c r="H112" s="18" t="inlineStr">
        <is>
          <t>DTW</t>
        </is>
      </c>
      <c r="I112" s="18" t="inlineStr">
        <is>
          <t>Detroit Metropolitan Wayne County Airport</t>
        </is>
      </c>
      <c r="J112" s="21" t="n">
        <v>28.5</v>
      </c>
      <c r="K112" s="18" t="inlineStr">
        <is>
          <t>DTW+YQG</t>
        </is>
      </c>
      <c r="L112" s="18" t="inlineStr">
        <is>
          <t>100k +  pop + airport</t>
        </is>
      </c>
      <c r="M112" s="22" t="n">
        <v>0.929</v>
      </c>
      <c r="N112" s="22" t="n">
        <v>0</v>
      </c>
      <c r="O112" s="18" t="n"/>
      <c r="P112" s="22">
        <f>IF(O112="",(About!$B$5*M112+About!$B$6*N112)/(About!$B$5+About!$B$6),About!$B$5*M112+About!$B$6*N112+About!$B$7*O112)</f>
        <v/>
      </c>
      <c r="Q112" s="23" t="n">
        <v>42.3314</v>
      </c>
      <c r="R112" s="23" t="n">
        <v>-83.0457</v>
      </c>
    </row>
    <row r="113" ht="15" customHeight="1" s="12">
      <c r="A113" s="18" t="inlineStr">
        <is>
          <t>Boston</t>
        </is>
      </c>
      <c r="B113" s="18" t="inlineStr">
        <is>
          <t>United States</t>
        </is>
      </c>
      <c r="C113" s="19" t="n">
        <v>341784857</v>
      </c>
      <c r="D113" s="18" t="inlineStr">
        <is>
          <t>US</t>
        </is>
      </c>
      <c r="E113" s="18" t="inlineStr">
        <is>
          <t>MA</t>
        </is>
      </c>
      <c r="F113" s="20" t="n">
        <v>667137</v>
      </c>
      <c r="G113" s="18" t="n"/>
      <c r="H113" s="18" t="inlineStr">
        <is>
          <t>BOS</t>
        </is>
      </c>
      <c r="I113" s="18" t="inlineStr">
        <is>
          <t>Boston Logan International Airport</t>
        </is>
      </c>
      <c r="J113" s="21" t="n">
        <v>4.3</v>
      </c>
      <c r="K113" s="18" t="inlineStr">
        <is>
          <t>BED+BOS</t>
        </is>
      </c>
      <c r="L113" s="18" t="inlineStr">
        <is>
          <t>100k +  pop + airport</t>
        </is>
      </c>
      <c r="M113" s="22" t="n">
        <v>0.918</v>
      </c>
      <c r="N113" s="22" t="n">
        <v>0</v>
      </c>
      <c r="O113" s="18" t="n"/>
      <c r="P113" s="22">
        <f>IF(O113="",(About!$B$5*M113+About!$B$6*N113)/(About!$B$5+About!$B$6),About!$B$5*M113+About!$B$6*N113+About!$B$7*O113)</f>
        <v/>
      </c>
      <c r="Q113" s="23" t="n">
        <v>42.3584</v>
      </c>
      <c r="R113" s="23" t="n">
        <v>-71.0598</v>
      </c>
    </row>
    <row r="114" ht="15" customHeight="1" s="12">
      <c r="A114" s="18" t="inlineStr">
        <is>
          <t>Yokohama</t>
        </is>
      </c>
      <c r="B114" s="18" t="inlineStr">
        <is>
          <t>Japan</t>
        </is>
      </c>
      <c r="C114" s="19" t="n">
        <v>122810000</v>
      </c>
      <c r="D114" s="18" t="inlineStr">
        <is>
          <t>JP</t>
        </is>
      </c>
      <c r="E114" s="18" t="inlineStr">
        <is>
          <t>19</t>
        </is>
      </c>
      <c r="F114" s="20" t="n">
        <v>3574443</v>
      </c>
      <c r="G114" s="18" t="n"/>
      <c r="H114" s="18" t="inlineStr">
        <is>
          <t>HND</t>
        </is>
      </c>
      <c r="I114" s="18" t="inlineStr">
        <is>
          <t>Tokyo Haneda International Airport</t>
        </is>
      </c>
      <c r="J114" s="21" t="n">
        <v>17.9</v>
      </c>
      <c r="K114" s="18" t="inlineStr">
        <is>
          <t>HND</t>
        </is>
      </c>
      <c r="L114" s="18" t="inlineStr">
        <is>
          <t>100k +  pop</t>
        </is>
      </c>
      <c r="M114" s="22" t="n">
        <v>0.908</v>
      </c>
      <c r="N114" s="22" t="n">
        <v>0</v>
      </c>
      <c r="O114" s="18" t="n"/>
      <c r="P114" s="22">
        <f>IF(O114="",(About!$B$5*M114+About!$B$6*N114)/(About!$B$5+About!$B$6),About!$B$5*M114+About!$B$6*N114+About!$B$7*O114)</f>
        <v/>
      </c>
      <c r="Q114" s="23" t="n">
        <v>35.4333</v>
      </c>
      <c r="R114" s="23" t="n">
        <v>139.65</v>
      </c>
    </row>
    <row r="115" ht="15" customHeight="1" s="12">
      <c r="A115" s="18" t="inlineStr">
        <is>
          <t>Phoenix</t>
        </is>
      </c>
      <c r="B115" s="18" t="inlineStr">
        <is>
          <t>United States</t>
        </is>
      </c>
      <c r="C115" s="19" t="n">
        <v>341784857</v>
      </c>
      <c r="D115" s="18" t="inlineStr">
        <is>
          <t>US</t>
        </is>
      </c>
      <c r="E115" s="18" t="inlineStr">
        <is>
          <t>AZ</t>
        </is>
      </c>
      <c r="F115" s="20" t="n">
        <v>1563025</v>
      </c>
      <c r="G115" s="18" t="n"/>
      <c r="H115" s="18" t="inlineStr">
        <is>
          <t>PHX</t>
        </is>
      </c>
      <c r="I115" s="18" t="inlineStr">
        <is>
          <t>Phoenix Sky Harbor International Airport</t>
        </is>
      </c>
      <c r="J115" s="21" t="n">
        <v>6.5</v>
      </c>
      <c r="K115" s="18" t="inlineStr">
        <is>
          <t>PHX</t>
        </is>
      </c>
      <c r="L115" s="18" t="inlineStr">
        <is>
          <t>100k +  pop + airport</t>
        </is>
      </c>
      <c r="M115" s="22" t="n">
        <v>0.907</v>
      </c>
      <c r="N115" s="22" t="n">
        <v>0</v>
      </c>
      <c r="O115" s="18" t="n"/>
      <c r="P115" s="22">
        <f>IF(O115="",(About!$B$5*M115+About!$B$6*N115)/(About!$B$5+About!$B$6),About!$B$5*M115+About!$B$6*N115+About!$B$7*O115)</f>
        <v/>
      </c>
      <c r="Q115" s="23" t="n">
        <v>33.4484</v>
      </c>
      <c r="R115" s="23" t="n">
        <v>-112.074</v>
      </c>
    </row>
    <row r="116" ht="15" customHeight="1" s="12">
      <c r="A116" s="18" t="inlineStr">
        <is>
          <t>Scottsdale</t>
        </is>
      </c>
      <c r="B116" s="18" t="inlineStr">
        <is>
          <t>United States</t>
        </is>
      </c>
      <c r="C116" s="19" t="n">
        <v>341784857</v>
      </c>
      <c r="D116" s="18" t="inlineStr">
        <is>
          <t>US</t>
        </is>
      </c>
      <c r="E116" s="18" t="inlineStr">
        <is>
          <t>AZ</t>
        </is>
      </c>
      <c r="F116" s="20" t="n">
        <v>236839</v>
      </c>
      <c r="G116" s="18" t="n"/>
      <c r="H116" s="18" t="inlineStr">
        <is>
          <t>PHX</t>
        </is>
      </c>
      <c r="I116" s="18" t="inlineStr">
        <is>
          <t>Phoenix Sky Harbor International Airport</t>
        </is>
      </c>
      <c r="J116" s="21" t="n">
        <v>12.9</v>
      </c>
      <c r="K116" s="18" t="inlineStr">
        <is>
          <t>PHX</t>
        </is>
      </c>
      <c r="L116" s="18" t="inlineStr">
        <is>
          <t>100k +  pop</t>
        </is>
      </c>
      <c r="M116" s="22" t="n">
        <v>0.907</v>
      </c>
      <c r="N116" s="22" t="n">
        <v>0</v>
      </c>
      <c r="O116" s="18" t="n"/>
      <c r="P116" s="22">
        <f>IF(O116="",(About!$B$5*M116+About!$B$6*N116)/(About!$B$5+About!$B$6),About!$B$5*M116+About!$B$6*N116+About!$B$7*O116)</f>
        <v/>
      </c>
      <c r="Q116" s="23" t="n">
        <v>33.5092</v>
      </c>
      <c r="R116" s="23" t="n">
        <v>-111.899</v>
      </c>
    </row>
    <row r="117" ht="15" customHeight="1" s="12">
      <c r="A117" s="18" t="inlineStr">
        <is>
          <t>Addis Ababa</t>
        </is>
      </c>
      <c r="B117" s="18" t="inlineStr">
        <is>
          <t>Ethiopia</t>
        </is>
      </c>
      <c r="C117" s="19" t="n">
        <v>111652998</v>
      </c>
      <c r="D117" s="18" t="inlineStr">
        <is>
          <t>ET</t>
        </is>
      </c>
      <c r="E117" s="18" t="inlineStr">
        <is>
          <t>44</t>
        </is>
      </c>
      <c r="F117" s="20" t="n">
        <v>2757729</v>
      </c>
      <c r="G117" s="18" t="inlineStr">
        <is>
          <t>Yes</t>
        </is>
      </c>
      <c r="H117" s="18" t="inlineStr">
        <is>
          <t>ADD</t>
        </is>
      </c>
      <c r="I117" s="18" t="inlineStr">
        <is>
          <t>Addis Ababa Bole International Airport</t>
        </is>
      </c>
      <c r="J117" s="21" t="n">
        <v>7.8</v>
      </c>
      <c r="K117" s="18" t="inlineStr">
        <is>
          <t>ADD</t>
        </is>
      </c>
      <c r="L117" s="18" t="inlineStr">
        <is>
          <t>100k +  pop + capital + airport</t>
        </is>
      </c>
      <c r="M117" s="22" t="n">
        <v>0.904</v>
      </c>
      <c r="N117" s="22" t="n">
        <v>0</v>
      </c>
      <c r="O117" s="18" t="n"/>
      <c r="P117" s="22">
        <f>IF(O117="",(About!$B$5*M117+About!$B$6*N117)/(About!$B$5+About!$B$6),About!$B$5*M117+About!$B$6*N117+About!$B$7*O117)</f>
        <v/>
      </c>
      <c r="Q117" s="23" t="n">
        <v>9.025</v>
      </c>
      <c r="R117" s="23" t="n">
        <v>38.7469</v>
      </c>
    </row>
    <row r="118" ht="15" customHeight="1" s="12">
      <c r="A118" s="18" t="inlineStr">
        <is>
          <t>Ar Rayyān</t>
        </is>
      </c>
      <c r="B118" s="18" t="inlineStr">
        <is>
          <t>Qatar</t>
        </is>
      </c>
      <c r="C118" s="19" t="n">
        <v>3214609</v>
      </c>
      <c r="D118" s="18" t="inlineStr">
        <is>
          <t>QA</t>
        </is>
      </c>
      <c r="E118" s="18" t="inlineStr">
        <is>
          <t>06</t>
        </is>
      </c>
      <c r="F118" s="20" t="n">
        <v>272465</v>
      </c>
      <c r="G118" s="18" t="n"/>
      <c r="H118" s="18" t="inlineStr">
        <is>
          <t>DOH</t>
        </is>
      </c>
      <c r="I118" s="18" t="inlineStr">
        <is>
          <t>Hamad International Airport</t>
        </is>
      </c>
      <c r="J118" s="21" t="n">
        <v>18.6</v>
      </c>
      <c r="K118" s="18" t="inlineStr">
        <is>
          <t>DIA+DOH</t>
        </is>
      </c>
      <c r="L118" s="18" t="inlineStr">
        <is>
          <t>100k +  pop</t>
        </is>
      </c>
      <c r="M118" s="22" t="n">
        <v>0.895</v>
      </c>
      <c r="N118" s="22" t="n">
        <v>0</v>
      </c>
      <c r="O118" s="18" t="n"/>
      <c r="P118" s="22">
        <f>IF(O118="",(About!$B$5*M118+About!$B$6*N118)/(About!$B$5+About!$B$6),About!$B$5*M118+About!$B$6*N118+About!$B$7*O118)</f>
        <v/>
      </c>
      <c r="Q118" s="23" t="n">
        <v>25.2919</v>
      </c>
      <c r="R118" s="23" t="n">
        <v>51.4244</v>
      </c>
    </row>
    <row r="119" ht="15" customHeight="1" s="12">
      <c r="A119" s="18" t="inlineStr">
        <is>
          <t>Brisbane</t>
        </is>
      </c>
      <c r="B119" s="18" t="inlineStr">
        <is>
          <t>Australia</t>
        </is>
      </c>
      <c r="C119" s="19" t="n">
        <v>27724744</v>
      </c>
      <c r="D119" s="18" t="inlineStr">
        <is>
          <t>AU</t>
        </is>
      </c>
      <c r="E119" s="18" t="inlineStr">
        <is>
          <t>04</t>
        </is>
      </c>
      <c r="F119" s="20" t="n">
        <v>2189878</v>
      </c>
      <c r="G119" s="18" t="n"/>
      <c r="H119" s="18" t="inlineStr">
        <is>
          <t>BNE</t>
        </is>
      </c>
      <c r="I119" s="18" t="inlineStr">
        <is>
          <t>Brisbane International Airport</t>
        </is>
      </c>
      <c r="J119" s="21" t="n">
        <v>12.8</v>
      </c>
      <c r="K119" s="18" t="inlineStr">
        <is>
          <t>BNE</t>
        </is>
      </c>
      <c r="L119" s="18" t="inlineStr">
        <is>
          <t>100k +  pop + airport</t>
        </is>
      </c>
      <c r="M119" s="22" t="n">
        <v>0.894</v>
      </c>
      <c r="N119" s="22" t="n">
        <v>0</v>
      </c>
      <c r="O119" s="18" t="n"/>
      <c r="P119" s="22">
        <f>IF(O119="",(About!$B$5*M119+About!$B$6*N119)/(About!$B$5+About!$B$6),About!$B$5*M119+About!$B$6*N119+About!$B$7*O119)</f>
        <v/>
      </c>
      <c r="Q119" s="23" t="n">
        <v>-27.4679</v>
      </c>
      <c r="R119" s="23" t="n">
        <v>153.0281</v>
      </c>
    </row>
    <row r="120" ht="15" customHeight="1" s="12">
      <c r="A120" s="18" t="inlineStr">
        <is>
          <t>Mississauga</t>
        </is>
      </c>
      <c r="B120" s="18" t="inlineStr">
        <is>
          <t>Canada</t>
        </is>
      </c>
      <c r="C120" s="19" t="n">
        <v>41472081</v>
      </c>
      <c r="D120" s="18" t="inlineStr">
        <is>
          <t>CA</t>
        </is>
      </c>
      <c r="E120" s="18" t="inlineStr">
        <is>
          <t>08</t>
        </is>
      </c>
      <c r="F120" s="20" t="n">
        <v>668549</v>
      </c>
      <c r="G120" s="18" t="n"/>
      <c r="H120" s="18" t="inlineStr">
        <is>
          <t>YYZ</t>
        </is>
      </c>
      <c r="I120" s="18" t="inlineStr">
        <is>
          <t>Toronto Pearson International Airport</t>
        </is>
      </c>
      <c r="J120" s="21" t="n">
        <v>11</v>
      </c>
      <c r="K120" s="18" t="inlineStr">
        <is>
          <t>YTZ+YYZ</t>
        </is>
      </c>
      <c r="L120" s="18" t="inlineStr">
        <is>
          <t>100k +  pop</t>
        </is>
      </c>
      <c r="M120" s="22" t="n">
        <v>0.889</v>
      </c>
      <c r="N120" s="22" t="n">
        <v>0</v>
      </c>
      <c r="O120" s="18" t="n"/>
      <c r="P120" s="22">
        <f>IF(O120="",(About!$B$5*M120+About!$B$6*N120)/(About!$B$5+About!$B$6),About!$B$5*M120+About!$B$6*N120+About!$B$7*O120)</f>
        <v/>
      </c>
      <c r="Q120" s="23" t="n">
        <v>43.5789</v>
      </c>
      <c r="R120" s="23" t="n">
        <v>-79.6583</v>
      </c>
    </row>
    <row r="121" ht="15" customHeight="1" s="12">
      <c r="A121" s="18" t="inlineStr">
        <is>
          <t>North York</t>
        </is>
      </c>
      <c r="B121" s="18" t="inlineStr">
        <is>
          <t>Canada</t>
        </is>
      </c>
      <c r="C121" s="19" t="n">
        <v>41472081</v>
      </c>
      <c r="D121" s="18" t="inlineStr">
        <is>
          <t>CA</t>
        </is>
      </c>
      <c r="E121" s="18" t="inlineStr">
        <is>
          <t>08</t>
        </is>
      </c>
      <c r="F121" s="20" t="n">
        <v>636000</v>
      </c>
      <c r="G121" s="18" t="n"/>
      <c r="H121" s="18" t="inlineStr">
        <is>
          <t>YYZ</t>
        </is>
      </c>
      <c r="I121" s="18" t="inlineStr">
        <is>
          <t>Toronto Pearson International Airport</t>
        </is>
      </c>
      <c r="J121" s="21" t="n">
        <v>19.9</v>
      </c>
      <c r="K121" s="18" t="inlineStr">
        <is>
          <t>YTZ+YYZ</t>
        </is>
      </c>
      <c r="L121" s="18" t="inlineStr">
        <is>
          <t>100k +  pop</t>
        </is>
      </c>
      <c r="M121" s="22" t="n">
        <v>0.889</v>
      </c>
      <c r="N121" s="22" t="n">
        <v>0</v>
      </c>
      <c r="O121" s="18" t="n"/>
      <c r="P121" s="22">
        <f>IF(O121="",(About!$B$5*M121+About!$B$6*N121)/(About!$B$5+About!$B$6),About!$B$5*M121+About!$B$6*N121+About!$B$7*O121)</f>
        <v/>
      </c>
      <c r="Q121" s="23" t="n">
        <v>43.7668</v>
      </c>
      <c r="R121" s="23" t="n">
        <v>-79.41630000000001</v>
      </c>
    </row>
    <row r="122" ht="15" customHeight="1" s="12">
      <c r="A122" s="18" t="inlineStr">
        <is>
          <t>Brampton</t>
        </is>
      </c>
      <c r="B122" s="18" t="inlineStr">
        <is>
          <t>Canada</t>
        </is>
      </c>
      <c r="C122" s="19" t="n">
        <v>41472081</v>
      </c>
      <c r="D122" s="18" t="inlineStr">
        <is>
          <t>CA</t>
        </is>
      </c>
      <c r="E122" s="18" t="inlineStr">
        <is>
          <t>08</t>
        </is>
      </c>
      <c r="F122" s="20" t="n">
        <v>433806</v>
      </c>
      <c r="G122" s="18" t="n"/>
      <c r="H122" s="18" t="inlineStr">
        <is>
          <t>YYZ</t>
        </is>
      </c>
      <c r="I122" s="18" t="inlineStr">
        <is>
          <t>Toronto Pearson International Airport</t>
        </is>
      </c>
      <c r="J122" s="21" t="n">
        <v>11</v>
      </c>
      <c r="K122" s="18" t="inlineStr">
        <is>
          <t>YYZ</t>
        </is>
      </c>
      <c r="L122" s="18" t="inlineStr">
        <is>
          <t>100k +  pop</t>
        </is>
      </c>
      <c r="M122" s="22" t="n">
        <v>0.889</v>
      </c>
      <c r="N122" s="22" t="n">
        <v>0</v>
      </c>
      <c r="O122" s="18" t="n"/>
      <c r="P122" s="22">
        <f>IF(O122="",(About!$B$5*M122+About!$B$6*N122)/(About!$B$5+About!$B$6),About!$B$5*M122+About!$B$6*N122+About!$B$7*O122)</f>
        <v/>
      </c>
      <c r="Q122" s="23" t="n">
        <v>43.6834</v>
      </c>
      <c r="R122" s="23" t="n">
        <v>-79.7663</v>
      </c>
    </row>
    <row r="123" ht="15" customHeight="1" s="12">
      <c r="A123" s="18" t="inlineStr">
        <is>
          <t>Etobicoke</t>
        </is>
      </c>
      <c r="B123" s="18" t="inlineStr">
        <is>
          <t>Canada</t>
        </is>
      </c>
      <c r="C123" s="19" t="n">
        <v>41472081</v>
      </c>
      <c r="D123" s="18" t="inlineStr">
        <is>
          <t>CA</t>
        </is>
      </c>
      <c r="E123" s="18" t="inlineStr">
        <is>
          <t>08</t>
        </is>
      </c>
      <c r="F123" s="20" t="n">
        <v>347948</v>
      </c>
      <c r="G123" s="18" t="n"/>
      <c r="H123" s="18" t="inlineStr">
        <is>
          <t>YYZ</t>
        </is>
      </c>
      <c r="I123" s="18" t="inlineStr">
        <is>
          <t>Toronto Pearson International Airport</t>
        </is>
      </c>
      <c r="J123" s="21" t="n">
        <v>5.6</v>
      </c>
      <c r="K123" s="18" t="inlineStr">
        <is>
          <t>YTZ+YYZ</t>
        </is>
      </c>
      <c r="L123" s="18" t="inlineStr">
        <is>
          <t>100k +  pop + airport</t>
        </is>
      </c>
      <c r="M123" s="22" t="n">
        <v>0.889</v>
      </c>
      <c r="N123" s="22" t="n">
        <v>0</v>
      </c>
      <c r="O123" s="18" t="n"/>
      <c r="P123" s="22">
        <f>IF(O123="",(About!$B$5*M123+About!$B$6*N123)/(About!$B$5+About!$B$6),About!$B$5*M123+About!$B$6*N123+About!$B$7*O123)</f>
        <v/>
      </c>
      <c r="Q123" s="23" t="n">
        <v>43.6542</v>
      </c>
      <c r="R123" s="23" t="n">
        <v>-79.5671</v>
      </c>
    </row>
    <row r="124" ht="15" customHeight="1" s="12">
      <c r="A124" s="18" t="inlineStr">
        <is>
          <t>Vaughan</t>
        </is>
      </c>
      <c r="B124" s="18" t="inlineStr">
        <is>
          <t>Canada</t>
        </is>
      </c>
      <c r="C124" s="19" t="n">
        <v>41472081</v>
      </c>
      <c r="D124" s="18" t="inlineStr">
        <is>
          <t>CA</t>
        </is>
      </c>
      <c r="E124" s="18" t="inlineStr">
        <is>
          <t>08</t>
        </is>
      </c>
      <c r="F124" s="20" t="n">
        <v>238866</v>
      </c>
      <c r="G124" s="18" t="n"/>
      <c r="H124" s="18" t="inlineStr">
        <is>
          <t>YYZ</t>
        </is>
      </c>
      <c r="I124" s="18" t="inlineStr">
        <is>
          <t>Toronto Pearson International Airport</t>
        </is>
      </c>
      <c r="J124" s="21" t="n">
        <v>20.7</v>
      </c>
      <c r="K124" s="18" t="inlineStr">
        <is>
          <t>YTZ+YYZ</t>
        </is>
      </c>
      <c r="L124" s="18" t="inlineStr">
        <is>
          <t>100k +  pop</t>
        </is>
      </c>
      <c r="M124" s="22" t="n">
        <v>0.889</v>
      </c>
      <c r="N124" s="22" t="n">
        <v>0</v>
      </c>
      <c r="O124" s="18" t="n"/>
      <c r="P124" s="22">
        <f>IF(O124="",(About!$B$5*M124+About!$B$6*N124)/(About!$B$5+About!$B$6),About!$B$5*M124+About!$B$6*N124+About!$B$7*O124)</f>
        <v/>
      </c>
      <c r="Q124" s="23" t="n">
        <v>43.8361</v>
      </c>
      <c r="R124" s="23" t="n">
        <v>-79.4983</v>
      </c>
    </row>
    <row r="125" ht="15" customHeight="1" s="12">
      <c r="A125" s="18" t="inlineStr">
        <is>
          <t>East York</t>
        </is>
      </c>
      <c r="B125" s="18" t="inlineStr">
        <is>
          <t>Canada</t>
        </is>
      </c>
      <c r="C125" s="19" t="n">
        <v>41472081</v>
      </c>
      <c r="D125" s="18" t="inlineStr">
        <is>
          <t>CA</t>
        </is>
      </c>
      <c r="E125" s="18" t="inlineStr">
        <is>
          <t>08</t>
        </is>
      </c>
      <c r="F125" s="20" t="n">
        <v>115365</v>
      </c>
      <c r="G125" s="18" t="n"/>
      <c r="H125" s="18" t="inlineStr">
        <is>
          <t>YYZ</t>
        </is>
      </c>
      <c r="I125" s="18" t="inlineStr">
        <is>
          <t>Toronto Pearson International Airport</t>
        </is>
      </c>
      <c r="J125" s="21" t="n">
        <v>24.3</v>
      </c>
      <c r="K125" s="18" t="inlineStr">
        <is>
          <t>YTZ+YYZ</t>
        </is>
      </c>
      <c r="L125" s="18" t="inlineStr">
        <is>
          <t>100k +  pop + airport</t>
        </is>
      </c>
      <c r="M125" s="22" t="n">
        <v>0.889</v>
      </c>
      <c r="N125" s="22" t="n">
        <v>0</v>
      </c>
      <c r="O125" s="18" t="n"/>
      <c r="P125" s="22">
        <f>IF(O125="",(About!$B$5*M125+About!$B$6*N125)/(About!$B$5+About!$B$6),About!$B$5*M125+About!$B$6*N125+About!$B$7*O125)</f>
        <v/>
      </c>
      <c r="Q125" s="23" t="n">
        <v>43.6905</v>
      </c>
      <c r="R125" s="23" t="n">
        <v>-79.3279</v>
      </c>
    </row>
    <row r="126" ht="15" customHeight="1" s="12">
      <c r="A126" s="18" t="inlineStr">
        <is>
          <t>Tehran</t>
        </is>
      </c>
      <c r="B126" s="18" t="inlineStr">
        <is>
          <t>Iran</t>
        </is>
      </c>
      <c r="C126" s="19" t="n">
        <v>87134000</v>
      </c>
      <c r="D126" s="18" t="inlineStr">
        <is>
          <t>IR</t>
        </is>
      </c>
      <c r="E126" s="18" t="inlineStr">
        <is>
          <t>26</t>
        </is>
      </c>
      <c r="F126" s="20" t="n">
        <v>7153309</v>
      </c>
      <c r="G126" s="18" t="inlineStr">
        <is>
          <t>Yes</t>
        </is>
      </c>
      <c r="H126" s="18" t="inlineStr">
        <is>
          <t>THR</t>
        </is>
      </c>
      <c r="I126" s="18" t="inlineStr">
        <is>
          <t>Mehrabad International Airport</t>
        </is>
      </c>
      <c r="J126" s="21" t="n">
        <v>9.699999999999999</v>
      </c>
      <c r="K126" s="18" t="inlineStr">
        <is>
          <t>IKA+THR</t>
        </is>
      </c>
      <c r="L126" s="18" t="inlineStr">
        <is>
          <t>100k +  pop + capital + airport</t>
        </is>
      </c>
      <c r="M126" s="22" t="n">
        <v>0.887</v>
      </c>
      <c r="N126" s="22" t="n">
        <v>0</v>
      </c>
      <c r="O126" s="18" t="n"/>
      <c r="P126" s="22">
        <f>IF(O126="",(About!$B$5*M126+About!$B$6*N126)/(About!$B$5+About!$B$6),About!$B$5*M126+About!$B$6*N126+About!$B$7*O126)</f>
        <v/>
      </c>
      <c r="Q126" s="23" t="n">
        <v>35.6944</v>
      </c>
      <c r="R126" s="23" t="n">
        <v>51.4215</v>
      </c>
    </row>
    <row r="127" ht="15" customHeight="1" s="12">
      <c r="A127" s="18" t="inlineStr">
        <is>
          <t>Jakarta</t>
        </is>
      </c>
      <c r="B127" s="18" t="inlineStr">
        <is>
          <t>Indonesia</t>
        </is>
      </c>
      <c r="C127" s="19" t="n">
        <v>288315089</v>
      </c>
      <c r="D127" s="18" t="inlineStr">
        <is>
          <t>ID</t>
        </is>
      </c>
      <c r="E127" s="18" t="inlineStr">
        <is>
          <t>04</t>
        </is>
      </c>
      <c r="F127" s="20" t="n">
        <v>13934062</v>
      </c>
      <c r="G127" s="18" t="inlineStr">
        <is>
          <t>Yes</t>
        </is>
      </c>
      <c r="H127" s="18" t="inlineStr">
        <is>
          <t>CGK</t>
        </is>
      </c>
      <c r="I127" s="18" t="inlineStr">
        <is>
          <t>Soekarno-Hatta International Airport</t>
        </is>
      </c>
      <c r="J127" s="21" t="n">
        <v>23.1</v>
      </c>
      <c r="K127" s="18" t="inlineStr">
        <is>
          <t>CGK+HLP</t>
        </is>
      </c>
      <c r="L127" s="18" t="inlineStr">
        <is>
          <t>100k +  pop + capital + airport</t>
        </is>
      </c>
      <c r="M127" s="22" t="n">
        <v>0.884</v>
      </c>
      <c r="N127" s="22" t="n">
        <v>0</v>
      </c>
      <c r="O127" s="18" t="n"/>
      <c r="P127" s="22">
        <f>IF(O127="",(About!$B$5*M127+About!$B$6*N127)/(About!$B$5+About!$B$6),About!$B$5*M127+About!$B$6*N127+About!$B$7*O127)</f>
        <v/>
      </c>
      <c r="Q127" s="23" t="n">
        <v>-6.2146</v>
      </c>
      <c r="R127" s="23" t="n">
        <v>106.8451</v>
      </c>
    </row>
    <row r="128" ht="15" customHeight="1" s="12">
      <c r="A128" s="18" t="inlineStr">
        <is>
          <t>Samut Prakan</t>
        </is>
      </c>
      <c r="B128" s="18" t="inlineStr">
        <is>
          <t>Thailand</t>
        </is>
      </c>
      <c r="C128" s="19" t="n">
        <v>65826149</v>
      </c>
      <c r="D128" s="18" t="inlineStr">
        <is>
          <t>TH</t>
        </is>
      </c>
      <c r="E128" s="18" t="inlineStr">
        <is>
          <t>42</t>
        </is>
      </c>
      <c r="F128" s="20" t="n">
        <v>388920</v>
      </c>
      <c r="G128" s="18" t="n"/>
      <c r="H128" s="18" t="inlineStr">
        <is>
          <t>BKK</t>
        </is>
      </c>
      <c r="I128" s="18" t="inlineStr">
        <is>
          <t>Suvarnabhumi Airport</t>
        </is>
      </c>
      <c r="J128" s="21" t="n">
        <v>18.6</v>
      </c>
      <c r="K128" s="18" t="inlineStr">
        <is>
          <t>BKK</t>
        </is>
      </c>
      <c r="L128" s="18" t="inlineStr">
        <is>
          <t>100k +  pop</t>
        </is>
      </c>
      <c r="M128" s="22" t="n">
        <v>0.879</v>
      </c>
      <c r="N128" s="22" t="n">
        <v>0</v>
      </c>
      <c r="O128" s="18" t="n"/>
      <c r="P128" s="22">
        <f>IF(O128="",(About!$B$5*M128+About!$B$6*N128)/(About!$B$5+About!$B$6),About!$B$5*M128+About!$B$6*N128+About!$B$7*O128)</f>
        <v/>
      </c>
      <c r="Q128" s="23" t="n">
        <v>13.5993</v>
      </c>
      <c r="R128" s="23" t="n">
        <v>100.5968</v>
      </c>
    </row>
    <row r="129" ht="15" customHeight="1" s="12">
      <c r="A129" s="18" t="inlineStr">
        <is>
          <t>Phra Pradaeng</t>
        </is>
      </c>
      <c r="B129" s="18" t="inlineStr">
        <is>
          <t>Thailand</t>
        </is>
      </c>
      <c r="C129" s="19" t="n">
        <v>65826149</v>
      </c>
      <c r="D129" s="18" t="inlineStr">
        <is>
          <t>TH</t>
        </is>
      </c>
      <c r="E129" s="18" t="inlineStr">
        <is>
          <t>42</t>
        </is>
      </c>
      <c r="F129" s="20" t="n">
        <v>171333</v>
      </c>
      <c r="G129" s="18" t="n"/>
      <c r="H129" s="18" t="inlineStr">
        <is>
          <t>BKK</t>
        </is>
      </c>
      <c r="I129" s="18" t="inlineStr">
        <is>
          <t>Suvarnabhumi Airport</t>
        </is>
      </c>
      <c r="J129" s="21" t="n">
        <v>23.2</v>
      </c>
      <c r="K129" s="18" t="inlineStr">
        <is>
          <t>BKK</t>
        </is>
      </c>
      <c r="L129" s="18" t="inlineStr">
        <is>
          <t>100k +  pop</t>
        </is>
      </c>
      <c r="M129" s="22" t="n">
        <v>0.879</v>
      </c>
      <c r="N129" s="22" t="n">
        <v>0</v>
      </c>
      <c r="O129" s="18" t="n"/>
      <c r="P129" s="22">
        <f>IF(O129="",(About!$B$5*M129+About!$B$6*N129)/(About!$B$5+About!$B$6),About!$B$5*M129+About!$B$6*N129+About!$B$7*O129)</f>
        <v/>
      </c>
      <c r="Q129" s="23" t="n">
        <v>13.6585</v>
      </c>
      <c r="R129" s="23" t="n">
        <v>100.5336</v>
      </c>
    </row>
    <row r="130" ht="15" customHeight="1" s="12">
      <c r="A130" s="18" t="inlineStr">
        <is>
          <t>Johannesburg</t>
        </is>
      </c>
      <c r="B130" s="18" t="inlineStr">
        <is>
          <t>South Africa</t>
        </is>
      </c>
      <c r="C130" s="19" t="n">
        <v>63100945</v>
      </c>
      <c r="D130" s="18" t="inlineStr">
        <is>
          <t>ZA</t>
        </is>
      </c>
      <c r="E130" s="18" t="inlineStr">
        <is>
          <t>06</t>
        </is>
      </c>
      <c r="F130" s="20" t="n">
        <v>4238165</v>
      </c>
      <c r="G130" s="18" t="n"/>
      <c r="H130" s="18" t="inlineStr">
        <is>
          <t>JNB</t>
        </is>
      </c>
      <c r="I130" s="18" t="inlineStr">
        <is>
          <t>O.R. Tambo International Airport</t>
        </is>
      </c>
      <c r="J130" s="21" t="n">
        <v>21.4</v>
      </c>
      <c r="K130" s="18" t="inlineStr">
        <is>
          <t>HLA+JNB</t>
        </is>
      </c>
      <c r="L130" s="18" t="inlineStr">
        <is>
          <t>100k +  pop + airport</t>
        </is>
      </c>
      <c r="M130" s="22" t="n">
        <v>0.877</v>
      </c>
      <c r="N130" s="22" t="n">
        <v>0</v>
      </c>
      <c r="O130" s="18" t="n"/>
      <c r="P130" s="22">
        <f>IF(O130="",(About!$B$5*M130+About!$B$6*N130)/(About!$B$5+About!$B$6),About!$B$5*M130+About!$B$6*N130+About!$B$7*O130)</f>
        <v/>
      </c>
      <c r="Q130" s="23" t="n">
        <v>-26.2023</v>
      </c>
      <c r="R130" s="23" t="n">
        <v>28.0436</v>
      </c>
    </row>
    <row r="131" ht="15" customHeight="1" s="12">
      <c r="A131" s="18" t="inlineStr">
        <is>
          <t>Manila</t>
        </is>
      </c>
      <c r="B131" s="18" t="inlineStr">
        <is>
          <t>Philippines</t>
        </is>
      </c>
      <c r="C131" s="19" t="n">
        <v>114123600</v>
      </c>
      <c r="D131" s="18" t="inlineStr">
        <is>
          <t>PH</t>
        </is>
      </c>
      <c r="E131" s="18" t="inlineStr">
        <is>
          <t>NCR</t>
        </is>
      </c>
      <c r="F131" s="20" t="n">
        <v>9422378</v>
      </c>
      <c r="G131" s="18" t="inlineStr">
        <is>
          <t>Yes</t>
        </is>
      </c>
      <c r="H131" s="18" t="inlineStr">
        <is>
          <t>MNL</t>
        </is>
      </c>
      <c r="I131" s="18" t="inlineStr">
        <is>
          <t>Ninoy Aquino International Airport</t>
        </is>
      </c>
      <c r="J131" s="21" t="n">
        <v>11.4</v>
      </c>
      <c r="K131" s="18" t="inlineStr">
        <is>
          <t>MNL</t>
        </is>
      </c>
      <c r="L131" s="18" t="inlineStr">
        <is>
          <t>100k +  pop + capital</t>
        </is>
      </c>
      <c r="M131" s="22" t="n">
        <v>0.873</v>
      </c>
      <c r="N131" s="22" t="n">
        <v>0</v>
      </c>
      <c r="O131" s="18" t="n"/>
      <c r="P131" s="22">
        <f>IF(O131="",(About!$B$5*M131+About!$B$6*N131)/(About!$B$5+About!$B$6),About!$B$5*M131+About!$B$6*N131+About!$B$7*O131)</f>
        <v/>
      </c>
      <c r="Q131" s="23" t="n">
        <v>14.6042</v>
      </c>
      <c r="R131" s="23" t="n">
        <v>120.9822</v>
      </c>
    </row>
    <row r="132" ht="15" customHeight="1" s="12">
      <c r="A132" s="18" t="inlineStr">
        <is>
          <t>Antipolo</t>
        </is>
      </c>
      <c r="B132" s="18" t="inlineStr">
        <is>
          <t>Philippines</t>
        </is>
      </c>
      <c r="C132" s="19" t="n">
        <v>114123600</v>
      </c>
      <c r="D132" s="18" t="inlineStr">
        <is>
          <t>PH</t>
        </is>
      </c>
      <c r="E132" s="18" t="inlineStr">
        <is>
          <t>40</t>
        </is>
      </c>
      <c r="F132" s="20" t="n">
        <v>549543</v>
      </c>
      <c r="G132" s="18" t="n"/>
      <c r="H132" s="18" t="inlineStr">
        <is>
          <t>MNL</t>
        </is>
      </c>
      <c r="I132" s="18" t="inlineStr">
        <is>
          <t>Ninoy Aquino International Airport</t>
        </is>
      </c>
      <c r="J132" s="21" t="n">
        <v>17.1</v>
      </c>
      <c r="K132" s="18" t="inlineStr">
        <is>
          <t>MNL</t>
        </is>
      </c>
      <c r="L132" s="18" t="inlineStr">
        <is>
          <t>100k +  pop</t>
        </is>
      </c>
      <c r="M132" s="22" t="n">
        <v>0.873</v>
      </c>
      <c r="N132" s="22" t="n">
        <v>0</v>
      </c>
      <c r="O132" s="18" t="n"/>
      <c r="P132" s="22">
        <f>IF(O132="",(About!$B$5*M132+About!$B$6*N132)/(About!$B$5+About!$B$6),About!$B$5*M132+About!$B$6*N132+About!$B$7*O132)</f>
        <v/>
      </c>
      <c r="Q132" s="23" t="n">
        <v>14.6258</v>
      </c>
      <c r="R132" s="23" t="n">
        <v>121.1225</v>
      </c>
    </row>
    <row r="133" ht="15" customHeight="1" s="12">
      <c r="A133" s="18" t="inlineStr">
        <is>
          <t>Dasmariñas</t>
        </is>
      </c>
      <c r="B133" s="18" t="inlineStr">
        <is>
          <t>Philippines</t>
        </is>
      </c>
      <c r="C133" s="19" t="n">
        <v>114123600</v>
      </c>
      <c r="D133" s="18" t="inlineStr">
        <is>
          <t>PH</t>
        </is>
      </c>
      <c r="E133" s="18" t="inlineStr">
        <is>
          <t>40</t>
        </is>
      </c>
      <c r="F133" s="20" t="n">
        <v>441876</v>
      </c>
      <c r="G133" s="18" t="n"/>
      <c r="H133" s="18" t="inlineStr">
        <is>
          <t>MNL</t>
        </is>
      </c>
      <c r="I133" s="18" t="inlineStr">
        <is>
          <t>Ninoy Aquino International Airport</t>
        </is>
      </c>
      <c r="J133" s="21" t="n">
        <v>21.8</v>
      </c>
      <c r="K133" s="18" t="inlineStr">
        <is>
          <t>MNL</t>
        </is>
      </c>
      <c r="L133" s="18" t="inlineStr">
        <is>
          <t>100k +  pop</t>
        </is>
      </c>
      <c r="M133" s="22" t="n">
        <v>0.873</v>
      </c>
      <c r="N133" s="22" t="n">
        <v>0</v>
      </c>
      <c r="O133" s="18" t="n"/>
      <c r="P133" s="22">
        <f>IF(O133="",(About!$B$5*M133+About!$B$6*N133)/(About!$B$5+About!$B$6),About!$B$5*M133+About!$B$6*N133+About!$B$7*O133)</f>
        <v/>
      </c>
      <c r="Q133" s="23" t="n">
        <v>14.3294</v>
      </c>
      <c r="R133" s="23" t="n">
        <v>120.9367</v>
      </c>
    </row>
    <row r="134" ht="15" customHeight="1" s="12">
      <c r="A134" s="18" t="inlineStr">
        <is>
          <t>Bacoor</t>
        </is>
      </c>
      <c r="B134" s="18" t="inlineStr">
        <is>
          <t>Philippines</t>
        </is>
      </c>
      <c r="C134" s="19" t="n">
        <v>114123600</v>
      </c>
      <c r="D134" s="18" t="inlineStr">
        <is>
          <t>PH</t>
        </is>
      </c>
      <c r="E134" s="18" t="inlineStr">
        <is>
          <t>40</t>
        </is>
      </c>
      <c r="F134" s="20" t="n">
        <v>356974</v>
      </c>
      <c r="G134" s="18" t="n"/>
      <c r="H134" s="18" t="inlineStr">
        <is>
          <t>MNL</t>
        </is>
      </c>
      <c r="I134" s="18" t="inlineStr">
        <is>
          <t>Ninoy Aquino International Airport</t>
        </is>
      </c>
      <c r="J134" s="21" t="n">
        <v>10.4</v>
      </c>
      <c r="K134" s="18" t="inlineStr">
        <is>
          <t>MNL</t>
        </is>
      </c>
      <c r="L134" s="18" t="inlineStr">
        <is>
          <t>100k +  pop</t>
        </is>
      </c>
      <c r="M134" s="22" t="n">
        <v>0.873</v>
      </c>
      <c r="N134" s="22" t="n">
        <v>0</v>
      </c>
      <c r="O134" s="18" t="n"/>
      <c r="P134" s="22">
        <f>IF(O134="",(About!$B$5*M134+About!$B$6*N134)/(About!$B$5+About!$B$6),About!$B$5*M134+About!$B$6*N134+About!$B$7*O134)</f>
        <v/>
      </c>
      <c r="Q134" s="23" t="n">
        <v>14.459</v>
      </c>
      <c r="R134" s="23" t="n">
        <v>120.9385</v>
      </c>
    </row>
    <row r="135" ht="15" customHeight="1" s="12">
      <c r="A135" s="18" t="inlineStr">
        <is>
          <t>Biñan</t>
        </is>
      </c>
      <c r="B135" s="18" t="inlineStr">
        <is>
          <t>Philippines</t>
        </is>
      </c>
      <c r="C135" s="19" t="n">
        <v>114123600</v>
      </c>
      <c r="D135" s="18" t="inlineStr">
        <is>
          <t>PH</t>
        </is>
      </c>
      <c r="E135" s="18" t="inlineStr">
        <is>
          <t>40</t>
        </is>
      </c>
      <c r="F135" s="20" t="n">
        <v>300000</v>
      </c>
      <c r="G135" s="18" t="n"/>
      <c r="H135" s="18" t="inlineStr">
        <is>
          <t>MNL</t>
        </is>
      </c>
      <c r="I135" s="18" t="inlineStr">
        <is>
          <t>Ninoy Aquino International Airport</t>
        </is>
      </c>
      <c r="J135" s="21" t="n">
        <v>19.6</v>
      </c>
      <c r="K135" s="18" t="inlineStr">
        <is>
          <t>MNL</t>
        </is>
      </c>
      <c r="L135" s="18" t="inlineStr">
        <is>
          <t>100k +  pop</t>
        </is>
      </c>
      <c r="M135" s="22" t="n">
        <v>0.873</v>
      </c>
      <c r="N135" s="22" t="n">
        <v>0</v>
      </c>
      <c r="O135" s="18" t="n"/>
      <c r="P135" s="22">
        <f>IF(O135="",(About!$B$5*M135+About!$B$6*N135)/(About!$B$5+About!$B$6),About!$B$5*M135+About!$B$6*N135+About!$B$7*O135)</f>
        <v/>
      </c>
      <c r="Q135" s="23" t="n">
        <v>14.3427</v>
      </c>
      <c r="R135" s="23" t="n">
        <v>121.0807</v>
      </c>
    </row>
    <row r="136" ht="15" customHeight="1" s="12">
      <c r="A136" s="18" t="inlineStr">
        <is>
          <t>Cainta</t>
        </is>
      </c>
      <c r="B136" s="18" t="inlineStr">
        <is>
          <t>Philippines</t>
        </is>
      </c>
      <c r="C136" s="19" t="n">
        <v>114123600</v>
      </c>
      <c r="D136" s="18" t="inlineStr">
        <is>
          <t>PH</t>
        </is>
      </c>
      <c r="E136" s="18" t="inlineStr">
        <is>
          <t>40</t>
        </is>
      </c>
      <c r="F136" s="20" t="n">
        <v>283172</v>
      </c>
      <c r="G136" s="18" t="n"/>
      <c r="H136" s="18" t="inlineStr">
        <is>
          <t>MNL</t>
        </is>
      </c>
      <c r="I136" s="18" t="inlineStr">
        <is>
          <t>Ninoy Aquino International Airport</t>
        </is>
      </c>
      <c r="J136" s="21" t="n">
        <v>13.5</v>
      </c>
      <c r="K136" s="18" t="inlineStr">
        <is>
          <t>MNL</t>
        </is>
      </c>
      <c r="L136" s="18" t="inlineStr">
        <is>
          <t>100k +  pop</t>
        </is>
      </c>
      <c r="M136" s="22" t="n">
        <v>0.873</v>
      </c>
      <c r="N136" s="22" t="n">
        <v>0</v>
      </c>
      <c r="O136" s="18" t="n"/>
      <c r="P136" s="22">
        <f>IF(O136="",(About!$B$5*M136+About!$B$6*N136)/(About!$B$5+About!$B$6),About!$B$5*M136+About!$B$6*N136+About!$B$7*O136)</f>
        <v/>
      </c>
      <c r="Q136" s="23" t="n">
        <v>14.5786</v>
      </c>
      <c r="R136" s="23" t="n">
        <v>121.1222</v>
      </c>
    </row>
    <row r="137" ht="15" customHeight="1" s="12">
      <c r="A137" s="18" t="inlineStr">
        <is>
          <t>San Pedro</t>
        </is>
      </c>
      <c r="B137" s="18" t="inlineStr">
        <is>
          <t>Philippines</t>
        </is>
      </c>
      <c r="C137" s="19" t="n">
        <v>114123600</v>
      </c>
      <c r="D137" s="18" t="inlineStr">
        <is>
          <t>PH</t>
        </is>
      </c>
      <c r="E137" s="18" t="inlineStr">
        <is>
          <t>40</t>
        </is>
      </c>
      <c r="F137" s="20" t="n">
        <v>270216</v>
      </c>
      <c r="G137" s="18" t="n"/>
      <c r="H137" s="18" t="inlineStr">
        <is>
          <t>MNL</t>
        </is>
      </c>
      <c r="I137" s="18" t="inlineStr">
        <is>
          <t>Ninoy Aquino International Airport</t>
        </is>
      </c>
      <c r="J137" s="21" t="n">
        <v>16.8</v>
      </c>
      <c r="K137" s="18" t="inlineStr">
        <is>
          <t>MNL</t>
        </is>
      </c>
      <c r="L137" s="18" t="inlineStr">
        <is>
          <t>100k +  pop</t>
        </is>
      </c>
      <c r="M137" s="22" t="n">
        <v>0.873</v>
      </c>
      <c r="N137" s="22" t="n">
        <v>0</v>
      </c>
      <c r="O137" s="18" t="n"/>
      <c r="P137" s="22">
        <f>IF(O137="",(About!$B$5*M137+About!$B$6*N137)/(About!$B$5+About!$B$6),About!$B$5*M137+About!$B$6*N137+About!$B$7*O137)</f>
        <v/>
      </c>
      <c r="Q137" s="23" t="n">
        <v>14.3595</v>
      </c>
      <c r="R137" s="23" t="n">
        <v>121.0473</v>
      </c>
    </row>
    <row r="138" ht="15" customHeight="1" s="12">
      <c r="A138" s="18" t="inlineStr">
        <is>
          <t>Taytay</t>
        </is>
      </c>
      <c r="B138" s="18" t="inlineStr">
        <is>
          <t>Philippines</t>
        </is>
      </c>
      <c r="C138" s="19" t="n">
        <v>114123600</v>
      </c>
      <c r="D138" s="18" t="inlineStr">
        <is>
          <t>PH</t>
        </is>
      </c>
      <c r="E138" s="18" t="inlineStr">
        <is>
          <t>40</t>
        </is>
      </c>
      <c r="F138" s="20" t="n">
        <v>231460</v>
      </c>
      <c r="G138" s="18" t="n"/>
      <c r="H138" s="18" t="inlineStr">
        <is>
          <t>MNL</t>
        </is>
      </c>
      <c r="I138" s="18" t="inlineStr">
        <is>
          <t>Ninoy Aquino International Airport</t>
        </is>
      </c>
      <c r="J138" s="21" t="n">
        <v>13.4</v>
      </c>
      <c r="K138" s="18" t="inlineStr">
        <is>
          <t>MNL</t>
        </is>
      </c>
      <c r="L138" s="18" t="inlineStr">
        <is>
          <t>100k +  pop</t>
        </is>
      </c>
      <c r="M138" s="22" t="n">
        <v>0.873</v>
      </c>
      <c r="N138" s="22" t="n">
        <v>0</v>
      </c>
      <c r="O138" s="18" t="n"/>
      <c r="P138" s="22">
        <f>IF(O138="",(About!$B$5*M138+About!$B$6*N138)/(About!$B$5+About!$B$6),About!$B$5*M138+About!$B$6*N138+About!$B$7*O138)</f>
        <v/>
      </c>
      <c r="Q138" s="23" t="n">
        <v>14.5588</v>
      </c>
      <c r="R138" s="23" t="n">
        <v>121.1329</v>
      </c>
    </row>
    <row r="139" ht="15" customHeight="1" s="12">
      <c r="A139" s="18" t="inlineStr">
        <is>
          <t>Ciudad Lineal</t>
        </is>
      </c>
      <c r="B139" s="18" t="inlineStr">
        <is>
          <t>Spain</t>
        </is>
      </c>
      <c r="C139" s="19" t="n">
        <v>49687120</v>
      </c>
      <c r="D139" s="18" t="inlineStr">
        <is>
          <t>ES</t>
        </is>
      </c>
      <c r="E139" s="18" t="inlineStr">
        <is>
          <t>29</t>
        </is>
      </c>
      <c r="F139" s="20" t="n">
        <v>228171</v>
      </c>
      <c r="G139" s="18" t="n"/>
      <c r="H139" s="18" t="inlineStr">
        <is>
          <t>MAD</t>
        </is>
      </c>
      <c r="I139" s="18" t="inlineStr">
        <is>
          <t>Adolfo Suárez Madrid–Barajas Airport</t>
        </is>
      </c>
      <c r="J139" s="21" t="n">
        <v>8.6</v>
      </c>
      <c r="K139" s="18" t="inlineStr">
        <is>
          <t>MAD</t>
        </is>
      </c>
      <c r="L139" s="18" t="inlineStr">
        <is>
          <t>100k +  pop + airport</t>
        </is>
      </c>
      <c r="M139" s="22" t="n">
        <v>0.874</v>
      </c>
      <c r="N139" s="22" t="n">
        <v>0</v>
      </c>
      <c r="O139" s="18" t="n"/>
      <c r="P139" s="22">
        <f>IF(O139="",(About!$B$5*M139+About!$B$6*N139)/(About!$B$5+About!$B$6),About!$B$5*M139+About!$B$6*N139+About!$B$7*O139)</f>
        <v/>
      </c>
      <c r="Q139" s="23" t="n">
        <v>40.4451</v>
      </c>
      <c r="R139" s="23" t="n">
        <v>-3.6513</v>
      </c>
    </row>
    <row r="140" ht="15" customHeight="1" s="12">
      <c r="A140" s="18" t="inlineStr">
        <is>
          <t>Binangonan</t>
        </is>
      </c>
      <c r="B140" s="18" t="inlineStr">
        <is>
          <t>Philippines</t>
        </is>
      </c>
      <c r="C140" s="19" t="n">
        <v>114123600</v>
      </c>
      <c r="D140" s="18" t="inlineStr">
        <is>
          <t>PH</t>
        </is>
      </c>
      <c r="E140" s="18" t="inlineStr">
        <is>
          <t>40</t>
        </is>
      </c>
      <c r="F140" s="20" t="n">
        <v>219204</v>
      </c>
      <c r="G140" s="18" t="n"/>
      <c r="H140" s="18" t="inlineStr">
        <is>
          <t>MNL</t>
        </is>
      </c>
      <c r="I140" s="18" t="inlineStr">
        <is>
          <t>Ninoy Aquino International Airport</t>
        </is>
      </c>
      <c r="J140" s="21" t="n">
        <v>19.2</v>
      </c>
      <c r="K140" s="18" t="inlineStr">
        <is>
          <t>MNL</t>
        </is>
      </c>
      <c r="L140" s="18" t="inlineStr">
        <is>
          <t>100k +  pop</t>
        </is>
      </c>
      <c r="M140" s="22" t="n">
        <v>0.873</v>
      </c>
      <c r="N140" s="22" t="n">
        <v>0</v>
      </c>
      <c r="O140" s="18" t="n"/>
      <c r="P140" s="22">
        <f>IF(O140="",(About!$B$5*M140+About!$B$6*N140)/(About!$B$5+About!$B$6),About!$B$5*M140+About!$B$6*N140+About!$B$7*O140)</f>
        <v/>
      </c>
      <c r="Q140" s="23" t="n">
        <v>14.4646</v>
      </c>
      <c r="R140" s="23" t="n">
        <v>121.1929</v>
      </c>
    </row>
    <row r="141" ht="15" customHeight="1" s="12">
      <c r="A141" s="18" t="inlineStr">
        <is>
          <t>Santa Rosa</t>
        </is>
      </c>
      <c r="B141" s="18" t="inlineStr">
        <is>
          <t>Philippines</t>
        </is>
      </c>
      <c r="C141" s="19" t="n">
        <v>114123600</v>
      </c>
      <c r="D141" s="18" t="inlineStr">
        <is>
          <t>PH</t>
        </is>
      </c>
      <c r="E141" s="18" t="inlineStr">
        <is>
          <t>40</t>
        </is>
      </c>
      <c r="F141" s="20" t="n">
        <v>216650</v>
      </c>
      <c r="G141" s="18" t="n"/>
      <c r="H141" s="18" t="inlineStr">
        <is>
          <t>MNL</t>
        </is>
      </c>
      <c r="I141" s="18" t="inlineStr">
        <is>
          <t>Ninoy Aquino International Airport</t>
        </is>
      </c>
      <c r="J141" s="21" t="n">
        <v>24</v>
      </c>
      <c r="K141" s="18" t="inlineStr">
        <is>
          <t>MNL</t>
        </is>
      </c>
      <c r="L141" s="18" t="inlineStr">
        <is>
          <t>100k +  pop</t>
        </is>
      </c>
      <c r="M141" s="22" t="n">
        <v>0.873</v>
      </c>
      <c r="N141" s="22" t="n">
        <v>0</v>
      </c>
      <c r="O141" s="18" t="n"/>
      <c r="P141" s="22">
        <f>IF(O141="",(About!$B$5*M141+About!$B$6*N141)/(About!$B$5+About!$B$6),About!$B$5*M141+About!$B$6*N141+About!$B$7*O141)</f>
        <v/>
      </c>
      <c r="Q141" s="23" t="n">
        <v>14.3122</v>
      </c>
      <c r="R141" s="23" t="n">
        <v>121.1114</v>
      </c>
    </row>
    <row r="142" ht="15" customHeight="1" s="12">
      <c r="A142" s="18" t="inlineStr">
        <is>
          <t>Imus</t>
        </is>
      </c>
      <c r="B142" s="18" t="inlineStr">
        <is>
          <t>Philippines</t>
        </is>
      </c>
      <c r="C142" s="19" t="n">
        <v>114123600</v>
      </c>
      <c r="D142" s="18" t="inlineStr">
        <is>
          <t>PH</t>
        </is>
      </c>
      <c r="E142" s="18" t="inlineStr">
        <is>
          <t>40</t>
        </is>
      </c>
      <c r="F142" s="20" t="n">
        <v>216099</v>
      </c>
      <c r="G142" s="18" t="n"/>
      <c r="H142" s="18" t="inlineStr">
        <is>
          <t>MNL</t>
        </is>
      </c>
      <c r="I142" s="18" t="inlineStr">
        <is>
          <t>Ninoy Aquino International Airport</t>
        </is>
      </c>
      <c r="J142" s="21" t="n">
        <v>12.5</v>
      </c>
      <c r="K142" s="18" t="inlineStr">
        <is>
          <t>MNL</t>
        </is>
      </c>
      <c r="L142" s="18" t="inlineStr">
        <is>
          <t>100k +  pop</t>
        </is>
      </c>
      <c r="M142" s="22" t="n">
        <v>0.873</v>
      </c>
      <c r="N142" s="22" t="n">
        <v>0</v>
      </c>
      <c r="O142" s="18" t="n"/>
      <c r="P142" s="22">
        <f>IF(O142="",(About!$B$5*M142+About!$B$6*N142)/(About!$B$5+About!$B$6),About!$B$5*M142+About!$B$6*N142+About!$B$7*O142)</f>
        <v/>
      </c>
      <c r="Q142" s="23" t="n">
        <v>14.4297</v>
      </c>
      <c r="R142" s="23" t="n">
        <v>120.9367</v>
      </c>
    </row>
    <row r="143" ht="15" customHeight="1" s="12">
      <c r="A143" s="18" t="inlineStr">
        <is>
          <t>Alcalá de Henares</t>
        </is>
      </c>
      <c r="B143" s="18" t="inlineStr">
        <is>
          <t>Spain</t>
        </is>
      </c>
      <c r="C143" s="19" t="n">
        <v>49687120</v>
      </c>
      <c r="D143" s="18" t="inlineStr">
        <is>
          <t>ES</t>
        </is>
      </c>
      <c r="E143" s="18" t="inlineStr">
        <is>
          <t>29</t>
        </is>
      </c>
      <c r="F143" s="20" t="n">
        <v>204574</v>
      </c>
      <c r="G143" s="18" t="n"/>
      <c r="H143" s="18" t="inlineStr">
        <is>
          <t>MAD</t>
        </is>
      </c>
      <c r="I143" s="18" t="inlineStr">
        <is>
          <t>Adolfo Suárez Madrid–Barajas Airport</t>
        </is>
      </c>
      <c r="J143" s="21" t="n">
        <v>18</v>
      </c>
      <c r="K143" s="18" t="inlineStr">
        <is>
          <t>MAD</t>
        </is>
      </c>
      <c r="L143" s="18" t="inlineStr">
        <is>
          <t>100k +  pop</t>
        </is>
      </c>
      <c r="M143" s="22" t="n">
        <v>0.874</v>
      </c>
      <c r="N143" s="22" t="n">
        <v>0</v>
      </c>
      <c r="O143" s="18" t="n"/>
      <c r="P143" s="22">
        <f>IF(O143="",(About!$B$5*M143+About!$B$6*N143)/(About!$B$5+About!$B$6),About!$B$5*M143+About!$B$6*N143+About!$B$7*O143)</f>
        <v/>
      </c>
      <c r="Q143" s="23" t="n">
        <v>40.4821</v>
      </c>
      <c r="R143" s="23" t="n">
        <v>-3.36</v>
      </c>
    </row>
    <row r="144" ht="15" customHeight="1" s="12">
      <c r="A144" s="18" t="inlineStr">
        <is>
          <t>Burnaby</t>
        </is>
      </c>
      <c r="B144" s="18" t="inlineStr">
        <is>
          <t>Canada</t>
        </is>
      </c>
      <c r="C144" s="19" t="n">
        <v>41472081</v>
      </c>
      <c r="D144" s="18" t="inlineStr">
        <is>
          <t>CA</t>
        </is>
      </c>
      <c r="E144" s="18" t="inlineStr">
        <is>
          <t>02</t>
        </is>
      </c>
      <c r="F144" s="20" t="n">
        <v>202799</v>
      </c>
      <c r="G144" s="18" t="n"/>
      <c r="H144" s="18" t="inlineStr">
        <is>
          <t>YVR</t>
        </is>
      </c>
      <c r="I144" s="18" t="inlineStr">
        <is>
          <t>Vancouver International Airport</t>
        </is>
      </c>
      <c r="J144" s="21" t="n">
        <v>18.6</v>
      </c>
      <c r="K144" s="18" t="inlineStr">
        <is>
          <t>CXH+YVR</t>
        </is>
      </c>
      <c r="L144" s="18" t="inlineStr">
        <is>
          <t>100k +  pop</t>
        </is>
      </c>
      <c r="M144" s="22" t="n">
        <v>0.873</v>
      </c>
      <c r="N144" s="22" t="n">
        <v>0</v>
      </c>
      <c r="O144" s="18" t="n"/>
      <c r="P144" s="22">
        <f>IF(O144="",(About!$B$5*M144+About!$B$6*N144)/(About!$B$5+About!$B$6),About!$B$5*M144+About!$B$6*N144+About!$B$7*O144)</f>
        <v/>
      </c>
      <c r="Q144" s="23" t="n">
        <v>49.2664</v>
      </c>
      <c r="R144" s="23" t="n">
        <v>-122.9526</v>
      </c>
    </row>
    <row r="145" ht="15" customHeight="1" s="12">
      <c r="A145" s="18" t="inlineStr">
        <is>
          <t>Ladner</t>
        </is>
      </c>
      <c r="B145" s="18" t="inlineStr">
        <is>
          <t>Canada</t>
        </is>
      </c>
      <c r="C145" s="19" t="n">
        <v>41472081</v>
      </c>
      <c r="D145" s="18" t="inlineStr">
        <is>
          <t>CA</t>
        </is>
      </c>
      <c r="E145" s="18" t="inlineStr">
        <is>
          <t>02</t>
        </is>
      </c>
      <c r="F145" s="20" t="n">
        <v>200000</v>
      </c>
      <c r="G145" s="18" t="n"/>
      <c r="H145" s="18" t="inlineStr">
        <is>
          <t>YVR</t>
        </is>
      </c>
      <c r="I145" s="18" t="inlineStr">
        <is>
          <t>Vancouver International Airport</t>
        </is>
      </c>
      <c r="J145" s="21" t="n">
        <v>13.8</v>
      </c>
      <c r="K145" s="18" t="inlineStr">
        <is>
          <t>CXH+YVR</t>
        </is>
      </c>
      <c r="L145" s="18" t="inlineStr">
        <is>
          <t>100k +  pop</t>
        </is>
      </c>
      <c r="M145" s="22" t="n">
        <v>0.873</v>
      </c>
      <c r="N145" s="22" t="n">
        <v>0</v>
      </c>
      <c r="O145" s="18" t="n"/>
      <c r="P145" s="22">
        <f>IF(O145="",(About!$B$5*M145+About!$B$6*N145)/(About!$B$5+About!$B$6),About!$B$5*M145+About!$B$6*N145+About!$B$7*O145)</f>
        <v/>
      </c>
      <c r="Q145" s="23" t="n">
        <v>49.0894</v>
      </c>
      <c r="R145" s="23" t="n">
        <v>-123.0824</v>
      </c>
    </row>
    <row r="146" ht="15" customHeight="1" s="12">
      <c r="A146" s="18" t="inlineStr">
        <is>
          <t>Richmond</t>
        </is>
      </c>
      <c r="B146" s="18" t="inlineStr">
        <is>
          <t>Canada</t>
        </is>
      </c>
      <c r="C146" s="19" t="n">
        <v>41472081</v>
      </c>
      <c r="D146" s="18" t="inlineStr">
        <is>
          <t>CA</t>
        </is>
      </c>
      <c r="E146" s="18" t="inlineStr">
        <is>
          <t>02</t>
        </is>
      </c>
      <c r="F146" s="20" t="n">
        <v>182000</v>
      </c>
      <c r="G146" s="18" t="n"/>
      <c r="H146" s="18" t="inlineStr">
        <is>
          <t>YVR</t>
        </is>
      </c>
      <c r="I146" s="18" t="inlineStr">
        <is>
          <t>Vancouver International Airport</t>
        </is>
      </c>
      <c r="J146" s="21" t="n">
        <v>4.3</v>
      </c>
      <c r="K146" s="18" t="inlineStr">
        <is>
          <t>CXH+YVR</t>
        </is>
      </c>
      <c r="L146" s="18" t="inlineStr">
        <is>
          <t>100k +  pop + airport</t>
        </is>
      </c>
      <c r="M146" s="22" t="n">
        <v>0.873</v>
      </c>
      <c r="N146" s="22" t="n">
        <v>0</v>
      </c>
      <c r="O146" s="18" t="n"/>
      <c r="P146" s="22">
        <f>IF(O146="",(About!$B$5*M146+About!$B$6*N146)/(About!$B$5+About!$B$6),About!$B$5*M146+About!$B$6*N146+About!$B$7*O146)</f>
        <v/>
      </c>
      <c r="Q146" s="23" t="n">
        <v>49.17</v>
      </c>
      <c r="R146" s="23" t="n">
        <v>-123.1368</v>
      </c>
    </row>
    <row r="147" ht="15" customHeight="1" s="12">
      <c r="A147" s="18" t="inlineStr">
        <is>
          <t>Chamartín</t>
        </is>
      </c>
      <c r="B147" s="18" t="inlineStr">
        <is>
          <t>Spain</t>
        </is>
      </c>
      <c r="C147" s="19" t="n">
        <v>49687120</v>
      </c>
      <c r="D147" s="18" t="inlineStr">
        <is>
          <t>ES</t>
        </is>
      </c>
      <c r="E147" s="18" t="inlineStr">
        <is>
          <t>29</t>
        </is>
      </c>
      <c r="F147" s="20" t="n">
        <v>140000</v>
      </c>
      <c r="G147" s="18" t="n"/>
      <c r="H147" s="18" t="inlineStr">
        <is>
          <t>MAD</t>
        </is>
      </c>
      <c r="I147" s="18" t="inlineStr">
        <is>
          <t>Adolfo Suárez Madrid–Barajas Airport</t>
        </is>
      </c>
      <c r="J147" s="21" t="n">
        <v>9.5</v>
      </c>
      <c r="K147" s="18" t="inlineStr">
        <is>
          <t>MAD</t>
        </is>
      </c>
      <c r="L147" s="18" t="inlineStr">
        <is>
          <t>100k +  pop + airport</t>
        </is>
      </c>
      <c r="M147" s="22" t="n">
        <v>0.874</v>
      </c>
      <c r="N147" s="22" t="n">
        <v>0</v>
      </c>
      <c r="O147" s="18" t="n"/>
      <c r="P147" s="22">
        <f>IF(O147="",(About!$B$5*M147+About!$B$6*N147)/(About!$B$5+About!$B$6),About!$B$5*M147+About!$B$6*N147+About!$B$7*O147)</f>
        <v/>
      </c>
      <c r="Q147" s="23" t="n">
        <v>40.4621</v>
      </c>
      <c r="R147" s="23" t="n">
        <v>-3.6766</v>
      </c>
    </row>
    <row r="148" ht="15" customHeight="1" s="12">
      <c r="A148" s="18" t="inlineStr">
        <is>
          <t>San Mateo</t>
        </is>
      </c>
      <c r="B148" s="18" t="inlineStr">
        <is>
          <t>Philippines</t>
        </is>
      </c>
      <c r="C148" s="19" t="n">
        <v>114123600</v>
      </c>
      <c r="D148" s="18" t="inlineStr">
        <is>
          <t>PH</t>
        </is>
      </c>
      <c r="E148" s="18" t="inlineStr">
        <is>
          <t>40</t>
        </is>
      </c>
      <c r="F148" s="20" t="n">
        <v>134327</v>
      </c>
      <c r="G148" s="18" t="n"/>
      <c r="H148" s="18" t="inlineStr">
        <is>
          <t>MNL</t>
        </is>
      </c>
      <c r="I148" s="18" t="inlineStr">
        <is>
          <t>Ninoy Aquino International Airport</t>
        </is>
      </c>
      <c r="J148" s="21" t="n">
        <v>23.8</v>
      </c>
      <c r="K148" s="18" t="inlineStr">
        <is>
          <t>MNL</t>
        </is>
      </c>
      <c r="L148" s="18" t="inlineStr">
        <is>
          <t>100k +  pop</t>
        </is>
      </c>
      <c r="M148" s="22" t="n">
        <v>0.873</v>
      </c>
      <c r="N148" s="22" t="n">
        <v>0</v>
      </c>
      <c r="O148" s="18" t="n"/>
      <c r="P148" s="22">
        <f>IF(O148="",(About!$B$5*M148+About!$B$6*N148)/(About!$B$5+About!$B$6),About!$B$5*M148+About!$B$6*N148+About!$B$7*O148)</f>
        <v/>
      </c>
      <c r="Q148" s="23" t="n">
        <v>14.6982</v>
      </c>
      <c r="R148" s="23" t="n">
        <v>121.1236</v>
      </c>
    </row>
    <row r="149" ht="15" customHeight="1" s="12">
      <c r="A149" s="18" t="inlineStr">
        <is>
          <t>Cavite City</t>
        </is>
      </c>
      <c r="B149" s="18" t="inlineStr">
        <is>
          <t>Philippines</t>
        </is>
      </c>
      <c r="C149" s="19" t="n">
        <v>114123600</v>
      </c>
      <c r="D149" s="18" t="inlineStr">
        <is>
          <t>PH</t>
        </is>
      </c>
      <c r="E149" s="18" t="inlineStr">
        <is>
          <t>40</t>
        </is>
      </c>
      <c r="F149" s="20" t="n">
        <v>115932</v>
      </c>
      <c r="G149" s="18" t="n"/>
      <c r="H149" s="18" t="inlineStr">
        <is>
          <t>MNL</t>
        </is>
      </c>
      <c r="I149" s="18" t="inlineStr">
        <is>
          <t>Ninoy Aquino International Airport</t>
        </is>
      </c>
      <c r="J149" s="21" t="n">
        <v>13.3</v>
      </c>
      <c r="K149" s="18" t="inlineStr">
        <is>
          <t>MNL</t>
        </is>
      </c>
      <c r="L149" s="18" t="inlineStr">
        <is>
          <t>100k +  pop</t>
        </is>
      </c>
      <c r="M149" s="22" t="n">
        <v>0.873</v>
      </c>
      <c r="N149" s="22" t="n">
        <v>0</v>
      </c>
      <c r="O149" s="18" t="n"/>
      <c r="P149" s="22">
        <f>IF(O149="",(About!$B$5*M149+About!$B$6*N149)/(About!$B$5+About!$B$6),About!$B$5*M149+About!$B$6*N149+About!$B$7*O149)</f>
        <v/>
      </c>
      <c r="Q149" s="23" t="n">
        <v>14.4837</v>
      </c>
      <c r="R149" s="23" t="n">
        <v>120.8988</v>
      </c>
    </row>
    <row r="150" ht="15" customHeight="1" s="12">
      <c r="A150" s="18" t="inlineStr">
        <is>
          <t>Delta</t>
        </is>
      </c>
      <c r="B150" s="18" t="inlineStr">
        <is>
          <t>Canada</t>
        </is>
      </c>
      <c r="C150" s="19" t="n">
        <v>41472081</v>
      </c>
      <c r="D150" s="18" t="inlineStr">
        <is>
          <t>CA</t>
        </is>
      </c>
      <c r="E150" s="18" t="inlineStr">
        <is>
          <t>02</t>
        </is>
      </c>
      <c r="F150" s="20" t="n">
        <v>101668</v>
      </c>
      <c r="G150" s="18" t="n"/>
      <c r="H150" s="18" t="inlineStr">
        <is>
          <t>YVR</t>
        </is>
      </c>
      <c r="I150" s="18" t="inlineStr">
        <is>
          <t>Vancouver International Airport</t>
        </is>
      </c>
      <c r="J150" s="21" t="n">
        <v>20.9</v>
      </c>
      <c r="K150" s="18" t="inlineStr">
        <is>
          <t>CXH+YVR</t>
        </is>
      </c>
      <c r="L150" s="18" t="inlineStr">
        <is>
          <t>100k +  pop</t>
        </is>
      </c>
      <c r="M150" s="22" t="n">
        <v>0.873</v>
      </c>
      <c r="N150" s="22" t="n">
        <v>0</v>
      </c>
      <c r="O150" s="18" t="n"/>
      <c r="P150" s="22">
        <f>IF(O150="",(About!$B$5*M150+About!$B$6*N150)/(About!$B$5+About!$B$6),About!$B$5*M150+About!$B$6*N150+About!$B$7*O150)</f>
        <v/>
      </c>
      <c r="Q150" s="23" t="n">
        <v>49.144</v>
      </c>
      <c r="R150" s="23" t="n">
        <v>-122.9068</v>
      </c>
    </row>
    <row r="151" ht="15" customHeight="1" s="12">
      <c r="A151" s="18" t="inlineStr">
        <is>
          <t>Panamá</t>
        </is>
      </c>
      <c r="B151" s="18" t="inlineStr">
        <is>
          <t>Panama</t>
        </is>
      </c>
      <c r="C151" s="19" t="n">
        <v>4064780</v>
      </c>
      <c r="D151" s="18" t="inlineStr">
        <is>
          <t>PA</t>
        </is>
      </c>
      <c r="E151" s="18" t="inlineStr">
        <is>
          <t>08</t>
        </is>
      </c>
      <c r="F151" s="20" t="n">
        <v>408168</v>
      </c>
      <c r="G151" s="18" t="inlineStr">
        <is>
          <t>Yes</t>
        </is>
      </c>
      <c r="H151" s="18" t="inlineStr">
        <is>
          <t>PTY</t>
        </is>
      </c>
      <c r="I151" s="18" t="inlineStr">
        <is>
          <t>Tocumen International Airport</t>
        </is>
      </c>
      <c r="J151" s="21" t="n">
        <v>17.3</v>
      </c>
      <c r="K151" s="18" t="inlineStr">
        <is>
          <t>BLB+PAC+PTY</t>
        </is>
      </c>
      <c r="L151" s="18" t="inlineStr">
        <is>
          <t>100k +  pop + capital + airport</t>
        </is>
      </c>
      <c r="M151" s="22" t="n">
        <v>0.872</v>
      </c>
      <c r="N151" s="22" t="n">
        <v>0</v>
      </c>
      <c r="O151" s="18" t="n"/>
      <c r="P151" s="22">
        <f>IF(O151="",(About!$B$5*M151+About!$B$6*N151)/(About!$B$5+About!$B$6),About!$B$5*M151+About!$B$6*N151+About!$B$7*O151)</f>
        <v/>
      </c>
      <c r="Q151" s="23" t="n">
        <v>8.993600000000001</v>
      </c>
      <c r="R151" s="23" t="n">
        <v>-79.5197</v>
      </c>
    </row>
    <row r="152" ht="15" customHeight="1" s="12">
      <c r="A152" s="18" t="inlineStr">
        <is>
          <t>San Miguelito</t>
        </is>
      </c>
      <c r="B152" s="18" t="inlineStr">
        <is>
          <t>Panama</t>
        </is>
      </c>
      <c r="C152" s="19" t="n">
        <v>4064780</v>
      </c>
      <c r="D152" s="18" t="inlineStr">
        <is>
          <t>PA</t>
        </is>
      </c>
      <c r="E152" s="18" t="inlineStr">
        <is>
          <t>08</t>
        </is>
      </c>
      <c r="F152" s="20" t="n">
        <v>321501</v>
      </c>
      <c r="G152" s="18" t="n"/>
      <c r="H152" s="18" t="inlineStr">
        <is>
          <t>PTY</t>
        </is>
      </c>
      <c r="I152" s="18" t="inlineStr">
        <is>
          <t>Tocumen International Airport</t>
        </is>
      </c>
      <c r="J152" s="21" t="n">
        <v>9.9</v>
      </c>
      <c r="K152" s="18" t="inlineStr">
        <is>
          <t>BLB+PAC+PTY</t>
        </is>
      </c>
      <c r="L152" s="18" t="inlineStr">
        <is>
          <t>100k +  pop + airport</t>
        </is>
      </c>
      <c r="M152" s="22" t="n">
        <v>0.872</v>
      </c>
      <c r="N152" s="22" t="n">
        <v>0</v>
      </c>
      <c r="O152" s="18" t="n"/>
      <c r="P152" s="22">
        <f>IF(O152="",(About!$B$5*M152+About!$B$6*N152)/(About!$B$5+About!$B$6),About!$B$5*M152+About!$B$6*N152+About!$B$7*O152)</f>
        <v/>
      </c>
      <c r="Q152" s="23" t="n">
        <v>9.0503</v>
      </c>
      <c r="R152" s="23" t="n">
        <v>-79.47069999999999</v>
      </c>
    </row>
    <row r="153" ht="15" customHeight="1" s="12">
      <c r="A153" s="18" t="inlineStr">
        <is>
          <t>Juan Díaz</t>
        </is>
      </c>
      <c r="B153" s="18" t="inlineStr">
        <is>
          <t>Panama</t>
        </is>
      </c>
      <c r="C153" s="19" t="n">
        <v>4064780</v>
      </c>
      <c r="D153" s="18" t="inlineStr">
        <is>
          <t>PA</t>
        </is>
      </c>
      <c r="E153" s="18" t="inlineStr">
        <is>
          <t>08</t>
        </is>
      </c>
      <c r="F153" s="20" t="n">
        <v>100636</v>
      </c>
      <c r="G153" s="18" t="n"/>
      <c r="H153" s="18" t="inlineStr">
        <is>
          <t>PTY</t>
        </is>
      </c>
      <c r="I153" s="18" t="inlineStr">
        <is>
          <t>Tocumen International Airport</t>
        </is>
      </c>
      <c r="J153" s="21" t="n">
        <v>7.7</v>
      </c>
      <c r="K153" s="18" t="inlineStr">
        <is>
          <t>BLB+PAC+PTY</t>
        </is>
      </c>
      <c r="L153" s="18" t="inlineStr">
        <is>
          <t>100k +  pop + airport</t>
        </is>
      </c>
      <c r="M153" s="22" t="n">
        <v>0.872</v>
      </c>
      <c r="N153" s="22" t="n">
        <v>0</v>
      </c>
      <c r="O153" s="18" t="n"/>
      <c r="P153" s="22">
        <f>IF(O153="",(About!$B$5*M153+About!$B$6*N153)/(About!$B$5+About!$B$6),About!$B$5*M153+About!$B$6*N153+About!$B$7*O153)</f>
        <v/>
      </c>
      <c r="Q153" s="23" t="n">
        <v>9.050000000000001</v>
      </c>
      <c r="R153" s="23" t="n">
        <v>-79.45</v>
      </c>
    </row>
    <row r="154" ht="15" customHeight="1" s="12">
      <c r="A154" s="18" t="inlineStr">
        <is>
          <t>Faaa</t>
        </is>
      </c>
      <c r="B154" s="18" t="inlineStr">
        <is>
          <t>French Polynesia</t>
        </is>
      </c>
      <c r="C154" s="19" t="n">
        <v>279500</v>
      </c>
      <c r="D154" s="18" t="inlineStr">
        <is>
          <t>PF</t>
        </is>
      </c>
      <c r="E154" s="18" t="inlineStr">
        <is>
          <t>01</t>
        </is>
      </c>
      <c r="F154" s="20" t="n">
        <v>29851</v>
      </c>
      <c r="G154" s="18" t="n"/>
      <c r="H154" s="18" t="inlineStr">
        <is>
          <t>PPT</t>
        </is>
      </c>
      <c r="I154" s="18" t="inlineStr">
        <is>
          <t>Fa'a'ā International Airport</t>
        </is>
      </c>
      <c r="J154" s="21" t="n">
        <v>0.8</v>
      </c>
      <c r="K154" s="18" t="inlineStr">
        <is>
          <t>MOZ+PPT</t>
        </is>
      </c>
      <c r="L154" s="18" t="inlineStr">
        <is>
          <t>airport</t>
        </is>
      </c>
      <c r="M154" s="22" t="n">
        <v>0.872</v>
      </c>
      <c r="N154" s="22" t="n">
        <v>0</v>
      </c>
      <c r="O154" s="18" t="n"/>
      <c r="P154" s="22">
        <f>IF(O154="",(About!$B$5*M154+About!$B$6*N154)/(About!$B$5+About!$B$6),About!$B$5*M154+About!$B$6*N154+About!$B$7*O154)</f>
        <v/>
      </c>
      <c r="Q154" s="23" t="n">
        <v>-17.55</v>
      </c>
      <c r="R154" s="23" t="n">
        <v>-149.6</v>
      </c>
    </row>
    <row r="155" ht="15" customHeight="1" s="12">
      <c r="A155" s="18" t="inlineStr">
        <is>
          <t>Papeete</t>
        </is>
      </c>
      <c r="B155" s="18" t="inlineStr">
        <is>
          <t>French Polynesia</t>
        </is>
      </c>
      <c r="C155" s="19" t="n">
        <v>279500</v>
      </c>
      <c r="D155" s="18" t="inlineStr">
        <is>
          <t>PF</t>
        </is>
      </c>
      <c r="E155" s="18" t="inlineStr">
        <is>
          <t>01</t>
        </is>
      </c>
      <c r="F155" s="20" t="n">
        <v>26357</v>
      </c>
      <c r="G155" s="18" t="inlineStr">
        <is>
          <t>Yes</t>
        </is>
      </c>
      <c r="H155" s="18" t="inlineStr">
        <is>
          <t>PPT</t>
        </is>
      </c>
      <c r="I155" s="18" t="inlineStr">
        <is>
          <t>Fa'a'ā International Airport</t>
        </is>
      </c>
      <c r="J155" s="21" t="n">
        <v>4.6</v>
      </c>
      <c r="K155" s="18" t="inlineStr">
        <is>
          <t>MOZ+PPT</t>
        </is>
      </c>
      <c r="L155" s="18" t="inlineStr">
        <is>
          <t>capital + airport</t>
        </is>
      </c>
      <c r="M155" s="22" t="n">
        <v>0.872</v>
      </c>
      <c r="N155" s="22" t="n">
        <v>0</v>
      </c>
      <c r="O155" s="18" t="n"/>
      <c r="P155" s="22">
        <f>IF(O155="",(About!$B$5*M155+About!$B$6*N155)/(About!$B$5+About!$B$6),About!$B$5*M155+About!$B$6*N155+About!$B$7*O155)</f>
        <v/>
      </c>
      <c r="Q155" s="23" t="n">
        <v>-17.5373</v>
      </c>
      <c r="R155" s="23" t="n">
        <v>-149.5665</v>
      </c>
    </row>
    <row r="156" ht="15" customHeight="1" s="12">
      <c r="A156" s="18" t="inlineStr">
        <is>
          <t>Punaauia</t>
        </is>
      </c>
      <c r="B156" s="18" t="inlineStr">
        <is>
          <t>French Polynesia</t>
        </is>
      </c>
      <c r="C156" s="19" t="n">
        <v>279500</v>
      </c>
      <c r="D156" s="18" t="inlineStr">
        <is>
          <t>PF</t>
        </is>
      </c>
      <c r="E156" s="18" t="inlineStr">
        <is>
          <t>01</t>
        </is>
      </c>
      <c r="F156" s="20" t="n">
        <v>25750</v>
      </c>
      <c r="G156" s="18" t="n"/>
      <c r="H156" s="18" t="inlineStr">
        <is>
          <t>PPT</t>
        </is>
      </c>
      <c r="I156" s="18" t="inlineStr">
        <is>
          <t>Fa'a'ā International Airport</t>
        </is>
      </c>
      <c r="J156" s="21" t="n">
        <v>8.9</v>
      </c>
      <c r="K156" s="18" t="inlineStr">
        <is>
          <t>MOZ+PPT</t>
        </is>
      </c>
      <c r="L156" s="18" t="inlineStr">
        <is>
          <t>airport</t>
        </is>
      </c>
      <c r="M156" s="22" t="n">
        <v>0.872</v>
      </c>
      <c r="N156" s="22" t="n">
        <v>0</v>
      </c>
      <c r="O156" s="18" t="n"/>
      <c r="P156" s="22">
        <f>IF(O156="",(About!$B$5*M156+About!$B$6*N156)/(About!$B$5+About!$B$6),About!$B$5*M156+About!$B$6*N156+About!$B$7*O156)</f>
        <v/>
      </c>
      <c r="Q156" s="23" t="n">
        <v>-17.6333</v>
      </c>
      <c r="R156" s="23" t="n">
        <v>-149.6</v>
      </c>
    </row>
    <row r="157" ht="15" customHeight="1" s="12">
      <c r="A157" s="18" t="inlineStr">
        <is>
          <t>Auckland</t>
        </is>
      </c>
      <c r="B157" s="18" t="inlineStr">
        <is>
          <t>New Zealand</t>
        </is>
      </c>
      <c r="C157" s="19" t="n">
        <v>5361300</v>
      </c>
      <c r="D157" s="18" t="inlineStr">
        <is>
          <t>NZ</t>
        </is>
      </c>
      <c r="E157" s="18" t="inlineStr">
        <is>
          <t>E7</t>
        </is>
      </c>
      <c r="F157" s="20" t="n">
        <v>417910</v>
      </c>
      <c r="G157" s="18" t="n"/>
      <c r="H157" s="18" t="inlineStr">
        <is>
          <t>AKL</t>
        </is>
      </c>
      <c r="I157" s="18" t="inlineStr">
        <is>
          <t>Auckland International Airport</t>
        </is>
      </c>
      <c r="J157" s="21" t="n">
        <v>18.3</v>
      </c>
      <c r="K157" s="18" t="inlineStr">
        <is>
          <t>AKL</t>
        </is>
      </c>
      <c r="L157" s="18" t="inlineStr">
        <is>
          <t>100k +  pop + airport</t>
        </is>
      </c>
      <c r="M157" s="22" t="n">
        <v>0.871</v>
      </c>
      <c r="N157" s="22" t="n">
        <v>0</v>
      </c>
      <c r="O157" s="18" t="n"/>
      <c r="P157" s="22">
        <f>IF(O157="",(About!$B$5*M157+About!$B$6*N157)/(About!$B$5+About!$B$6),About!$B$5*M157+About!$B$6*N157+About!$B$7*O157)</f>
        <v/>
      </c>
      <c r="Q157" s="23" t="n">
        <v>-36.8485</v>
      </c>
      <c r="R157" s="23" t="n">
        <v>174.7635</v>
      </c>
    </row>
    <row r="158" ht="15" customHeight="1" s="12">
      <c r="A158" s="18" t="inlineStr">
        <is>
          <t>Mueang Nonthaburi</t>
        </is>
      </c>
      <c r="B158" s="18" t="inlineStr">
        <is>
          <t>Thailand</t>
        </is>
      </c>
      <c r="C158" s="19" t="n">
        <v>65826149</v>
      </c>
      <c r="D158" s="18" t="inlineStr">
        <is>
          <t>TH</t>
        </is>
      </c>
      <c r="E158" s="18" t="inlineStr">
        <is>
          <t>38</t>
        </is>
      </c>
      <c r="F158" s="20" t="n">
        <v>291555</v>
      </c>
      <c r="G158" s="18" t="n"/>
      <c r="H158" s="18" t="inlineStr">
        <is>
          <t>DMK</t>
        </is>
      </c>
      <c r="I158" s="18" t="inlineStr">
        <is>
          <t>Don Mueang International Airport</t>
        </is>
      </c>
      <c r="J158" s="21" t="n">
        <v>11.5</v>
      </c>
      <c r="K158" s="18" t="inlineStr">
        <is>
          <t>DMK</t>
        </is>
      </c>
      <c r="L158" s="18" t="inlineStr">
        <is>
          <t>100k +  pop</t>
        </is>
      </c>
      <c r="M158" s="22" t="n">
        <v>0.869</v>
      </c>
      <c r="N158" s="22" t="n">
        <v>0</v>
      </c>
      <c r="O158" s="18" t="n"/>
      <c r="P158" s="22">
        <f>IF(O158="",(About!$B$5*M158+About!$B$6*N158)/(About!$B$5+About!$B$6),About!$B$5*M158+About!$B$6*N158+About!$B$7*O158)</f>
        <v/>
      </c>
      <c r="Q158" s="23" t="n">
        <v>13.8607</v>
      </c>
      <c r="R158" s="23" t="n">
        <v>100.5148</v>
      </c>
    </row>
    <row r="159" ht="15" customHeight="1" s="12">
      <c r="A159" s="18" t="inlineStr">
        <is>
          <t>Pak Kret</t>
        </is>
      </c>
      <c r="B159" s="18" t="inlineStr">
        <is>
          <t>Thailand</t>
        </is>
      </c>
      <c r="C159" s="19" t="n">
        <v>65826149</v>
      </c>
      <c r="D159" s="18" t="inlineStr">
        <is>
          <t>TH</t>
        </is>
      </c>
      <c r="E159" s="18" t="inlineStr">
        <is>
          <t>38</t>
        </is>
      </c>
      <c r="F159" s="20" t="n">
        <v>182926</v>
      </c>
      <c r="G159" s="18" t="n"/>
      <c r="H159" s="18" t="inlineStr">
        <is>
          <t>DMK</t>
        </is>
      </c>
      <c r="I159" s="18" t="inlineStr">
        <is>
          <t>Don Mueang International Airport</t>
        </is>
      </c>
      <c r="J159" s="21" t="n">
        <v>11.7</v>
      </c>
      <c r="K159" s="18" t="inlineStr">
        <is>
          <t>DMK</t>
        </is>
      </c>
      <c r="L159" s="18" t="inlineStr">
        <is>
          <t>100k +  pop</t>
        </is>
      </c>
      <c r="M159" s="22" t="n">
        <v>0.869</v>
      </c>
      <c r="N159" s="22" t="n">
        <v>0</v>
      </c>
      <c r="O159" s="18" t="n"/>
      <c r="P159" s="22">
        <f>IF(O159="",(About!$B$5*M159+About!$B$6*N159)/(About!$B$5+About!$B$6),About!$B$5*M159+About!$B$6*N159+About!$B$7*O159)</f>
        <v/>
      </c>
      <c r="Q159" s="23" t="n">
        <v>13.913</v>
      </c>
      <c r="R159" s="23" t="n">
        <v>100.4988</v>
      </c>
    </row>
    <row r="160" ht="15" customHeight="1" s="12">
      <c r="A160" s="18" t="inlineStr">
        <is>
          <t>Khlong Luang</t>
        </is>
      </c>
      <c r="B160" s="18" t="inlineStr">
        <is>
          <t>Thailand</t>
        </is>
      </c>
      <c r="C160" s="19" t="n">
        <v>65826149</v>
      </c>
      <c r="D160" s="18" t="inlineStr">
        <is>
          <t>TH</t>
        </is>
      </c>
      <c r="E160" s="18" t="inlineStr">
        <is>
          <t>39</t>
        </is>
      </c>
      <c r="F160" s="20" t="n">
        <v>118551</v>
      </c>
      <c r="G160" s="18" t="n"/>
      <c r="H160" s="18" t="inlineStr">
        <is>
          <t>DMK</t>
        </is>
      </c>
      <c r="I160" s="18" t="inlineStr">
        <is>
          <t>Don Mueang International Airport</t>
        </is>
      </c>
      <c r="J160" s="21" t="n">
        <v>17.4</v>
      </c>
      <c r="K160" s="18" t="inlineStr">
        <is>
          <t>DMK</t>
        </is>
      </c>
      <c r="L160" s="18" t="inlineStr">
        <is>
          <t>100k +  pop</t>
        </is>
      </c>
      <c r="M160" s="22" t="n">
        <v>0.869</v>
      </c>
      <c r="N160" s="22" t="n">
        <v>0</v>
      </c>
      <c r="O160" s="18" t="n"/>
      <c r="P160" s="22">
        <f>IF(O160="",(About!$B$5*M160+About!$B$6*N160)/(About!$B$5+About!$B$6),About!$B$5*M160+About!$B$6*N160+About!$B$7*O160)</f>
        <v/>
      </c>
      <c r="Q160" s="23" t="n">
        <v>14.0647</v>
      </c>
      <c r="R160" s="23" t="n">
        <v>100.6458</v>
      </c>
    </row>
    <row r="161" ht="15" customHeight="1" s="12">
      <c r="A161" s="18" t="inlineStr">
        <is>
          <t>Salt Lake City</t>
        </is>
      </c>
      <c r="B161" s="18" t="inlineStr">
        <is>
          <t>United States</t>
        </is>
      </c>
      <c r="C161" s="19" t="n">
        <v>341784857</v>
      </c>
      <c r="D161" s="18" t="inlineStr">
        <is>
          <t>US</t>
        </is>
      </c>
      <c r="E161" s="18" t="inlineStr">
        <is>
          <t>UT</t>
        </is>
      </c>
      <c r="F161" s="20" t="n">
        <v>192672</v>
      </c>
      <c r="G161" s="18" t="n"/>
      <c r="H161" s="18" t="inlineStr">
        <is>
          <t>SLC</t>
        </is>
      </c>
      <c r="I161" s="18" t="inlineStr">
        <is>
          <t>Salt Lake City International Airport</t>
        </is>
      </c>
      <c r="J161" s="21" t="n">
        <v>8.1</v>
      </c>
      <c r="K161" s="18" t="inlineStr">
        <is>
          <t>SLC</t>
        </is>
      </c>
      <c r="L161" s="18" t="inlineStr">
        <is>
          <t>100k +  pop + airport</t>
        </is>
      </c>
      <c r="M161" s="22" t="n">
        <v>0.869</v>
      </c>
      <c r="N161" s="22" t="n">
        <v>0</v>
      </c>
      <c r="O161" s="18" t="n"/>
      <c r="P161" s="22">
        <f>IF(O161="",(About!$B$5*M161+About!$B$6*N161)/(About!$B$5+About!$B$6),About!$B$5*M161+About!$B$6*N161+About!$B$7*O161)</f>
        <v/>
      </c>
      <c r="Q161" s="23" t="n">
        <v>40.7608</v>
      </c>
      <c r="R161" s="23" t="n">
        <v>-111.8911</v>
      </c>
    </row>
    <row r="162" ht="15" customHeight="1" s="12">
      <c r="A162" s="18" t="inlineStr">
        <is>
          <t>Nairobi</t>
        </is>
      </c>
      <c r="B162" s="18" t="inlineStr">
        <is>
          <t>Kenya</t>
        </is>
      </c>
      <c r="C162" s="19" t="n">
        <v>53330978</v>
      </c>
      <c r="D162" s="18" t="inlineStr">
        <is>
          <t>KE</t>
        </is>
      </c>
      <c r="E162" s="18" t="inlineStr">
        <is>
          <t>05</t>
        </is>
      </c>
      <c r="F162" s="20" t="n">
        <v>2750547</v>
      </c>
      <c r="G162" s="18" t="inlineStr">
        <is>
          <t>Yes</t>
        </is>
      </c>
      <c r="H162" s="18" t="inlineStr">
        <is>
          <t>NBO</t>
        </is>
      </c>
      <c r="I162" s="18" t="inlineStr">
        <is>
          <t>Jomo Kenyatta International Airport</t>
        </is>
      </c>
      <c r="J162" s="21" t="n">
        <v>13</v>
      </c>
      <c r="K162" s="18" t="inlineStr">
        <is>
          <t>NBO+WIL</t>
        </is>
      </c>
      <c r="L162" s="18" t="inlineStr">
        <is>
          <t>100k +  pop + capital + airport</t>
        </is>
      </c>
      <c r="M162" s="22" t="n">
        <v>0.866</v>
      </c>
      <c r="N162" s="22" t="n">
        <v>0</v>
      </c>
      <c r="O162" s="18" t="n"/>
      <c r="P162" s="22">
        <f>IF(O162="",(About!$B$5*M162+About!$B$6*N162)/(About!$B$5+About!$B$6),About!$B$5*M162+About!$B$6*N162+About!$B$7*O162)</f>
        <v/>
      </c>
      <c r="Q162" s="23" t="n">
        <v>-1.2833</v>
      </c>
      <c r="R162" s="23" t="n">
        <v>36.8167</v>
      </c>
    </row>
    <row r="163" ht="15" customHeight="1" s="12">
      <c r="A163" s="18" t="inlineStr">
        <is>
          <t>Crawley</t>
        </is>
      </c>
      <c r="B163" s="18" t="inlineStr">
        <is>
          <t>United Kingdom</t>
        </is>
      </c>
      <c r="C163" s="19" t="n">
        <v>69487000</v>
      </c>
      <c r="D163" s="18" t="inlineStr">
        <is>
          <t>GB</t>
        </is>
      </c>
      <c r="E163" s="18" t="inlineStr">
        <is>
          <t>ENG</t>
        </is>
      </c>
      <c r="F163" s="20" t="n">
        <v>180508</v>
      </c>
      <c r="G163" s="18" t="n"/>
      <c r="H163" s="18" t="inlineStr">
        <is>
          <t>LGW</t>
        </is>
      </c>
      <c r="I163" s="18" t="inlineStr">
        <is>
          <t>London Gatwick Airport</t>
        </is>
      </c>
      <c r="J163" s="21" t="n">
        <v>4</v>
      </c>
      <c r="K163" s="18" t="inlineStr">
        <is>
          <t>LGW</t>
        </is>
      </c>
      <c r="L163" s="18" t="inlineStr">
        <is>
          <t>100k +  pop + airport</t>
        </is>
      </c>
      <c r="M163" s="22" t="n">
        <v>0.865</v>
      </c>
      <c r="N163" s="22" t="n">
        <v>0</v>
      </c>
      <c r="O163" s="18" t="n"/>
      <c r="P163" s="22">
        <f>IF(O163="",(About!$B$5*M163+About!$B$6*N163)/(About!$B$5+About!$B$6),About!$B$5*M163+About!$B$6*N163+About!$B$7*O163)</f>
        <v/>
      </c>
      <c r="Q163" s="23" t="n">
        <v>51.113</v>
      </c>
      <c r="R163" s="23" t="n">
        <v>-0.1831</v>
      </c>
    </row>
    <row r="164" ht="15" customHeight="1" s="12">
      <c r="A164" s="18" t="inlineStr">
        <is>
          <t>Perth</t>
        </is>
      </c>
      <c r="B164" s="18" t="inlineStr">
        <is>
          <t>Australia</t>
        </is>
      </c>
      <c r="C164" s="19" t="n">
        <v>27724744</v>
      </c>
      <c r="D164" s="18" t="inlineStr">
        <is>
          <t>AU</t>
        </is>
      </c>
      <c r="E164" s="18" t="inlineStr">
        <is>
          <t>08</t>
        </is>
      </c>
      <c r="F164" s="20" t="n">
        <v>1896548</v>
      </c>
      <c r="G164" s="18" t="n"/>
      <c r="H164" s="18" t="inlineStr">
        <is>
          <t>PER</t>
        </is>
      </c>
      <c r="I164" s="18" t="inlineStr">
        <is>
          <t>Perth International Airport</t>
        </is>
      </c>
      <c r="J164" s="21" t="n">
        <v>10.1</v>
      </c>
      <c r="K164" s="18" t="inlineStr">
        <is>
          <t>PER</t>
        </is>
      </c>
      <c r="L164" s="18" t="inlineStr">
        <is>
          <t>100k +  pop + airport</t>
        </is>
      </c>
      <c r="M164" s="22" t="n">
        <v>0.864</v>
      </c>
      <c r="N164" s="22" t="n">
        <v>0</v>
      </c>
      <c r="O164" s="18" t="n"/>
      <c r="P164" s="22">
        <f>IF(O164="",(About!$B$5*M164+About!$B$6*N164)/(About!$B$5+About!$B$6),About!$B$5*M164+About!$B$6*N164+About!$B$7*O164)</f>
        <v/>
      </c>
      <c r="Q164" s="23" t="n">
        <v>-31.9522</v>
      </c>
      <c r="R164" s="23" t="n">
        <v>115.8614</v>
      </c>
    </row>
    <row r="165" ht="15" customHeight="1" s="12">
      <c r="A165" s="18" t="inlineStr">
        <is>
          <t>Bogotá</t>
        </is>
      </c>
      <c r="B165" s="18" t="inlineStr">
        <is>
          <t>Colombia</t>
        </is>
      </c>
      <c r="C165" s="19" t="n">
        <v>53057212</v>
      </c>
      <c r="D165" s="18" t="inlineStr">
        <is>
          <t>CO</t>
        </is>
      </c>
      <c r="E165" s="18" t="inlineStr">
        <is>
          <t>34</t>
        </is>
      </c>
      <c r="F165" s="20" t="n">
        <v>7674366</v>
      </c>
      <c r="G165" s="18" t="inlineStr">
        <is>
          <t>Yes</t>
        </is>
      </c>
      <c r="H165" s="18" t="inlineStr">
        <is>
          <t>BOG</t>
        </is>
      </c>
      <c r="I165" s="18" t="inlineStr">
        <is>
          <t>El Dorado International Airport</t>
        </is>
      </c>
      <c r="J165" s="21" t="n">
        <v>12.5</v>
      </c>
      <c r="K165" s="18" t="inlineStr">
        <is>
          <t>BOG</t>
        </is>
      </c>
      <c r="L165" s="18" t="inlineStr">
        <is>
          <t>100k +  pop + capital + airport</t>
        </is>
      </c>
      <c r="M165" s="22" t="n">
        <v>0.862</v>
      </c>
      <c r="N165" s="22" t="n">
        <v>0</v>
      </c>
      <c r="O165" s="18" t="n"/>
      <c r="P165" s="22">
        <f>IF(O165="",(About!$B$5*M165+About!$B$6*N165)/(About!$B$5+About!$B$6),About!$B$5*M165+About!$B$6*N165+About!$B$7*O165)</f>
        <v/>
      </c>
      <c r="Q165" s="23" t="n">
        <v>4.6097</v>
      </c>
      <c r="R165" s="23" t="n">
        <v>-74.0817</v>
      </c>
    </row>
    <row r="166" ht="15" customHeight="1" s="12">
      <c r="A166" s="18" t="inlineStr">
        <is>
          <t>Soacha</t>
        </is>
      </c>
      <c r="B166" s="18" t="inlineStr">
        <is>
          <t>Colombia</t>
        </is>
      </c>
      <c r="C166" s="19" t="n">
        <v>53057212</v>
      </c>
      <c r="D166" s="18" t="inlineStr">
        <is>
          <t>CO</t>
        </is>
      </c>
      <c r="E166" s="18" t="inlineStr">
        <is>
          <t>33</t>
        </is>
      </c>
      <c r="F166" s="20" t="n">
        <v>313945</v>
      </c>
      <c r="G166" s="18" t="n"/>
      <c r="H166" s="18" t="inlineStr">
        <is>
          <t>BOG</t>
        </is>
      </c>
      <c r="I166" s="18" t="inlineStr">
        <is>
          <t>El Dorado International Airport</t>
        </is>
      </c>
      <c r="J166" s="21" t="n">
        <v>15.6</v>
      </c>
      <c r="K166" s="18" t="inlineStr">
        <is>
          <t>BOG</t>
        </is>
      </c>
      <c r="L166" s="18" t="inlineStr">
        <is>
          <t>100k +  pop</t>
        </is>
      </c>
      <c r="M166" s="22" t="n">
        <v>0.862</v>
      </c>
      <c r="N166" s="22" t="n">
        <v>0</v>
      </c>
      <c r="O166" s="18" t="n"/>
      <c r="P166" s="22">
        <f>IF(O166="",(About!$B$5*M166+About!$B$6*N166)/(About!$B$5+About!$B$6),About!$B$5*M166+About!$B$6*N166+About!$B$7*O166)</f>
        <v/>
      </c>
      <c r="Q166" s="23" t="n">
        <v>4.5794</v>
      </c>
      <c r="R166" s="23" t="n">
        <v>-74.21680000000001</v>
      </c>
    </row>
    <row r="167" ht="15" customHeight="1" s="12">
      <c r="A167" s="18" t="inlineStr">
        <is>
          <t>Kunming</t>
        </is>
      </c>
      <c r="B167" s="18" t="inlineStr">
        <is>
          <t>China</t>
        </is>
      </c>
      <c r="C167" s="19" t="n">
        <v>1404890000</v>
      </c>
      <c r="D167" s="18" t="inlineStr">
        <is>
          <t>CN</t>
        </is>
      </c>
      <c r="E167" s="18" t="inlineStr">
        <is>
          <t>29</t>
        </is>
      </c>
      <c r="F167" s="20" t="n">
        <v>3855346</v>
      </c>
      <c r="G167" s="18" t="n"/>
      <c r="H167" s="18" t="inlineStr">
        <is>
          <t>KMG</t>
        </is>
      </c>
      <c r="I167" s="18" t="inlineStr">
        <is>
          <t>Kunming Changshui International Airport</t>
        </is>
      </c>
      <c r="J167" s="21" t="n">
        <v>23.4</v>
      </c>
      <c r="K167" s="18" t="inlineStr">
        <is>
          <t>KMG</t>
        </is>
      </c>
      <c r="L167" s="18" t="inlineStr">
        <is>
          <t>100k +  pop + airport</t>
        </is>
      </c>
      <c r="M167" s="22" t="n">
        <v>0.851</v>
      </c>
      <c r="N167" s="22" t="n">
        <v>0</v>
      </c>
      <c r="O167" s="18" t="n"/>
      <c r="P167" s="22">
        <f>IF(O167="",(About!$B$5*M167+About!$B$6*N167)/(About!$B$5+About!$B$6),About!$B$5*M167+About!$B$6*N167+About!$B$7*O167)</f>
        <v/>
      </c>
      <c r="Q167" s="23" t="n">
        <v>25.0389</v>
      </c>
      <c r="R167" s="23" t="n">
        <v>102.7183</v>
      </c>
    </row>
    <row r="168" ht="15" customHeight="1" s="12">
      <c r="A168" s="18" t="inlineStr">
        <is>
          <t>Calgary</t>
        </is>
      </c>
      <c r="B168" s="18" t="inlineStr">
        <is>
          <t>Canada</t>
        </is>
      </c>
      <c r="C168" s="19" t="n">
        <v>41472081</v>
      </c>
      <c r="D168" s="18" t="inlineStr">
        <is>
          <t>CA</t>
        </is>
      </c>
      <c r="E168" s="18" t="inlineStr">
        <is>
          <t>01</t>
        </is>
      </c>
      <c r="F168" s="20" t="n">
        <v>1019942</v>
      </c>
      <c r="G168" s="18" t="n"/>
      <c r="H168" s="18" t="inlineStr">
        <is>
          <t>YYC</t>
        </is>
      </c>
      <c r="I168" s="18" t="inlineStr">
        <is>
          <t>Calgary International Airport</t>
        </is>
      </c>
      <c r="J168" s="21" t="n">
        <v>9.300000000000001</v>
      </c>
      <c r="K168" s="18" t="inlineStr">
        <is>
          <t>YYC</t>
        </is>
      </c>
      <c r="L168" s="18" t="inlineStr">
        <is>
          <t>100k +  pop + airport</t>
        </is>
      </c>
      <c r="M168" s="22" t="n">
        <v>0.849</v>
      </c>
      <c r="N168" s="22" t="n">
        <v>0</v>
      </c>
      <c r="O168" s="18" t="n"/>
      <c r="P168" s="22">
        <f>IF(O168="",(About!$B$5*M168+About!$B$6*N168)/(About!$B$5+About!$B$6),About!$B$5*M168+About!$B$6*N168+About!$B$7*O168)</f>
        <v/>
      </c>
      <c r="Q168" s="23" t="n">
        <v>51.0501</v>
      </c>
      <c r="R168" s="23" t="n">
        <v>-114.0853</v>
      </c>
    </row>
    <row r="169" ht="15" customHeight="1" s="12">
      <c r="A169" s="18" t="inlineStr">
        <is>
          <t>Batam</t>
        </is>
      </c>
      <c r="B169" s="18" t="inlineStr">
        <is>
          <t>Indonesia</t>
        </is>
      </c>
      <c r="C169" s="19" t="n">
        <v>288315089</v>
      </c>
      <c r="D169" s="18" t="inlineStr">
        <is>
          <t>ID</t>
        </is>
      </c>
      <c r="E169" s="18" t="inlineStr">
        <is>
          <t>37</t>
        </is>
      </c>
      <c r="F169" s="20" t="n">
        <v>1164352</v>
      </c>
      <c r="G169" s="18" t="n"/>
      <c r="H169" s="18" t="inlineStr">
        <is>
          <t>SIN</t>
        </is>
      </c>
      <c r="I169" s="18" t="inlineStr">
        <is>
          <t>Singapore Changi Airport</t>
        </is>
      </c>
      <c r="J169" s="21" t="n">
        <v>22.6</v>
      </c>
      <c r="K169" s="18" t="inlineStr">
        <is>
          <t>BTH+SIN</t>
        </is>
      </c>
      <c r="L169" s="18" t="inlineStr">
        <is>
          <t>100k +  pop + airport</t>
        </is>
      </c>
      <c r="M169" s="22" t="n">
        <v>0.847</v>
      </c>
      <c r="N169" s="22" t="n">
        <v>0</v>
      </c>
      <c r="O169" s="18" t="n"/>
      <c r="P169" s="22">
        <f>IF(O169="",(About!$B$5*M169+About!$B$6*N169)/(About!$B$5+About!$B$6),About!$B$5*M169+About!$B$6*N169+About!$B$7*O169)</f>
        <v/>
      </c>
      <c r="Q169" s="23" t="n">
        <v>1.1494</v>
      </c>
      <c r="R169" s="23" t="n">
        <v>104.0249</v>
      </c>
    </row>
    <row r="170" ht="15" customHeight="1" s="12">
      <c r="A170" s="18" t="inlineStr">
        <is>
          <t>Laval</t>
        </is>
      </c>
      <c r="B170" s="18" t="inlineStr">
        <is>
          <t>Canada</t>
        </is>
      </c>
      <c r="C170" s="19" t="n">
        <v>41472081</v>
      </c>
      <c r="D170" s="18" t="inlineStr">
        <is>
          <t>CA</t>
        </is>
      </c>
      <c r="E170" s="18" t="inlineStr">
        <is>
          <t>10</t>
        </is>
      </c>
      <c r="F170" s="20" t="n">
        <v>376845</v>
      </c>
      <c r="G170" s="18" t="n"/>
      <c r="H170" s="18" t="inlineStr">
        <is>
          <t>YUL</t>
        </is>
      </c>
      <c r="I170" s="18" t="inlineStr">
        <is>
          <t>Montreal / Pierre Elliott Trudeau International Airport</t>
        </is>
      </c>
      <c r="J170" s="21" t="n">
        <v>12</v>
      </c>
      <c r="K170" s="18" t="inlineStr">
        <is>
          <t>YHU+YUL</t>
        </is>
      </c>
      <c r="L170" s="18" t="inlineStr">
        <is>
          <t>100k +  pop</t>
        </is>
      </c>
      <c r="M170" s="22" t="n">
        <v>0.849</v>
      </c>
      <c r="N170" s="22" t="n">
        <v>0</v>
      </c>
      <c r="O170" s="18" t="n"/>
      <c r="P170" s="22">
        <f>IF(O170="",(About!$B$5*M170+About!$B$6*N170)/(About!$B$5+About!$B$6),About!$B$5*M170+About!$B$6*N170+About!$B$7*O170)</f>
        <v/>
      </c>
      <c r="Q170" s="23" t="n">
        <v>45.5699</v>
      </c>
      <c r="R170" s="23" t="n">
        <v>-73.69199999999999</v>
      </c>
    </row>
    <row r="171" ht="15" customHeight="1" s="12">
      <c r="A171" s="18" t="inlineStr">
        <is>
          <t>Anchorage</t>
        </is>
      </c>
      <c r="B171" s="18" t="inlineStr">
        <is>
          <t>United States</t>
        </is>
      </c>
      <c r="C171" s="19" t="n">
        <v>341784857</v>
      </c>
      <c r="D171" s="18" t="inlineStr">
        <is>
          <t>US</t>
        </is>
      </c>
      <c r="E171" s="18" t="inlineStr">
        <is>
          <t>AK</t>
        </is>
      </c>
      <c r="F171" s="20" t="n">
        <v>298695</v>
      </c>
      <c r="G171" s="18" t="n"/>
      <c r="H171" s="18" t="inlineStr">
        <is>
          <t>ANC</t>
        </is>
      </c>
      <c r="I171" s="18" t="inlineStr">
        <is>
          <t>Ted Stevens Anchorage International Airport</t>
        </is>
      </c>
      <c r="J171" s="21" t="n">
        <v>6.6</v>
      </c>
      <c r="K171" s="18" t="inlineStr">
        <is>
          <t>ANC+MRI</t>
        </is>
      </c>
      <c r="L171" s="18" t="inlineStr">
        <is>
          <t>100k +  pop + airport</t>
        </is>
      </c>
      <c r="M171" s="22" t="n">
        <v>0.848</v>
      </c>
      <c r="N171" s="22" t="n">
        <v>0</v>
      </c>
      <c r="O171" s="18" t="n"/>
      <c r="P171" s="22">
        <f>IF(O171="",(About!$B$5*M171+About!$B$6*N171)/(About!$B$5+About!$B$6),About!$B$5*M171+About!$B$6*N171+About!$B$7*O171)</f>
        <v/>
      </c>
      <c r="Q171" s="23" t="n">
        <v>61.2181</v>
      </c>
      <c r="R171" s="23" t="n">
        <v>-149.9003</v>
      </c>
    </row>
    <row r="172" ht="15" customHeight="1" s="12">
      <c r="A172" s="18" t="inlineStr">
        <is>
          <t>Woodlands</t>
        </is>
      </c>
      <c r="B172" s="18" t="inlineStr">
        <is>
          <t>Singapore</t>
        </is>
      </c>
      <c r="C172" s="19" t="n">
        <v>6110200</v>
      </c>
      <c r="D172" s="18" t="inlineStr">
        <is>
          <t>SG</t>
        </is>
      </c>
      <c r="E172" s="18" t="inlineStr">
        <is>
          <t>03</t>
        </is>
      </c>
      <c r="F172" s="20" t="n">
        <v>252530</v>
      </c>
      <c r="G172" s="18" t="n"/>
      <c r="H172" s="18" t="inlineStr">
        <is>
          <t>SIN</t>
        </is>
      </c>
      <c r="I172" s="18" t="inlineStr">
        <is>
          <t>Singapore Changi Airport</t>
        </is>
      </c>
      <c r="J172" s="21" t="n">
        <v>24.8</v>
      </c>
      <c r="K172" s="18" t="inlineStr">
        <is>
          <t>SIN+XSP</t>
        </is>
      </c>
      <c r="L172" s="18" t="inlineStr">
        <is>
          <t>100k +  pop + airport</t>
        </is>
      </c>
      <c r="M172" s="22" t="n">
        <v>0.847</v>
      </c>
      <c r="N172" s="22" t="n">
        <v>0</v>
      </c>
      <c r="O172" s="18" t="n"/>
      <c r="P172" s="22">
        <f>IF(O172="",(About!$B$5*M172+About!$B$6*N172)/(About!$B$5+About!$B$6),About!$B$5*M172+About!$B$6*N172+About!$B$7*O172)</f>
        <v/>
      </c>
      <c r="Q172" s="23" t="n">
        <v>1.438</v>
      </c>
      <c r="R172" s="23" t="n">
        <v>103.7888</v>
      </c>
    </row>
    <row r="173" ht="15" customHeight="1" s="12">
      <c r="A173" s="18" t="inlineStr">
        <is>
          <t>Longueuil</t>
        </is>
      </c>
      <c r="B173" s="18" t="inlineStr">
        <is>
          <t>Canada</t>
        </is>
      </c>
      <c r="C173" s="19" t="n">
        <v>41472081</v>
      </c>
      <c r="D173" s="18" t="inlineStr">
        <is>
          <t>CA</t>
        </is>
      </c>
      <c r="E173" s="18" t="inlineStr">
        <is>
          <t>10</t>
        </is>
      </c>
      <c r="F173" s="20" t="n">
        <v>229330</v>
      </c>
      <c r="G173" s="18" t="n"/>
      <c r="H173" s="18" t="inlineStr">
        <is>
          <t>YUL</t>
        </is>
      </c>
      <c r="I173" s="18" t="inlineStr">
        <is>
          <t>Montreal / Pierre Elliott Trudeau International Airport</t>
        </is>
      </c>
      <c r="J173" s="21" t="n">
        <v>18.8</v>
      </c>
      <c r="K173" s="18" t="inlineStr">
        <is>
          <t>YHU+YUL</t>
        </is>
      </c>
      <c r="L173" s="18" t="inlineStr">
        <is>
          <t>100k +  pop + airport</t>
        </is>
      </c>
      <c r="M173" s="22" t="n">
        <v>0.849</v>
      </c>
      <c r="N173" s="22" t="n">
        <v>0</v>
      </c>
      <c r="O173" s="18" t="n"/>
      <c r="P173" s="22">
        <f>IF(O173="",(About!$B$5*M173+About!$B$6*N173)/(About!$B$5+About!$B$6),About!$B$5*M173+About!$B$6*N173+About!$B$7*O173)</f>
        <v/>
      </c>
      <c r="Q173" s="23" t="n">
        <v>45.5312</v>
      </c>
      <c r="R173" s="23" t="n">
        <v>-73.5181</v>
      </c>
    </row>
    <row r="174" ht="15" customHeight="1" s="12">
      <c r="A174" s="18" t="inlineStr">
        <is>
          <t>Philadelphia</t>
        </is>
      </c>
      <c r="B174" s="18" t="inlineStr">
        <is>
          <t>United States</t>
        </is>
      </c>
      <c r="C174" s="19" t="n">
        <v>341784857</v>
      </c>
      <c r="D174" s="18" t="inlineStr">
        <is>
          <t>US</t>
        </is>
      </c>
      <c r="E174" s="18" t="inlineStr">
        <is>
          <t>PA</t>
        </is>
      </c>
      <c r="F174" s="20" t="n">
        <v>1567442</v>
      </c>
      <c r="G174" s="18" t="n"/>
      <c r="H174" s="18" t="inlineStr">
        <is>
          <t>PHL</t>
        </is>
      </c>
      <c r="I174" s="18" t="inlineStr">
        <is>
          <t>Philadelphia International Airport</t>
        </is>
      </c>
      <c r="J174" s="21" t="n">
        <v>11.1</v>
      </c>
      <c r="K174" s="18" t="inlineStr">
        <is>
          <t>PHL</t>
        </is>
      </c>
      <c r="L174" s="18" t="inlineStr">
        <is>
          <t>100k +  pop + airport</t>
        </is>
      </c>
      <c r="M174" s="22" t="n">
        <v>0.847</v>
      </c>
      <c r="N174" s="22" t="n">
        <v>0</v>
      </c>
      <c r="O174" s="18" t="n"/>
      <c r="P174" s="22">
        <f>IF(O174="",(About!$B$5*M174+About!$B$6*N174)/(About!$B$5+About!$B$6),About!$B$5*M174+About!$B$6*N174+About!$B$7*O174)</f>
        <v/>
      </c>
      <c r="Q174" s="23" t="n">
        <v>39.9523</v>
      </c>
      <c r="R174" s="23" t="n">
        <v>-75.16379999999999</v>
      </c>
    </row>
    <row r="175" ht="15" customHeight="1" s="12">
      <c r="A175" s="18" t="inlineStr">
        <is>
          <t>Düsseldorf</t>
        </is>
      </c>
      <c r="B175" s="18" t="inlineStr">
        <is>
          <t>Germany</t>
        </is>
      </c>
      <c r="C175" s="19" t="n">
        <v>83497147</v>
      </c>
      <c r="D175" s="18" t="inlineStr">
        <is>
          <t>DE</t>
        </is>
      </c>
      <c r="E175" s="18" t="inlineStr">
        <is>
          <t>07</t>
        </is>
      </c>
      <c r="F175" s="20" t="n">
        <v>573057</v>
      </c>
      <c r="G175" s="18" t="n"/>
      <c r="H175" s="18" t="inlineStr">
        <is>
          <t>DUS</t>
        </is>
      </c>
      <c r="I175" s="18" t="inlineStr">
        <is>
          <t>Düsseldorf Airport</t>
        </is>
      </c>
      <c r="J175" s="21" t="n">
        <v>7.6</v>
      </c>
      <c r="K175" s="18" t="inlineStr">
        <is>
          <t>DUS</t>
        </is>
      </c>
      <c r="L175" s="18" t="inlineStr">
        <is>
          <t>100k +  pop + airport</t>
        </is>
      </c>
      <c r="M175" s="22" t="n">
        <v>0.843</v>
      </c>
      <c r="N175" s="22" t="n">
        <v>0</v>
      </c>
      <c r="O175" s="18" t="n"/>
      <c r="P175" s="22">
        <f>IF(O175="",(About!$B$5*M175+About!$B$6*N175)/(About!$B$5+About!$B$6),About!$B$5*M175+About!$B$6*N175+About!$B$7*O175)</f>
        <v/>
      </c>
      <c r="Q175" s="23" t="n">
        <v>51.2217</v>
      </c>
      <c r="R175" s="23" t="n">
        <v>6.7762</v>
      </c>
    </row>
    <row r="176" ht="15" customHeight="1" s="12">
      <c r="A176" s="18" t="inlineStr">
        <is>
          <t>Duisburg</t>
        </is>
      </c>
      <c r="B176" s="18" t="inlineStr">
        <is>
          <t>Germany</t>
        </is>
      </c>
      <c r="C176" s="19" t="n">
        <v>83497147</v>
      </c>
      <c r="D176" s="18" t="inlineStr">
        <is>
          <t>DE</t>
        </is>
      </c>
      <c r="E176" s="18" t="inlineStr">
        <is>
          <t>07</t>
        </is>
      </c>
      <c r="F176" s="20" t="n">
        <v>504358</v>
      </c>
      <c r="G176" s="18" t="n"/>
      <c r="H176" s="18" t="inlineStr">
        <is>
          <t>DUS</t>
        </is>
      </c>
      <c r="I176" s="18" t="inlineStr">
        <is>
          <t>Düsseldorf Airport</t>
        </is>
      </c>
      <c r="J176" s="21" t="n">
        <v>15.9</v>
      </c>
      <c r="K176" s="18" t="inlineStr">
        <is>
          <t>DUS</t>
        </is>
      </c>
      <c r="L176" s="18" t="inlineStr">
        <is>
          <t>100k +  pop</t>
        </is>
      </c>
      <c r="M176" s="22" t="n">
        <v>0.843</v>
      </c>
      <c r="N176" s="22" t="n">
        <v>0</v>
      </c>
      <c r="O176" s="18" t="n"/>
      <c r="P176" s="22">
        <f>IF(O176="",(About!$B$5*M176+About!$B$6*N176)/(About!$B$5+About!$B$6),About!$B$5*M176+About!$B$6*N176+About!$B$7*O176)</f>
        <v/>
      </c>
      <c r="Q176" s="23" t="n">
        <v>51.4325</v>
      </c>
      <c r="R176" s="23" t="n">
        <v>6.7652</v>
      </c>
    </row>
    <row r="177" ht="15" customHeight="1" s="12">
      <c r="A177" s="18" t="inlineStr">
        <is>
          <t>Manchester</t>
        </is>
      </c>
      <c r="B177" s="18" t="inlineStr">
        <is>
          <t>United Kingdom</t>
        </is>
      </c>
      <c r="C177" s="19" t="n">
        <v>69487000</v>
      </c>
      <c r="D177" s="18" t="inlineStr">
        <is>
          <t>GB</t>
        </is>
      </c>
      <c r="E177" s="18" t="inlineStr">
        <is>
          <t>ENG</t>
        </is>
      </c>
      <c r="F177" s="20" t="n">
        <v>395515</v>
      </c>
      <c r="G177" s="18" t="n"/>
      <c r="H177" s="18" t="inlineStr">
        <is>
          <t>MAN</t>
        </is>
      </c>
      <c r="I177" s="18" t="inlineStr">
        <is>
          <t>Manchester Airport</t>
        </is>
      </c>
      <c r="J177" s="21" t="n">
        <v>14.9</v>
      </c>
      <c r="K177" s="18" t="inlineStr">
        <is>
          <t>MAN</t>
        </is>
      </c>
      <c r="L177" s="18" t="inlineStr">
        <is>
          <t>100k +  pop</t>
        </is>
      </c>
      <c r="M177" s="22" t="n">
        <v>0.845</v>
      </c>
      <c r="N177" s="22" t="n">
        <v>0</v>
      </c>
      <c r="O177" s="18" t="n"/>
      <c r="P177" s="22">
        <f>IF(O177="",(About!$B$5*M177+About!$B$6*N177)/(About!$B$5+About!$B$6),About!$B$5*M177+About!$B$6*N177+About!$B$7*O177)</f>
        <v/>
      </c>
      <c r="Q177" s="23" t="n">
        <v>53.4809</v>
      </c>
      <c r="R177" s="23" t="n">
        <v>-2.2374</v>
      </c>
    </row>
    <row r="178" ht="15" customHeight="1" s="12">
      <c r="A178" s="18" t="inlineStr">
        <is>
          <t>Krefeld</t>
        </is>
      </c>
      <c r="B178" s="18" t="inlineStr">
        <is>
          <t>Germany</t>
        </is>
      </c>
      <c r="C178" s="19" t="n">
        <v>83497147</v>
      </c>
      <c r="D178" s="18" t="inlineStr">
        <is>
          <t>DE</t>
        </is>
      </c>
      <c r="E178" s="18" t="inlineStr">
        <is>
          <t>07</t>
        </is>
      </c>
      <c r="F178" s="20" t="n">
        <v>237984</v>
      </c>
      <c r="G178" s="18" t="n"/>
      <c r="H178" s="18" t="inlineStr">
        <is>
          <t>DUS</t>
        </is>
      </c>
      <c r="I178" s="18" t="inlineStr">
        <is>
          <t>Düsseldorf Airport</t>
        </is>
      </c>
      <c r="J178" s="21" t="n">
        <v>15.7</v>
      </c>
      <c r="K178" s="18" t="inlineStr">
        <is>
          <t>DUS</t>
        </is>
      </c>
      <c r="L178" s="18" t="inlineStr">
        <is>
          <t>100k +  pop</t>
        </is>
      </c>
      <c r="M178" s="22" t="n">
        <v>0.843</v>
      </c>
      <c r="N178" s="22" t="n">
        <v>0</v>
      </c>
      <c r="O178" s="18" t="n"/>
      <c r="P178" s="22">
        <f>IF(O178="",(About!$B$5*M178+About!$B$6*N178)/(About!$B$5+About!$B$6),About!$B$5*M178+About!$B$6*N178+About!$B$7*O178)</f>
        <v/>
      </c>
      <c r="Q178" s="23" t="n">
        <v>51.3364</v>
      </c>
      <c r="R178" s="23" t="n">
        <v>6.5538</v>
      </c>
    </row>
    <row r="179" ht="15" customHeight="1" s="12">
      <c r="A179" s="18" t="inlineStr">
        <is>
          <t>Oberhausen</t>
        </is>
      </c>
      <c r="B179" s="18" t="inlineStr">
        <is>
          <t>Germany</t>
        </is>
      </c>
      <c r="C179" s="19" t="n">
        <v>83497147</v>
      </c>
      <c r="D179" s="18" t="inlineStr">
        <is>
          <t>DE</t>
        </is>
      </c>
      <c r="E179" s="18" t="inlineStr">
        <is>
          <t>07</t>
        </is>
      </c>
      <c r="F179" s="20" t="n">
        <v>219176</v>
      </c>
      <c r="G179" s="18" t="n"/>
      <c r="H179" s="18" t="inlineStr">
        <is>
          <t>DUS</t>
        </is>
      </c>
      <c r="I179" s="18" t="inlineStr">
        <is>
          <t>Düsseldorf Airport</t>
        </is>
      </c>
      <c r="J179" s="21" t="n">
        <v>22</v>
      </c>
      <c r="K179" s="18" t="inlineStr">
        <is>
          <t>DUS</t>
        </is>
      </c>
      <c r="L179" s="18" t="inlineStr">
        <is>
          <t>100k +  pop</t>
        </is>
      </c>
      <c r="M179" s="22" t="n">
        <v>0.843</v>
      </c>
      <c r="N179" s="22" t="n">
        <v>0</v>
      </c>
      <c r="O179" s="18" t="n"/>
      <c r="P179" s="22">
        <f>IF(O179="",(About!$B$5*M179+About!$B$6*N179)/(About!$B$5+About!$B$6),About!$B$5*M179+About!$B$6*N179+About!$B$7*O179)</f>
        <v/>
      </c>
      <c r="Q179" s="23" t="n">
        <v>51.4781</v>
      </c>
      <c r="R179" s="23" t="n">
        <v>6.8625</v>
      </c>
    </row>
    <row r="180" ht="15" customHeight="1" s="12">
      <c r="A180" s="18" t="inlineStr">
        <is>
          <t>Mülheim</t>
        </is>
      </c>
      <c r="B180" s="18" t="inlineStr">
        <is>
          <t>Germany</t>
        </is>
      </c>
      <c r="C180" s="19" t="n">
        <v>83497147</v>
      </c>
      <c r="D180" s="18" t="inlineStr">
        <is>
          <t>DE</t>
        </is>
      </c>
      <c r="E180" s="18" t="inlineStr">
        <is>
          <t>07</t>
        </is>
      </c>
      <c r="F180" s="20" t="n">
        <v>171000</v>
      </c>
      <c r="G180" s="18" t="n"/>
      <c r="H180" s="18" t="inlineStr">
        <is>
          <t>DUS</t>
        </is>
      </c>
      <c r="I180" s="18" t="inlineStr">
        <is>
          <t>Düsseldorf Airport</t>
        </is>
      </c>
      <c r="J180" s="21" t="n">
        <v>17.7</v>
      </c>
      <c r="K180" s="18" t="inlineStr">
        <is>
          <t>DUS</t>
        </is>
      </c>
      <c r="L180" s="18" t="inlineStr">
        <is>
          <t>100k +  pop</t>
        </is>
      </c>
      <c r="M180" s="22" t="n">
        <v>0.843</v>
      </c>
      <c r="N180" s="22" t="n">
        <v>0</v>
      </c>
      <c r="O180" s="18" t="n"/>
      <c r="P180" s="22">
        <f>IF(O180="",(About!$B$5*M180+About!$B$6*N180)/(About!$B$5+About!$B$6),About!$B$5*M180+About!$B$6*N180+About!$B$7*O180)</f>
        <v/>
      </c>
      <c r="Q180" s="23" t="n">
        <v>51.4322</v>
      </c>
      <c r="R180" s="23" t="n">
        <v>6.8797</v>
      </c>
    </row>
    <row r="181" ht="15" customHeight="1" s="12">
      <c r="A181" s="18" t="inlineStr">
        <is>
          <t>Warrington</t>
        </is>
      </c>
      <c r="B181" s="18" t="inlineStr">
        <is>
          <t>United Kingdom</t>
        </is>
      </c>
      <c r="C181" s="19" t="n">
        <v>69487000</v>
      </c>
      <c r="D181" s="18" t="inlineStr">
        <is>
          <t>GB</t>
        </is>
      </c>
      <c r="E181" s="18" t="inlineStr">
        <is>
          <t>ENG</t>
        </is>
      </c>
      <c r="F181" s="20" t="n">
        <v>165456</v>
      </c>
      <c r="G181" s="18" t="n"/>
      <c r="H181" s="18" t="inlineStr">
        <is>
          <t>MAN</t>
        </is>
      </c>
      <c r="I181" s="18" t="inlineStr">
        <is>
          <t>Manchester Airport</t>
        </is>
      </c>
      <c r="J181" s="21" t="n">
        <v>20.5</v>
      </c>
      <c r="K181" s="18" t="inlineStr">
        <is>
          <t>LPL+MAN</t>
        </is>
      </c>
      <c r="L181" s="18" t="inlineStr">
        <is>
          <t>100k +  pop</t>
        </is>
      </c>
      <c r="M181" s="22" t="n">
        <v>0.845</v>
      </c>
      <c r="N181" s="22" t="n">
        <v>0</v>
      </c>
      <c r="O181" s="18" t="n"/>
      <c r="P181" s="22">
        <f>IF(O181="",(About!$B$5*M181+About!$B$6*N181)/(About!$B$5+About!$B$6),About!$B$5*M181+About!$B$6*N181+About!$B$7*O181)</f>
        <v/>
      </c>
      <c r="Q181" s="23" t="n">
        <v>53.3925</v>
      </c>
      <c r="R181" s="23" t="n">
        <v>-2.5802</v>
      </c>
    </row>
    <row r="182" ht="15" customHeight="1" s="12">
      <c r="A182" s="18" t="inlineStr">
        <is>
          <t>Neuss</t>
        </is>
      </c>
      <c r="B182" s="18" t="inlineStr">
        <is>
          <t>Germany</t>
        </is>
      </c>
      <c r="C182" s="19" t="n">
        <v>83497147</v>
      </c>
      <c r="D182" s="18" t="inlineStr">
        <is>
          <t>DE</t>
        </is>
      </c>
      <c r="E182" s="18" t="inlineStr">
        <is>
          <t>07</t>
        </is>
      </c>
      <c r="F182" s="20" t="n">
        <v>152457</v>
      </c>
      <c r="G182" s="18" t="n"/>
      <c r="H182" s="18" t="inlineStr">
        <is>
          <t>DUS</t>
        </is>
      </c>
      <c r="I182" s="18" t="inlineStr">
        <is>
          <t>Düsseldorf Airport</t>
        </is>
      </c>
      <c r="J182" s="21" t="n">
        <v>11.7</v>
      </c>
      <c r="K182" s="18" t="inlineStr">
        <is>
          <t>DUS</t>
        </is>
      </c>
      <c r="L182" s="18" t="inlineStr">
        <is>
          <t>100k +  pop</t>
        </is>
      </c>
      <c r="M182" s="22" t="n">
        <v>0.843</v>
      </c>
      <c r="N182" s="22" t="n">
        <v>0</v>
      </c>
      <c r="O182" s="18" t="n"/>
      <c r="P182" s="22">
        <f>IF(O182="",(About!$B$5*M182+About!$B$6*N182)/(About!$B$5+About!$B$6),About!$B$5*M182+About!$B$6*N182+About!$B$7*O182)</f>
        <v/>
      </c>
      <c r="Q182" s="23" t="n">
        <v>51.1981</v>
      </c>
      <c r="R182" s="23" t="n">
        <v>6.685</v>
      </c>
    </row>
    <row r="183" ht="15" customHeight="1" s="12">
      <c r="A183" s="18" t="inlineStr">
        <is>
          <t>Stockport</t>
        </is>
      </c>
      <c r="B183" s="18" t="inlineStr">
        <is>
          <t>United Kingdom</t>
        </is>
      </c>
      <c r="C183" s="19" t="n">
        <v>69487000</v>
      </c>
      <c r="D183" s="18" t="inlineStr">
        <is>
          <t>GB</t>
        </is>
      </c>
      <c r="E183" s="18" t="inlineStr">
        <is>
          <t>ENG</t>
        </is>
      </c>
      <c r="F183" s="20" t="n">
        <v>139052</v>
      </c>
      <c r="G183" s="18" t="n"/>
      <c r="H183" s="18" t="inlineStr">
        <is>
          <t>MAN</t>
        </is>
      </c>
      <c r="I183" s="18" t="inlineStr">
        <is>
          <t>Manchester Airport</t>
        </is>
      </c>
      <c r="J183" s="21" t="n">
        <v>10.5</v>
      </c>
      <c r="K183" s="18" t="inlineStr">
        <is>
          <t>MAN</t>
        </is>
      </c>
      <c r="L183" s="18" t="inlineStr">
        <is>
          <t>100k +  pop</t>
        </is>
      </c>
      <c r="M183" s="22" t="n">
        <v>0.845</v>
      </c>
      <c r="N183" s="22" t="n">
        <v>0</v>
      </c>
      <c r="O183" s="18" t="n"/>
      <c r="P183" s="22">
        <f>IF(O183="",(About!$B$5*M183+About!$B$6*N183)/(About!$B$5+About!$B$6),About!$B$5*M183+About!$B$6*N183+About!$B$7*O183)</f>
        <v/>
      </c>
      <c r="Q183" s="23" t="n">
        <v>53.4098</v>
      </c>
      <c r="R183" s="23" t="n">
        <v>-2.1576</v>
      </c>
    </row>
    <row r="184" ht="15" customHeight="1" s="12">
      <c r="A184" s="18" t="inlineStr">
        <is>
          <t>Moers</t>
        </is>
      </c>
      <c r="B184" s="18" t="inlineStr">
        <is>
          <t>Germany</t>
        </is>
      </c>
      <c r="C184" s="19" t="n">
        <v>83497147</v>
      </c>
      <c r="D184" s="18" t="inlineStr">
        <is>
          <t>DE</t>
        </is>
      </c>
      <c r="E184" s="18" t="inlineStr">
        <is>
          <t>07</t>
        </is>
      </c>
      <c r="F184" s="20" t="n">
        <v>107816</v>
      </c>
      <c r="G184" s="18" t="n"/>
      <c r="H184" s="18" t="inlineStr">
        <is>
          <t>DUS</t>
        </is>
      </c>
      <c r="I184" s="18" t="inlineStr">
        <is>
          <t>Düsseldorf Airport</t>
        </is>
      </c>
      <c r="J184" s="21" t="n">
        <v>20.5</v>
      </c>
      <c r="K184" s="18" t="inlineStr">
        <is>
          <t>DUS</t>
        </is>
      </c>
      <c r="L184" s="18" t="inlineStr">
        <is>
          <t>100k +  pop</t>
        </is>
      </c>
      <c r="M184" s="22" t="n">
        <v>0.843</v>
      </c>
      <c r="N184" s="22" t="n">
        <v>0</v>
      </c>
      <c r="O184" s="18" t="n"/>
      <c r="P184" s="22">
        <f>IF(O184="",(About!$B$5*M184+About!$B$6*N184)/(About!$B$5+About!$B$6),About!$B$5*M184+About!$B$6*N184+About!$B$7*O184)</f>
        <v/>
      </c>
      <c r="Q184" s="23" t="n">
        <v>51.4534</v>
      </c>
      <c r="R184" s="23" t="n">
        <v>6.6326</v>
      </c>
    </row>
    <row r="185" ht="15" customHeight="1" s="12">
      <c r="A185" s="18" t="inlineStr">
        <is>
          <t>Oldham</t>
        </is>
      </c>
      <c r="B185" s="18" t="inlineStr">
        <is>
          <t>United Kingdom</t>
        </is>
      </c>
      <c r="C185" s="19" t="n">
        <v>69487000</v>
      </c>
      <c r="D185" s="18" t="inlineStr">
        <is>
          <t>GB</t>
        </is>
      </c>
      <c r="E185" s="18" t="inlineStr">
        <is>
          <t>ENG</t>
        </is>
      </c>
      <c r="F185" s="20" t="n">
        <v>104782</v>
      </c>
      <c r="G185" s="18" t="n"/>
      <c r="H185" s="18" t="inlineStr">
        <is>
          <t>MAN</t>
        </is>
      </c>
      <c r="I185" s="18" t="inlineStr">
        <is>
          <t>Manchester Airport</t>
        </is>
      </c>
      <c r="J185" s="21" t="n">
        <v>23.8</v>
      </c>
      <c r="K185" s="18" t="inlineStr">
        <is>
          <t>MAN</t>
        </is>
      </c>
      <c r="L185" s="18" t="inlineStr">
        <is>
          <t>100k +  pop</t>
        </is>
      </c>
      <c r="M185" s="22" t="n">
        <v>0.845</v>
      </c>
      <c r="N185" s="22" t="n">
        <v>0</v>
      </c>
      <c r="O185" s="18" t="n"/>
      <c r="P185" s="22">
        <f>IF(O185="",(About!$B$5*M185+About!$B$6*N185)/(About!$B$5+About!$B$6),About!$B$5*M185+About!$B$6*N185+About!$B$7*O185)</f>
        <v/>
      </c>
      <c r="Q185" s="23" t="n">
        <v>53.5405</v>
      </c>
      <c r="R185" s="23" t="n">
        <v>-2.1183</v>
      </c>
    </row>
    <row r="186" ht="15" customHeight="1" s="12">
      <c r="A186" s="18" t="inlineStr">
        <is>
          <t>Mumbai</t>
        </is>
      </c>
      <c r="B186" s="18" t="inlineStr">
        <is>
          <t>India</t>
        </is>
      </c>
      <c r="C186" s="19" t="n">
        <v>1417492000</v>
      </c>
      <c r="D186" s="18" t="inlineStr">
        <is>
          <t>IN</t>
        </is>
      </c>
      <c r="E186" s="18" t="inlineStr">
        <is>
          <t>16</t>
        </is>
      </c>
      <c r="F186" s="20" t="n">
        <v>18370308</v>
      </c>
      <c r="G186" s="18" t="n"/>
      <c r="H186" s="18" t="inlineStr">
        <is>
          <t>BOM</t>
        </is>
      </c>
      <c r="I186" s="18" t="inlineStr">
        <is>
          <t>Chhatrapati Shivaji Maharaj International Airport</t>
        </is>
      </c>
      <c r="J186" s="21" t="n">
        <v>2.3</v>
      </c>
      <c r="K186" s="18" t="inlineStr">
        <is>
          <t>BOM+NMI</t>
        </is>
      </c>
      <c r="L186" s="18" t="inlineStr">
        <is>
          <t>100k +  pop + airport</t>
        </is>
      </c>
      <c r="M186" s="22" t="n">
        <v>0.84</v>
      </c>
      <c r="N186" s="22" t="n">
        <v>0</v>
      </c>
      <c r="O186" s="18" t="n"/>
      <c r="P186" s="22">
        <f>IF(O186="",(About!$B$5*M186+About!$B$6*N186)/(About!$B$5+About!$B$6),About!$B$5*M186+About!$B$6*N186+About!$B$7*O186)</f>
        <v/>
      </c>
      <c r="Q186" s="23" t="n">
        <v>19.0728</v>
      </c>
      <c r="R186" s="23" t="n">
        <v>72.8826</v>
      </c>
    </row>
    <row r="187" ht="15" customHeight="1" s="12">
      <c r="A187" s="18" t="inlineStr">
        <is>
          <t>Port Moresby</t>
        </is>
      </c>
      <c r="B187" s="18" t="inlineStr">
        <is>
          <t>Papua New Guinea</t>
        </is>
      </c>
      <c r="C187" s="19" t="n">
        <v>10185363</v>
      </c>
      <c r="D187" s="18" t="inlineStr">
        <is>
          <t>PG</t>
        </is>
      </c>
      <c r="E187" s="18" t="inlineStr">
        <is>
          <t>20</t>
        </is>
      </c>
      <c r="F187" s="20" t="n">
        <v>283733</v>
      </c>
      <c r="G187" s="18" t="inlineStr">
        <is>
          <t>Yes</t>
        </is>
      </c>
      <c r="H187" s="18" t="inlineStr">
        <is>
          <t>POM</t>
        </is>
      </c>
      <c r="I187" s="18" t="inlineStr">
        <is>
          <t>Port Moresby Jacksons International Airport</t>
        </is>
      </c>
      <c r="J187" s="21" t="n">
        <v>8.5</v>
      </c>
      <c r="K187" s="18" t="inlineStr">
        <is>
          <t>POM</t>
        </is>
      </c>
      <c r="L187" s="18" t="inlineStr">
        <is>
          <t>100k +  pop + capital + airport</t>
        </is>
      </c>
      <c r="M187" s="22" t="n">
        <v>0.84</v>
      </c>
      <c r="N187" s="22" t="n">
        <v>0</v>
      </c>
      <c r="O187" s="18" t="n"/>
      <c r="P187" s="22">
        <f>IF(O187="",(About!$B$5*M187+About!$B$6*N187)/(About!$B$5+About!$B$6),About!$B$5*M187+About!$B$6*N187+About!$B$7*O187)</f>
        <v/>
      </c>
      <c r="Q187" s="23" t="n">
        <v>-9.4772</v>
      </c>
      <c r="R187" s="23" t="n">
        <v>147.1509</v>
      </c>
    </row>
    <row r="188" ht="15" customHeight="1" s="12">
      <c r="A188" s="18" t="inlineStr">
        <is>
          <t>Vatican City</t>
        </is>
      </c>
      <c r="B188" s="18" t="inlineStr">
        <is>
          <t>Vatican City</t>
        </is>
      </c>
      <c r="C188" s="19" t="n">
        <v>882</v>
      </c>
      <c r="D188" s="18" t="inlineStr">
        <is>
          <t>VA</t>
        </is>
      </c>
      <c r="E188" s="18" t="n"/>
      <c r="F188" s="20" t="n">
        <v>829</v>
      </c>
      <c r="G188" s="18" t="inlineStr">
        <is>
          <t>Yes</t>
        </is>
      </c>
      <c r="H188" s="18" t="inlineStr">
        <is>
          <t>FCO</t>
        </is>
      </c>
      <c r="I188" s="18" t="inlineStr">
        <is>
          <t>Rome–Fiumicino Leonardo da Vinci International Airport</t>
        </is>
      </c>
      <c r="J188" s="21" t="n">
        <v>20</v>
      </c>
      <c r="K188" s="18" t="inlineStr">
        <is>
          <t>CIA+FCO</t>
        </is>
      </c>
      <c r="L188" s="18" t="inlineStr">
        <is>
          <t>capital</t>
        </is>
      </c>
      <c r="M188" s="22" t="n">
        <v>0.838</v>
      </c>
      <c r="N188" s="22" t="n">
        <v>0</v>
      </c>
      <c r="O188" s="18" t="n"/>
      <c r="P188" s="22">
        <f>IF(O188="",(About!$B$5*M188+About!$B$6*N188)/(About!$B$5+About!$B$6),About!$B$5*M188+About!$B$6*N188+About!$B$7*O188)</f>
        <v/>
      </c>
      <c r="Q188" s="23" t="n">
        <v>41.9027</v>
      </c>
      <c r="R188" s="23" t="n">
        <v>12.4541</v>
      </c>
    </row>
    <row r="189" ht="15" customHeight="1" s="12">
      <c r="A189" s="18" t="inlineStr">
        <is>
          <t>Saint Petersburg</t>
        </is>
      </c>
      <c r="B189" s="18" t="inlineStr">
        <is>
          <t>Russia</t>
        </is>
      </c>
      <c r="C189" s="19" t="n">
        <v>146028325</v>
      </c>
      <c r="D189" s="18" t="inlineStr">
        <is>
          <t>RU</t>
        </is>
      </c>
      <c r="E189" s="18" t="inlineStr">
        <is>
          <t>66</t>
        </is>
      </c>
      <c r="F189" s="20" t="n">
        <v>5028000</v>
      </c>
      <c r="G189" s="18" t="n"/>
      <c r="H189" s="18" t="inlineStr">
        <is>
          <t>LED</t>
        </is>
      </c>
      <c r="I189" s="18" t="inlineStr">
        <is>
          <t>Pulkovo Airport</t>
        </is>
      </c>
      <c r="J189" s="21" t="n">
        <v>15.6</v>
      </c>
      <c r="K189" s="18" t="inlineStr">
        <is>
          <t>LED</t>
        </is>
      </c>
      <c r="L189" s="18" t="inlineStr">
        <is>
          <t>100k +  pop</t>
        </is>
      </c>
      <c r="M189" s="22" t="n">
        <v>0.834</v>
      </c>
      <c r="N189" s="22" t="n">
        <v>0</v>
      </c>
      <c r="O189" s="18" t="n"/>
      <c r="P189" s="22">
        <f>IF(O189="",(About!$B$5*M189+About!$B$6*N189)/(About!$B$5+About!$B$6),About!$B$5*M189+About!$B$6*N189+About!$B$7*O189)</f>
        <v/>
      </c>
      <c r="Q189" s="23" t="n">
        <v>59.9386</v>
      </c>
      <c r="R189" s="23" t="n">
        <v>30.3141</v>
      </c>
    </row>
    <row r="190" ht="15" customHeight="1" s="12">
      <c r="A190" s="18" t="inlineStr">
        <is>
          <t>Makassar</t>
        </is>
      </c>
      <c r="B190" s="18" t="inlineStr">
        <is>
          <t>Indonesia</t>
        </is>
      </c>
      <c r="C190" s="19" t="n">
        <v>288315089</v>
      </c>
      <c r="D190" s="18" t="inlineStr">
        <is>
          <t>ID</t>
        </is>
      </c>
      <c r="E190" s="18" t="inlineStr">
        <is>
          <t>38</t>
        </is>
      </c>
      <c r="F190" s="20" t="n">
        <v>1321717</v>
      </c>
      <c r="G190" s="18" t="n"/>
      <c r="H190" s="18" t="inlineStr">
        <is>
          <t>UPG</t>
        </is>
      </c>
      <c r="I190" s="18" t="inlineStr">
        <is>
          <t>Sultan Hasanuddin International Airport</t>
        </is>
      </c>
      <c r="J190" s="21" t="n">
        <v>15.7</v>
      </c>
      <c r="K190" s="18" t="inlineStr">
        <is>
          <t>UPG</t>
        </is>
      </c>
      <c r="L190" s="18" t="inlineStr">
        <is>
          <t>100k +  pop + airport</t>
        </is>
      </c>
      <c r="M190" s="22" t="n">
        <v>0.834</v>
      </c>
      <c r="N190" s="22" t="n">
        <v>0</v>
      </c>
      <c r="O190" s="18" t="n"/>
      <c r="P190" s="22">
        <f>IF(O190="",(About!$B$5*M190+About!$B$6*N190)/(About!$B$5+About!$B$6),About!$B$5*M190+About!$B$6*N190+About!$B$7*O190)</f>
        <v/>
      </c>
      <c r="Q190" s="23" t="n">
        <v>-5.1486</v>
      </c>
      <c r="R190" s="23" t="n">
        <v>119.4319</v>
      </c>
    </row>
    <row r="191" ht="15" customHeight="1" s="12">
      <c r="A191" s="18" t="inlineStr">
        <is>
          <t>Espoo</t>
        </is>
      </c>
      <c r="B191" s="18" t="inlineStr">
        <is>
          <t>Finland</t>
        </is>
      </c>
      <c r="C191" s="19" t="n">
        <v>5650152</v>
      </c>
      <c r="D191" s="18" t="inlineStr">
        <is>
          <t>FI</t>
        </is>
      </c>
      <c r="E191" s="18" t="inlineStr">
        <is>
          <t>01</t>
        </is>
      </c>
      <c r="F191" s="20" t="n">
        <v>256760</v>
      </c>
      <c r="G191" s="18" t="n"/>
      <c r="H191" s="18" t="inlineStr">
        <is>
          <t>HEL</t>
        </is>
      </c>
      <c r="I191" s="18" t="inlineStr">
        <is>
          <t>Helsinki Vantaa Airport</t>
        </is>
      </c>
      <c r="J191" s="21" t="n">
        <v>21.3</v>
      </c>
      <c r="K191" s="18" t="inlineStr">
        <is>
          <t>HEL</t>
        </is>
      </c>
      <c r="L191" s="18" t="inlineStr">
        <is>
          <t>100k +  pop</t>
        </is>
      </c>
      <c r="M191" s="22" t="n">
        <v>0.823</v>
      </c>
      <c r="N191" s="22" t="n">
        <v>0</v>
      </c>
      <c r="O191" s="18" t="n"/>
      <c r="P191" s="22">
        <f>IF(O191="",(About!$B$5*M191+About!$B$6*N191)/(About!$B$5+About!$B$6),About!$B$5*M191+About!$B$6*N191+About!$B$7*O191)</f>
        <v/>
      </c>
      <c r="Q191" s="23" t="n">
        <v>60.2052</v>
      </c>
      <c r="R191" s="23" t="n">
        <v>24.6522</v>
      </c>
    </row>
    <row r="192" ht="15" customHeight="1" s="12">
      <c r="A192" s="18" t="inlineStr">
        <is>
          <t>New Cairo</t>
        </is>
      </c>
      <c r="B192" s="18" t="inlineStr">
        <is>
          <t>Egypt</t>
        </is>
      </c>
      <c r="C192" s="19" t="n">
        <v>108613296</v>
      </c>
      <c r="D192" s="18" t="inlineStr">
        <is>
          <t>EG</t>
        </is>
      </c>
      <c r="E192" s="18" t="inlineStr">
        <is>
          <t>11</t>
        </is>
      </c>
      <c r="F192" s="20" t="n">
        <v>200000</v>
      </c>
      <c r="G192" s="18" t="n"/>
      <c r="H192" s="18" t="inlineStr">
        <is>
          <t>CAI</t>
        </is>
      </c>
      <c r="I192" s="18" t="inlineStr">
        <is>
          <t>Cairo International Airport</t>
        </is>
      </c>
      <c r="J192" s="21" t="n">
        <v>11.5</v>
      </c>
      <c r="K192" s="18" t="inlineStr">
        <is>
          <t>CAI+CCE</t>
        </is>
      </c>
      <c r="L192" s="18" t="inlineStr">
        <is>
          <t>100k +  pop + airport</t>
        </is>
      </c>
      <c r="M192" s="22" t="n">
        <v>0.82</v>
      </c>
      <c r="N192" s="22" t="n">
        <v>0</v>
      </c>
      <c r="O192" s="18" t="n"/>
      <c r="P192" s="22">
        <f>IF(O192="",(About!$B$5*M192+About!$B$6*N192)/(About!$B$5+About!$B$6),About!$B$5*M192+About!$B$6*N192+About!$B$7*O192)</f>
        <v/>
      </c>
      <c r="Q192" s="23" t="n">
        <v>30.03</v>
      </c>
      <c r="R192" s="23" t="n">
        <v>31.47</v>
      </c>
    </row>
    <row r="193" ht="15" customHeight="1" s="12">
      <c r="A193" s="18" t="inlineStr">
        <is>
          <t>Amadora</t>
        </is>
      </c>
      <c r="B193" s="18" t="inlineStr">
        <is>
          <t>Portugal</t>
        </is>
      </c>
      <c r="C193" s="19" t="n">
        <v>10749635</v>
      </c>
      <c r="D193" s="18" t="inlineStr">
        <is>
          <t>PT</t>
        </is>
      </c>
      <c r="E193" s="18" t="inlineStr">
        <is>
          <t>14</t>
        </is>
      </c>
      <c r="F193" s="20" t="n">
        <v>178858</v>
      </c>
      <c r="G193" s="18" t="n"/>
      <c r="H193" s="18" t="inlineStr">
        <is>
          <t>LIS</t>
        </is>
      </c>
      <c r="I193" s="18" t="inlineStr">
        <is>
          <t>Lisbon Humberto Delgado Airport</t>
        </is>
      </c>
      <c r="J193" s="21" t="n">
        <v>8.800000000000001</v>
      </c>
      <c r="K193" s="18" t="inlineStr">
        <is>
          <t>CAT+LIS</t>
        </is>
      </c>
      <c r="L193" s="18" t="inlineStr">
        <is>
          <t>100k +  pop + airport</t>
        </is>
      </c>
      <c r="M193" s="22" t="n">
        <v>0.819</v>
      </c>
      <c r="N193" s="22" t="n">
        <v>0</v>
      </c>
      <c r="O193" s="18" t="n"/>
      <c r="P193" s="22">
        <f>IF(O193="",(About!$B$5*M193+About!$B$6*N193)/(About!$B$5+About!$B$6),About!$B$5*M193+About!$B$6*N193+About!$B$7*O193)</f>
        <v/>
      </c>
      <c r="Q193" s="23" t="n">
        <v>38.7538</v>
      </c>
      <c r="R193" s="23" t="n">
        <v>-9.2308</v>
      </c>
    </row>
    <row r="194" ht="15" customHeight="1" s="12">
      <c r="A194" s="18" t="inlineStr">
        <is>
          <t>Qalyūb</t>
        </is>
      </c>
      <c r="B194" s="18" t="inlineStr">
        <is>
          <t>Egypt</t>
        </is>
      </c>
      <c r="C194" s="19" t="n">
        <v>108613296</v>
      </c>
      <c r="D194" s="18" t="inlineStr">
        <is>
          <t>EG</t>
        </is>
      </c>
      <c r="E194" s="18" t="inlineStr">
        <is>
          <t>12</t>
        </is>
      </c>
      <c r="F194" s="20" t="n">
        <v>100495</v>
      </c>
      <c r="G194" s="18" t="n"/>
      <c r="H194" s="18" t="inlineStr">
        <is>
          <t>CAI</t>
        </is>
      </c>
      <c r="I194" s="18" t="inlineStr">
        <is>
          <t>Cairo International Airport</t>
        </is>
      </c>
      <c r="J194" s="21" t="n">
        <v>19.9</v>
      </c>
      <c r="K194" s="18" t="inlineStr">
        <is>
          <t>CAI</t>
        </is>
      </c>
      <c r="L194" s="18" t="inlineStr">
        <is>
          <t>100k +  pop</t>
        </is>
      </c>
      <c r="M194" s="22" t="n">
        <v>0.82</v>
      </c>
      <c r="N194" s="22" t="n">
        <v>0</v>
      </c>
      <c r="O194" s="18" t="n"/>
      <c r="P194" s="22">
        <f>IF(O194="",(About!$B$5*M194+About!$B$6*N194)/(About!$B$5+About!$B$6),About!$B$5*M194+About!$B$6*N194+About!$B$7*O194)</f>
        <v/>
      </c>
      <c r="Q194" s="23" t="n">
        <v>30.1792</v>
      </c>
      <c r="R194" s="23" t="n">
        <v>31.2056</v>
      </c>
    </row>
    <row r="195" ht="15" customHeight="1" s="12">
      <c r="A195" s="18" t="inlineStr">
        <is>
          <t>Sintra</t>
        </is>
      </c>
      <c r="B195" s="18" t="inlineStr">
        <is>
          <t>Portugal</t>
        </is>
      </c>
      <c r="C195" s="19" t="n">
        <v>10749635</v>
      </c>
      <c r="D195" s="18" t="inlineStr">
        <is>
          <t>PT</t>
        </is>
      </c>
      <c r="E195" s="18" t="inlineStr">
        <is>
          <t>14</t>
        </is>
      </c>
      <c r="F195" s="20" t="n">
        <v>26193</v>
      </c>
      <c r="G195" s="18" t="n"/>
      <c r="H195" s="18" t="inlineStr">
        <is>
          <t>LIS</t>
        </is>
      </c>
      <c r="I195" s="18" t="inlineStr">
        <is>
          <t>Lisbon Humberto Delgado Airport</t>
        </is>
      </c>
      <c r="J195" s="21" t="n">
        <v>21.1</v>
      </c>
      <c r="K195" s="18" t="inlineStr">
        <is>
          <t>CAT+LIS</t>
        </is>
      </c>
      <c r="L195" s="18" t="inlineStr">
        <is>
          <t>airport</t>
        </is>
      </c>
      <c r="M195" s="22" t="n">
        <v>0.819</v>
      </c>
      <c r="N195" s="22" t="n">
        <v>0</v>
      </c>
      <c r="O195" s="18" t="n"/>
      <c r="P195" s="22">
        <f>IF(O195="",(About!$B$5*M195+About!$B$6*N195)/(About!$B$5+About!$B$6),About!$B$5*M195+About!$B$6*N195+About!$B$7*O195)</f>
        <v/>
      </c>
      <c r="Q195" s="23" t="n">
        <v>38.801</v>
      </c>
      <c r="R195" s="23" t="n">
        <v>-9.378299999999999</v>
      </c>
    </row>
    <row r="196" ht="15" customHeight="1" s="12">
      <c r="A196" s="18" t="inlineStr">
        <is>
          <t>Tsuen Wan</t>
        </is>
      </c>
      <c r="B196" s="18" t="inlineStr">
        <is>
          <t>Hong Kong (SAR)</t>
        </is>
      </c>
      <c r="C196" s="19" t="n">
        <v>7510800</v>
      </c>
      <c r="D196" s="18" t="inlineStr">
        <is>
          <t>HK</t>
        </is>
      </c>
      <c r="E196" s="18" t="inlineStr">
        <is>
          <t>NTW</t>
        </is>
      </c>
      <c r="F196" s="20" t="n">
        <v>288728</v>
      </c>
      <c r="G196" s="18" t="n"/>
      <c r="H196" s="18" t="inlineStr">
        <is>
          <t>HKG</t>
        </is>
      </c>
      <c r="I196" s="18" t="inlineStr">
        <is>
          <t>Hong Kong International Airport</t>
        </is>
      </c>
      <c r="J196" s="21" t="n">
        <v>21.5</v>
      </c>
      <c r="K196" s="18" t="inlineStr">
        <is>
          <t>HHP+HKG</t>
        </is>
      </c>
      <c r="L196" s="18" t="inlineStr">
        <is>
          <t>100k +  pop</t>
        </is>
      </c>
      <c r="M196" s="22" t="n">
        <v>0.8169999999999999</v>
      </c>
      <c r="N196" s="22" t="n">
        <v>0</v>
      </c>
      <c r="O196" s="18" t="n"/>
      <c r="P196" s="22">
        <f>IF(O196="",(About!$B$5*M196+About!$B$6*N196)/(About!$B$5+About!$B$6),About!$B$5*M196+About!$B$6*N196+About!$B$7*O196)</f>
        <v/>
      </c>
      <c r="Q196" s="23" t="n">
        <v>22.3714</v>
      </c>
      <c r="R196" s="23" t="n">
        <v>114.1133</v>
      </c>
    </row>
    <row r="197" ht="15" customHeight="1" s="12">
      <c r="A197" s="18" t="inlineStr">
        <is>
          <t>Genève</t>
        </is>
      </c>
      <c r="B197" s="18" t="inlineStr">
        <is>
          <t>Switzerland</t>
        </is>
      </c>
      <c r="C197" s="19" t="n">
        <v>9124288</v>
      </c>
      <c r="D197" s="18" t="inlineStr">
        <is>
          <t>CH</t>
        </is>
      </c>
      <c r="E197" s="18" t="inlineStr">
        <is>
          <t>GE</t>
        </is>
      </c>
      <c r="F197" s="20" t="n">
        <v>183981</v>
      </c>
      <c r="G197" s="18" t="n"/>
      <c r="H197" s="18" t="inlineStr">
        <is>
          <t>GVA</t>
        </is>
      </c>
      <c r="I197" s="18" t="inlineStr">
        <is>
          <t>Geneva International Airport</t>
        </is>
      </c>
      <c r="J197" s="21" t="n">
        <v>4.9</v>
      </c>
      <c r="K197" s="18" t="inlineStr">
        <is>
          <t>GVA</t>
        </is>
      </c>
      <c r="L197" s="18" t="inlineStr">
        <is>
          <t>100k +  pop + airport</t>
        </is>
      </c>
      <c r="M197" s="22" t="n">
        <v>0.8179999999999999</v>
      </c>
      <c r="N197" s="22" t="n">
        <v>0</v>
      </c>
      <c r="O197" s="18" t="n"/>
      <c r="P197" s="22">
        <f>IF(O197="",(About!$B$5*M197+About!$B$6*N197)/(About!$B$5+About!$B$6),About!$B$5*M197+About!$B$6*N197+About!$B$7*O197)</f>
        <v/>
      </c>
      <c r="Q197" s="23" t="n">
        <v>46.2022</v>
      </c>
      <c r="R197" s="23" t="n">
        <v>6.1457</v>
      </c>
    </row>
    <row r="198" ht="15" customHeight="1" s="12">
      <c r="A198" s="18" t="inlineStr">
        <is>
          <t>Honiara</t>
        </is>
      </c>
      <c r="B198" s="18" t="inlineStr">
        <is>
          <t>Solomon Islands</t>
        </is>
      </c>
      <c r="C198" s="19" t="n">
        <v>750325</v>
      </c>
      <c r="D198" s="18" t="inlineStr">
        <is>
          <t>SB</t>
        </is>
      </c>
      <c r="E198" s="18" t="inlineStr">
        <is>
          <t>14</t>
        </is>
      </c>
      <c r="F198" s="20" t="n">
        <v>56298</v>
      </c>
      <c r="G198" s="18" t="inlineStr">
        <is>
          <t>Yes</t>
        </is>
      </c>
      <c r="H198" s="18" t="inlineStr">
        <is>
          <t>HIR</t>
        </is>
      </c>
      <c r="I198" s="18" t="inlineStr">
        <is>
          <t>Honiara International Airport</t>
        </is>
      </c>
      <c r="J198" s="21" t="n">
        <v>11.5</v>
      </c>
      <c r="K198" s="18" t="inlineStr">
        <is>
          <t>HIR</t>
        </is>
      </c>
      <c r="L198" s="18" t="inlineStr">
        <is>
          <t>capital + airport</t>
        </is>
      </c>
      <c r="M198" s="22" t="n">
        <v>0.8159999999999999</v>
      </c>
      <c r="N198" s="22" t="n">
        <v>0</v>
      </c>
      <c r="O198" s="18" t="n"/>
      <c r="P198" s="22">
        <f>IF(O198="",(About!$B$5*M198+About!$B$6*N198)/(About!$B$5+About!$B$6),About!$B$5*M198+About!$B$6*N198+About!$B$7*O198)</f>
        <v/>
      </c>
      <c r="Q198" s="23" t="n">
        <v>-9.433299999999999</v>
      </c>
      <c r="R198" s="23" t="n">
        <v>159.95</v>
      </c>
    </row>
    <row r="199" ht="15" customHeight="1" s="12">
      <c r="A199" s="18" t="inlineStr">
        <is>
          <t>Jeddah</t>
        </is>
      </c>
      <c r="B199" s="18" t="inlineStr">
        <is>
          <t>Saudi Arabia</t>
        </is>
      </c>
      <c r="C199" s="19" t="n">
        <v>35300280</v>
      </c>
      <c r="D199" s="18" t="inlineStr">
        <is>
          <t>SA</t>
        </is>
      </c>
      <c r="E199" s="18" t="inlineStr">
        <is>
          <t>14</t>
        </is>
      </c>
      <c r="F199" s="20" t="n">
        <v>2867446</v>
      </c>
      <c r="G199" s="18" t="n"/>
      <c r="H199" s="18" t="inlineStr">
        <is>
          <t>JED</t>
        </is>
      </c>
      <c r="I199" s="18" t="inlineStr">
        <is>
          <t>King Abdulaziz International Airport</t>
        </is>
      </c>
      <c r="J199" s="21" t="n">
        <v>21.3</v>
      </c>
      <c r="K199" s="18" t="inlineStr">
        <is>
          <t>JED</t>
        </is>
      </c>
      <c r="L199" s="18" t="inlineStr">
        <is>
          <t>100k +  pop + airport</t>
        </is>
      </c>
      <c r="M199" s="22" t="n">
        <v>0.8139999999999999</v>
      </c>
      <c r="N199" s="22" t="n">
        <v>0</v>
      </c>
      <c r="O199" s="18" t="n"/>
      <c r="P199" s="22">
        <f>IF(O199="",(About!$B$5*M199+About!$B$6*N199)/(About!$B$5+About!$B$6),About!$B$5*M199+About!$B$6*N199+About!$B$7*O199)</f>
        <v/>
      </c>
      <c r="Q199" s="23" t="n">
        <v>21.4901</v>
      </c>
      <c r="R199" s="23" t="n">
        <v>39.1862</v>
      </c>
    </row>
    <row r="200" ht="15" customHeight="1" s="12">
      <c r="A200" s="18" t="inlineStr">
        <is>
          <t>Portland</t>
        </is>
      </c>
      <c r="B200" s="18" t="inlineStr">
        <is>
          <t>United States</t>
        </is>
      </c>
      <c r="C200" s="19" t="n">
        <v>341784857</v>
      </c>
      <c r="D200" s="18" t="inlineStr">
        <is>
          <t>US</t>
        </is>
      </c>
      <c r="E200" s="18" t="inlineStr">
        <is>
          <t>OR</t>
        </is>
      </c>
      <c r="F200" s="20" t="n">
        <v>632309</v>
      </c>
      <c r="G200" s="18" t="n"/>
      <c r="H200" s="18" t="inlineStr">
        <is>
          <t>PDX</t>
        </is>
      </c>
      <c r="I200" s="18" t="inlineStr">
        <is>
          <t>Portland International Airport</t>
        </is>
      </c>
      <c r="J200" s="21" t="n">
        <v>9.5</v>
      </c>
      <c r="K200" s="18" t="inlineStr">
        <is>
          <t>PDX</t>
        </is>
      </c>
      <c r="L200" s="18" t="inlineStr">
        <is>
          <t>100k +  pop + airport</t>
        </is>
      </c>
      <c r="M200" s="22" t="n">
        <v>0.8139999999999999</v>
      </c>
      <c r="N200" s="22" t="n">
        <v>0</v>
      </c>
      <c r="O200" s="18" t="n"/>
      <c r="P200" s="22">
        <f>IF(O200="",(About!$B$5*M200+About!$B$6*N200)/(About!$B$5+About!$B$6),About!$B$5*M200+About!$B$6*N200+About!$B$7*O200)</f>
        <v/>
      </c>
      <c r="Q200" s="23" t="n">
        <v>45.5234</v>
      </c>
      <c r="R200" s="23" t="n">
        <v>-122.6762</v>
      </c>
    </row>
    <row r="201" ht="15" customHeight="1" s="12">
      <c r="A201" s="18" t="inlineStr">
        <is>
          <t>Chengdu</t>
        </is>
      </c>
      <c r="B201" s="18" t="inlineStr">
        <is>
          <t>China</t>
        </is>
      </c>
      <c r="C201" s="19" t="n">
        <v>1404890000</v>
      </c>
      <c r="D201" s="18" t="inlineStr">
        <is>
          <t>CN</t>
        </is>
      </c>
      <c r="E201" s="18" t="inlineStr">
        <is>
          <t>32</t>
        </is>
      </c>
      <c r="F201" s="20" t="n">
        <v>7415590</v>
      </c>
      <c r="G201" s="18" t="n"/>
      <c r="H201" s="18" t="inlineStr">
        <is>
          <t>CTU</t>
        </is>
      </c>
      <c r="I201" s="18" t="inlineStr">
        <is>
          <t>Chengdu Shuangliu International Airport</t>
        </is>
      </c>
      <c r="J201" s="21" t="n">
        <v>16.7</v>
      </c>
      <c r="K201" s="18" t="inlineStr">
        <is>
          <t>CTU</t>
        </is>
      </c>
      <c r="L201" s="18" t="inlineStr">
        <is>
          <t>100k +  pop</t>
        </is>
      </c>
      <c r="M201" s="22" t="n">
        <v>0.8120000000000001</v>
      </c>
      <c r="N201" s="22" t="n">
        <v>0</v>
      </c>
      <c r="O201" s="18" t="n"/>
      <c r="P201" s="22">
        <f>IF(O201="",(About!$B$5*M201+About!$B$6*N201)/(About!$B$5+About!$B$6),About!$B$5*M201+About!$B$6*N201+About!$B$7*O201)</f>
        <v/>
      </c>
      <c r="Q201" s="23" t="n">
        <v>30.6667</v>
      </c>
      <c r="R201" s="23" t="n">
        <v>104.0667</v>
      </c>
    </row>
    <row r="202" ht="15" customHeight="1" s="12">
      <c r="A202" s="18" t="inlineStr">
        <is>
          <t>Bengaluru</t>
        </is>
      </c>
      <c r="B202" s="18" t="inlineStr">
        <is>
          <t>India</t>
        </is>
      </c>
      <c r="C202" s="19" t="n">
        <v>1417492000</v>
      </c>
      <c r="D202" s="18" t="inlineStr">
        <is>
          <t>IN</t>
        </is>
      </c>
      <c r="E202" s="18" t="inlineStr">
        <is>
          <t>19</t>
        </is>
      </c>
      <c r="F202" s="20" t="n">
        <v>5104047</v>
      </c>
      <c r="G202" s="18" t="n"/>
      <c r="H202" s="18" t="inlineStr">
        <is>
          <t>BLR</t>
        </is>
      </c>
      <c r="I202" s="18" t="inlineStr">
        <is>
          <t>Kempegowda International Airport Bengaluru</t>
        </is>
      </c>
      <c r="J202" s="21" t="n">
        <v>27.9</v>
      </c>
      <c r="K202" s="18" t="inlineStr">
        <is>
          <t>BLR</t>
        </is>
      </c>
      <c r="L202" s="18" t="inlineStr">
        <is>
          <t>100k +  pop + airport</t>
        </is>
      </c>
      <c r="M202" s="22" t="n">
        <v>0.8129999999999999</v>
      </c>
      <c r="N202" s="22" t="n">
        <v>0</v>
      </c>
      <c r="O202" s="18" t="n"/>
      <c r="P202" s="22">
        <f>IF(O202="",(About!$B$5*M202+About!$B$6*N202)/(About!$B$5+About!$B$6),About!$B$5*M202+About!$B$6*N202+About!$B$7*O202)</f>
        <v/>
      </c>
      <c r="Q202" s="23" t="n">
        <v>12.9719</v>
      </c>
      <c r="R202" s="23" t="n">
        <v>77.5937</v>
      </c>
    </row>
    <row r="203" ht="15" customHeight="1" s="12">
      <c r="A203" s="18" t="inlineStr">
        <is>
          <t>Busto Arsizio</t>
        </is>
      </c>
      <c r="B203" s="18" t="inlineStr">
        <is>
          <t>Italy</t>
        </is>
      </c>
      <c r="C203" s="19" t="n">
        <v>58932330</v>
      </c>
      <c r="D203" s="18" t="inlineStr">
        <is>
          <t>IT</t>
        </is>
      </c>
      <c r="E203" s="18" t="inlineStr">
        <is>
          <t>09</t>
        </is>
      </c>
      <c r="F203" s="20" t="n">
        <v>151166</v>
      </c>
      <c r="G203" s="18" t="n"/>
      <c r="H203" s="18" t="inlineStr">
        <is>
          <t>MXP</t>
        </is>
      </c>
      <c r="I203" s="18" t="inlineStr">
        <is>
          <t>Milan Malpensa International Airport</t>
        </is>
      </c>
      <c r="J203" s="21" t="n">
        <v>9.699999999999999</v>
      </c>
      <c r="K203" s="18" t="inlineStr">
        <is>
          <t>MXP</t>
        </is>
      </c>
      <c r="L203" s="18" t="inlineStr">
        <is>
          <t>airport</t>
        </is>
      </c>
      <c r="M203" s="22" t="n">
        <v>0.8110000000000001</v>
      </c>
      <c r="N203" s="22" t="n">
        <v>0</v>
      </c>
      <c r="O203" s="18" t="n"/>
      <c r="P203" s="22">
        <f>IF(O203="",(About!$B$5*M203+About!$B$6*N203)/(About!$B$5+About!$B$6),About!$B$5*M203+About!$B$6*N203+About!$B$7*O203)</f>
        <v/>
      </c>
      <c r="Q203" s="23" t="n">
        <v>45.6113</v>
      </c>
      <c r="R203" s="23" t="n">
        <v>8.8491</v>
      </c>
    </row>
    <row r="204" ht="15" customHeight="1" s="12">
      <c r="A204" s="18" t="inlineStr">
        <is>
          <t>Belo Horizonte</t>
        </is>
      </c>
      <c r="B204" s="18" t="inlineStr">
        <is>
          <t>Brazil</t>
        </is>
      </c>
      <c r="C204" s="19" t="n">
        <v>213421037</v>
      </c>
      <c r="D204" s="18" t="inlineStr">
        <is>
          <t>BR</t>
        </is>
      </c>
      <c r="E204" s="18" t="inlineStr">
        <is>
          <t>15</t>
        </is>
      </c>
      <c r="F204" s="20" t="n">
        <v>4270775</v>
      </c>
      <c r="G204" s="18" t="n"/>
      <c r="H204" s="18" t="inlineStr">
        <is>
          <t>CNF</t>
        </is>
      </c>
      <c r="I204" s="18" t="inlineStr">
        <is>
          <t>Tancredo Neves International Airport</t>
        </is>
      </c>
      <c r="J204" s="21" t="n">
        <v>31.9</v>
      </c>
      <c r="K204" s="18" t="inlineStr">
        <is>
          <t>CNF</t>
        </is>
      </c>
      <c r="L204" s="18" t="inlineStr">
        <is>
          <t>100k +  pop + airport</t>
        </is>
      </c>
      <c r="M204" s="22" t="n">
        <v>0.8080000000000001</v>
      </c>
      <c r="N204" s="22" t="n">
        <v>0</v>
      </c>
      <c r="O204" s="18" t="n"/>
      <c r="P204" s="22">
        <f>IF(O204="",(About!$B$5*M204+About!$B$6*N204)/(About!$B$5+About!$B$6),About!$B$5*M204+About!$B$6*N204+About!$B$7*O204)</f>
        <v/>
      </c>
      <c r="Q204" s="23" t="n">
        <v>-19.9208</v>
      </c>
      <c r="R204" s="23" t="n">
        <v>-43.9378</v>
      </c>
    </row>
    <row r="205" ht="15" customHeight="1" s="12">
      <c r="A205" s="18" t="inlineStr">
        <is>
          <t>Brasília</t>
        </is>
      </c>
      <c r="B205" s="18" t="inlineStr">
        <is>
          <t>Brazil</t>
        </is>
      </c>
      <c r="C205" s="19" t="n">
        <v>213421037</v>
      </c>
      <c r="D205" s="18" t="inlineStr">
        <is>
          <t>BR</t>
        </is>
      </c>
      <c r="E205" s="18" t="inlineStr">
        <is>
          <t>07</t>
        </is>
      </c>
      <c r="F205" s="20" t="n">
        <v>2207718</v>
      </c>
      <c r="G205" s="18" t="inlineStr">
        <is>
          <t>Yes</t>
        </is>
      </c>
      <c r="H205" s="18" t="inlineStr">
        <is>
          <t>BSB</t>
        </is>
      </c>
      <c r="I205" s="18" t="inlineStr">
        <is>
          <t>Presidente Juscelino Kubitschek International Airport</t>
        </is>
      </c>
      <c r="J205" s="21" t="n">
        <v>10</v>
      </c>
      <c r="K205" s="18" t="inlineStr">
        <is>
          <t>BSB</t>
        </is>
      </c>
      <c r="L205" s="18" t="inlineStr">
        <is>
          <t>100k +  pop + capital + airport</t>
        </is>
      </c>
      <c r="M205" s="22" t="n">
        <v>0.8090000000000001</v>
      </c>
      <c r="N205" s="22" t="n">
        <v>0</v>
      </c>
      <c r="O205" s="18" t="n"/>
      <c r="P205" s="22">
        <f>IF(O205="",(About!$B$5*M205+About!$B$6*N205)/(About!$B$5+About!$B$6),About!$B$5*M205+About!$B$6*N205+About!$B$7*O205)</f>
        <v/>
      </c>
      <c r="Q205" s="23" t="n">
        <v>-15.7797</v>
      </c>
      <c r="R205" s="23" t="n">
        <v>-47.9297</v>
      </c>
    </row>
    <row r="206" ht="15" customHeight="1" s="12">
      <c r="A206" s="18" t="inlineStr">
        <is>
          <t>Biên Hòa</t>
        </is>
      </c>
      <c r="B206" s="18" t="inlineStr">
        <is>
          <t>Vietnam</t>
        </is>
      </c>
      <c r="C206" s="19" t="n">
        <v>102300000</v>
      </c>
      <c r="D206" s="18" t="inlineStr">
        <is>
          <t>VN</t>
        </is>
      </c>
      <c r="E206" s="18" t="inlineStr">
        <is>
          <t>43</t>
        </is>
      </c>
      <c r="F206" s="20" t="n">
        <v>407208</v>
      </c>
      <c r="G206" s="18" t="n"/>
      <c r="H206" s="18" t="inlineStr">
        <is>
          <t>SGN</t>
        </is>
      </c>
      <c r="I206" s="18" t="inlineStr">
        <is>
          <t>Tan Son Nhat International Airport</t>
        </is>
      </c>
      <c r="J206" s="21" t="n">
        <v>23.5</v>
      </c>
      <c r="K206" s="18" t="inlineStr">
        <is>
          <t>SGN</t>
        </is>
      </c>
      <c r="L206" s="18" t="inlineStr">
        <is>
          <t>100k +  pop</t>
        </is>
      </c>
      <c r="M206" s="22" t="n">
        <v>0.8070000000000001</v>
      </c>
      <c r="N206" s="22" t="n">
        <v>0</v>
      </c>
      <c r="O206" s="18" t="n"/>
      <c r="P206" s="22">
        <f>IF(O206="",(About!$B$5*M206+About!$B$6*N206)/(About!$B$5+About!$B$6),About!$B$5*M206+About!$B$6*N206+About!$B$7*O206)</f>
        <v/>
      </c>
      <c r="Q206" s="23" t="n">
        <v>10.9447</v>
      </c>
      <c r="R206" s="23" t="n">
        <v>106.8243</v>
      </c>
    </row>
    <row r="207" ht="15" customHeight="1" s="12">
      <c r="A207" s="18" t="inlineStr">
        <is>
          <t>Cần Giuộc</t>
        </is>
      </c>
      <c r="B207" s="18" t="inlineStr">
        <is>
          <t>Vietnam</t>
        </is>
      </c>
      <c r="C207" s="19" t="n">
        <v>102300000</v>
      </c>
      <c r="D207" s="18" t="inlineStr">
        <is>
          <t>VN</t>
        </is>
      </c>
      <c r="E207" s="18" t="inlineStr">
        <is>
          <t>24</t>
        </is>
      </c>
      <c r="F207" s="20" t="n">
        <v>152200</v>
      </c>
      <c r="G207" s="18" t="n"/>
      <c r="H207" s="18" t="inlineStr">
        <is>
          <t>SGN</t>
        </is>
      </c>
      <c r="I207" s="18" t="inlineStr">
        <is>
          <t>Tan Son Nhat International Airport</t>
        </is>
      </c>
      <c r="J207" s="21" t="n">
        <v>23.5</v>
      </c>
      <c r="K207" s="18" t="inlineStr">
        <is>
          <t>SGN</t>
        </is>
      </c>
      <c r="L207" s="18" t="inlineStr">
        <is>
          <t>100k +  pop</t>
        </is>
      </c>
      <c r="M207" s="22" t="n">
        <v>0.8070000000000001</v>
      </c>
      <c r="N207" s="22" t="n">
        <v>0</v>
      </c>
      <c r="O207" s="18" t="n"/>
      <c r="P207" s="22">
        <f>IF(O207="",(About!$B$5*M207+About!$B$6*N207)/(About!$B$5+About!$B$6),About!$B$5*M207+About!$B$6*N207+About!$B$7*O207)</f>
        <v/>
      </c>
      <c r="Q207" s="23" t="n">
        <v>10.6086</v>
      </c>
      <c r="R207" s="23" t="n">
        <v>106.6714</v>
      </c>
    </row>
    <row r="208" ht="15" customHeight="1" s="12">
      <c r="A208" s="18" t="inlineStr">
        <is>
          <t>San Diego</t>
        </is>
      </c>
      <c r="B208" s="18" t="inlineStr">
        <is>
          <t>United States</t>
        </is>
      </c>
      <c r="C208" s="19" t="n">
        <v>341784857</v>
      </c>
      <c r="D208" s="18" t="inlineStr">
        <is>
          <t>US</t>
        </is>
      </c>
      <c r="E208" s="18" t="inlineStr">
        <is>
          <t>CA</t>
        </is>
      </c>
      <c r="F208" s="20" t="n">
        <v>1394928</v>
      </c>
      <c r="G208" s="18" t="n"/>
      <c r="H208" s="18" t="inlineStr">
        <is>
          <t>SAN</t>
        </is>
      </c>
      <c r="I208" s="18" t="inlineStr">
        <is>
          <t>San Diego International Airport</t>
        </is>
      </c>
      <c r="J208" s="21" t="n">
        <v>3.1</v>
      </c>
      <c r="K208" s="18" t="inlineStr">
        <is>
          <t>SAN</t>
        </is>
      </c>
      <c r="L208" s="18" t="inlineStr">
        <is>
          <t>100k +  pop + airport</t>
        </is>
      </c>
      <c r="M208" s="22" t="n">
        <v>0.806</v>
      </c>
      <c r="N208" s="22" t="n">
        <v>0</v>
      </c>
      <c r="O208" s="18" t="n"/>
      <c r="P208" s="22">
        <f>IF(O208="",(About!$B$5*M208+About!$B$6*N208)/(About!$B$5+About!$B$6),About!$B$5*M208+About!$B$6*N208+About!$B$7*O208)</f>
        <v/>
      </c>
      <c r="Q208" s="23" t="n">
        <v>32.7157</v>
      </c>
      <c r="R208" s="23" t="n">
        <v>-117.1647</v>
      </c>
    </row>
    <row r="209" ht="15" customHeight="1" s="12">
      <c r="A209" s="18" t="inlineStr">
        <is>
          <t>Muscat</t>
        </is>
      </c>
      <c r="B209" s="18" t="inlineStr">
        <is>
          <t>Oman</t>
        </is>
      </c>
      <c r="C209" s="19" t="n">
        <v>5368120</v>
      </c>
      <c r="D209" s="18" t="inlineStr">
        <is>
          <t>OM</t>
        </is>
      </c>
      <c r="E209" s="18" t="inlineStr">
        <is>
          <t>06</t>
        </is>
      </c>
      <c r="F209" s="20" t="n">
        <v>797000</v>
      </c>
      <c r="G209" s="18" t="inlineStr">
        <is>
          <t>Yes</t>
        </is>
      </c>
      <c r="H209" s="18" t="inlineStr">
        <is>
          <t>MCT</t>
        </is>
      </c>
      <c r="I209" s="18" t="inlineStr">
        <is>
          <t>Muscat International Airport</t>
        </is>
      </c>
      <c r="J209" s="21" t="n">
        <v>12.6</v>
      </c>
      <c r="K209" s="18" t="inlineStr">
        <is>
          <t>MCT</t>
        </is>
      </c>
      <c r="L209" s="18" t="inlineStr">
        <is>
          <t>100k +  pop + capital</t>
        </is>
      </c>
      <c r="M209" s="22" t="n">
        <v>0.806</v>
      </c>
      <c r="N209" s="22" t="n">
        <v>0</v>
      </c>
      <c r="O209" s="18" t="n"/>
      <c r="P209" s="22">
        <f>IF(O209="",(About!$B$5*M209+About!$B$6*N209)/(About!$B$5+About!$B$6),About!$B$5*M209+About!$B$6*N209+About!$B$7*O209)</f>
        <v/>
      </c>
      <c r="Q209" s="23" t="n">
        <v>23.5841</v>
      </c>
      <c r="R209" s="23" t="n">
        <v>58.4078</v>
      </c>
    </row>
    <row r="210" ht="15" customHeight="1" s="12">
      <c r="A210" s="18" t="inlineStr">
        <is>
          <t>Seeb</t>
        </is>
      </c>
      <c r="B210" s="18" t="inlineStr">
        <is>
          <t>Oman</t>
        </is>
      </c>
      <c r="C210" s="19" t="n">
        <v>5368120</v>
      </c>
      <c r="D210" s="18" t="inlineStr">
        <is>
          <t>OM</t>
        </is>
      </c>
      <c r="E210" s="18" t="inlineStr">
        <is>
          <t>06</t>
        </is>
      </c>
      <c r="F210" s="20" t="n">
        <v>237816</v>
      </c>
      <c r="G210" s="18" t="n"/>
      <c r="H210" s="18" t="inlineStr">
        <is>
          <t>MCT</t>
        </is>
      </c>
      <c r="I210" s="18" t="inlineStr">
        <is>
          <t>Muscat International Airport</t>
        </is>
      </c>
      <c r="J210" s="21" t="n">
        <v>12.5</v>
      </c>
      <c r="K210" s="18" t="inlineStr">
        <is>
          <t>MCT</t>
        </is>
      </c>
      <c r="L210" s="18" t="inlineStr">
        <is>
          <t>100k +  pop</t>
        </is>
      </c>
      <c r="M210" s="22" t="n">
        <v>0.806</v>
      </c>
      <c r="N210" s="22" t="n">
        <v>0</v>
      </c>
      <c r="O210" s="18" t="n"/>
      <c r="P210" s="22">
        <f>IF(O210="",(About!$B$5*M210+About!$B$6*N210)/(About!$B$5+About!$B$6),About!$B$5*M210+About!$B$6*N210+About!$B$7*O210)</f>
        <v/>
      </c>
      <c r="Q210" s="23" t="n">
        <v>23.6703</v>
      </c>
      <c r="R210" s="23" t="n">
        <v>58.1891</v>
      </c>
    </row>
    <row r="211" ht="15" customHeight="1" s="12">
      <c r="A211" s="18" t="inlineStr">
        <is>
          <t>Kathmandu</t>
        </is>
      </c>
      <c r="B211" s="18" t="inlineStr">
        <is>
          <t>Nepal</t>
        </is>
      </c>
      <c r="C211" s="19" t="n">
        <v>29911840</v>
      </c>
      <c r="D211" s="18" t="inlineStr">
        <is>
          <t>NP</t>
        </is>
      </c>
      <c r="E211" s="18" t="inlineStr">
        <is>
          <t>3</t>
        </is>
      </c>
      <c r="F211" s="20" t="n">
        <v>1442271</v>
      </c>
      <c r="G211" s="18" t="inlineStr">
        <is>
          <t>Yes</t>
        </is>
      </c>
      <c r="H211" s="18" t="inlineStr">
        <is>
          <t>KTM</t>
        </is>
      </c>
      <c r="I211" s="18" t="inlineStr">
        <is>
          <t>Tribhuvan International Airport</t>
        </is>
      </c>
      <c r="J211" s="21" t="n">
        <v>3.8</v>
      </c>
      <c r="K211" s="18" t="inlineStr">
        <is>
          <t>KTM</t>
        </is>
      </c>
      <c r="L211" s="18" t="inlineStr">
        <is>
          <t>100k +  pop + capital + airport</t>
        </is>
      </c>
      <c r="M211" s="22" t="n">
        <v>0.804</v>
      </c>
      <c r="N211" s="22" t="n">
        <v>0</v>
      </c>
      <c r="O211" s="18" t="n"/>
      <c r="P211" s="22">
        <f>IF(O211="",(About!$B$5*M211+About!$B$6*N211)/(About!$B$5+About!$B$6),About!$B$5*M211+About!$B$6*N211+About!$B$7*O211)</f>
        <v/>
      </c>
      <c r="Q211" s="23" t="n">
        <v>27.7017</v>
      </c>
      <c r="R211" s="23" t="n">
        <v>85.3206</v>
      </c>
    </row>
    <row r="212" ht="15" customHeight="1" s="12">
      <c r="A212" s="18" t="inlineStr">
        <is>
          <t>Baltimore</t>
        </is>
      </c>
      <c r="B212" s="18" t="inlineStr">
        <is>
          <t>United States</t>
        </is>
      </c>
      <c r="C212" s="19" t="n">
        <v>341784857</v>
      </c>
      <c r="D212" s="18" t="inlineStr">
        <is>
          <t>US</t>
        </is>
      </c>
      <c r="E212" s="18" t="inlineStr">
        <is>
          <t>MD</t>
        </is>
      </c>
      <c r="F212" s="20" t="n">
        <v>621849</v>
      </c>
      <c r="G212" s="18" t="n"/>
      <c r="H212" s="18" t="inlineStr">
        <is>
          <t>BWI</t>
        </is>
      </c>
      <c r="I212" s="18" t="inlineStr">
        <is>
          <t>Baltimore/Washington International Thurgood Marshall Airport</t>
        </is>
      </c>
      <c r="J212" s="21" t="n">
        <v>13.7</v>
      </c>
      <c r="K212" s="18" t="inlineStr">
        <is>
          <t>BWI</t>
        </is>
      </c>
      <c r="L212" s="18" t="inlineStr">
        <is>
          <t>100k +  pop + airport</t>
        </is>
      </c>
      <c r="M212" s="22" t="n">
        <v>0.805</v>
      </c>
      <c r="N212" s="22" t="n">
        <v>0</v>
      </c>
      <c r="O212" s="18" t="n"/>
      <c r="P212" s="22">
        <f>IF(O212="",(About!$B$5*M212+About!$B$6*N212)/(About!$B$5+About!$B$6),About!$B$5*M212+About!$B$6*N212+About!$B$7*O212)</f>
        <v/>
      </c>
      <c r="Q212" s="23" t="n">
        <v>39.2904</v>
      </c>
      <c r="R212" s="23" t="n">
        <v>-76.6122</v>
      </c>
    </row>
    <row r="213" ht="15" customHeight="1" s="12">
      <c r="A213" s="18" t="inlineStr">
        <is>
          <t>Wellington</t>
        </is>
      </c>
      <c r="B213" s="18" t="inlineStr">
        <is>
          <t>New Zealand</t>
        </is>
      </c>
      <c r="C213" s="19" t="n">
        <v>5361300</v>
      </c>
      <c r="D213" s="18" t="inlineStr">
        <is>
          <t>NZ</t>
        </is>
      </c>
      <c r="E213" s="18" t="inlineStr">
        <is>
          <t>G2</t>
        </is>
      </c>
      <c r="F213" s="20" t="n">
        <v>381900</v>
      </c>
      <c r="G213" s="18" t="inlineStr">
        <is>
          <t>Yes</t>
        </is>
      </c>
      <c r="H213" s="18" t="inlineStr">
        <is>
          <t>WLG</t>
        </is>
      </c>
      <c r="I213" s="18" t="inlineStr">
        <is>
          <t>Wellington International Airport</t>
        </is>
      </c>
      <c r="J213" s="21" t="n">
        <v>5.2</v>
      </c>
      <c r="K213" s="18" t="inlineStr">
        <is>
          <t>WLG</t>
        </is>
      </c>
      <c r="L213" s="18" t="inlineStr">
        <is>
          <t>100k +  pop + capital + airport</t>
        </is>
      </c>
      <c r="M213" s="22" t="n">
        <v>0.804</v>
      </c>
      <c r="N213" s="22" t="n">
        <v>0</v>
      </c>
      <c r="O213" s="18" t="n"/>
      <c r="P213" s="22">
        <f>IF(O213="",(About!$B$5*M213+About!$B$6*N213)/(About!$B$5+About!$B$6),About!$B$5*M213+About!$B$6*N213+About!$B$7*O213)</f>
        <v/>
      </c>
      <c r="Q213" s="23" t="n">
        <v>-41.2866</v>
      </c>
      <c r="R213" s="23" t="n">
        <v>174.7756</v>
      </c>
    </row>
    <row r="214" ht="15" customHeight="1" s="12">
      <c r="A214" s="18" t="inlineStr">
        <is>
          <t>Pātan</t>
        </is>
      </c>
      <c r="B214" s="18" t="inlineStr">
        <is>
          <t>Nepal</t>
        </is>
      </c>
      <c r="C214" s="19" t="n">
        <v>29911840</v>
      </c>
      <c r="D214" s="18" t="inlineStr">
        <is>
          <t>NP</t>
        </is>
      </c>
      <c r="E214" s="18" t="inlineStr">
        <is>
          <t>3</t>
        </is>
      </c>
      <c r="F214" s="20" t="n">
        <v>183310</v>
      </c>
      <c r="G214" s="18" t="n"/>
      <c r="H214" s="18" t="inlineStr">
        <is>
          <t>KTM</t>
        </is>
      </c>
      <c r="I214" s="18" t="inlineStr">
        <is>
          <t>Tribhuvan International Airport</t>
        </is>
      </c>
      <c r="J214" s="21" t="n">
        <v>5</v>
      </c>
      <c r="K214" s="18" t="inlineStr">
        <is>
          <t>KTM</t>
        </is>
      </c>
      <c r="L214" s="18" t="inlineStr">
        <is>
          <t>100k +  pop + airport</t>
        </is>
      </c>
      <c r="M214" s="22" t="n">
        <v>0.804</v>
      </c>
      <c r="N214" s="22" t="n">
        <v>0</v>
      </c>
      <c r="O214" s="18" t="n"/>
      <c r="P214" s="22">
        <f>IF(O214="",(About!$B$5*M214+About!$B$6*N214)/(About!$B$5+About!$B$6),About!$B$5*M214+About!$B$6*N214+About!$B$7*O214)</f>
        <v/>
      </c>
      <c r="Q214" s="23" t="n">
        <v>27.6766</v>
      </c>
      <c r="R214" s="23" t="n">
        <v>85.3142</v>
      </c>
    </row>
    <row r="215" ht="15" customHeight="1" s="12">
      <c r="A215" s="18" t="inlineStr">
        <is>
          <t>Recife</t>
        </is>
      </c>
      <c r="B215" s="18" t="inlineStr">
        <is>
          <t>Brazil</t>
        </is>
      </c>
      <c r="C215" s="19" t="n">
        <v>213421037</v>
      </c>
      <c r="D215" s="18" t="inlineStr">
        <is>
          <t>BR</t>
        </is>
      </c>
      <c r="E215" s="18" t="inlineStr">
        <is>
          <t>30</t>
        </is>
      </c>
      <c r="F215" s="20" t="n">
        <v>2764831</v>
      </c>
      <c r="G215" s="18" t="n"/>
      <c r="H215" s="18" t="inlineStr">
        <is>
          <t>REC</t>
        </is>
      </c>
      <c r="I215" s="18" t="inlineStr">
        <is>
          <t>Recife/Guararapes - Gilberto Freyre International Airport</t>
        </is>
      </c>
      <c r="J215" s="21" t="n">
        <v>9.4</v>
      </c>
      <c r="K215" s="18" t="inlineStr">
        <is>
          <t>REC</t>
        </is>
      </c>
      <c r="L215" s="18" t="inlineStr">
        <is>
          <t>100k +  pop + airport</t>
        </is>
      </c>
      <c r="M215" s="22" t="n">
        <v>0.802</v>
      </c>
      <c r="N215" s="22" t="n">
        <v>0</v>
      </c>
      <c r="O215" s="18" t="n"/>
      <c r="P215" s="22">
        <f>IF(O215="",(About!$B$5*M215+About!$B$6*N215)/(About!$B$5+About!$B$6),About!$B$5*M215+About!$B$6*N215+About!$B$7*O215)</f>
        <v/>
      </c>
      <c r="Q215" s="23" t="n">
        <v>-8.053900000000001</v>
      </c>
      <c r="R215" s="23" t="n">
        <v>-34.8811</v>
      </c>
    </row>
    <row r="216" ht="15" customHeight="1" s="12">
      <c r="A216" s="18" t="inlineStr">
        <is>
          <t>Christchurch</t>
        </is>
      </c>
      <c r="B216" s="18" t="inlineStr">
        <is>
          <t>New Zealand</t>
        </is>
      </c>
      <c r="C216" s="19" t="n">
        <v>5361300</v>
      </c>
      <c r="D216" s="18" t="inlineStr">
        <is>
          <t>NZ</t>
        </is>
      </c>
      <c r="E216" s="18" t="inlineStr">
        <is>
          <t>E9</t>
        </is>
      </c>
      <c r="F216" s="20" t="n">
        <v>363926</v>
      </c>
      <c r="G216" s="18" t="n"/>
      <c r="H216" s="18" t="inlineStr">
        <is>
          <t>CHC</t>
        </is>
      </c>
      <c r="I216" s="18" t="inlineStr">
        <is>
          <t>Christchurch International Airport</t>
        </is>
      </c>
      <c r="J216" s="21" t="n">
        <v>9.5</v>
      </c>
      <c r="K216" s="18" t="inlineStr">
        <is>
          <t>CHC</t>
        </is>
      </c>
      <c r="L216" s="18" t="inlineStr">
        <is>
          <t>100k +  pop + airport</t>
        </is>
      </c>
      <c r="M216" s="22" t="n">
        <v>0.801</v>
      </c>
      <c r="N216" s="22" t="n">
        <v>0</v>
      </c>
      <c r="O216" s="18" t="n"/>
      <c r="P216" s="22">
        <f>IF(O216="",(About!$B$5*M216+About!$B$6*N216)/(About!$B$5+About!$B$6),About!$B$5*M216+About!$B$6*N216+About!$B$7*O216)</f>
        <v/>
      </c>
      <c r="Q216" s="23" t="n">
        <v>-43.5333</v>
      </c>
      <c r="R216" s="23" t="n">
        <v>172.6333</v>
      </c>
    </row>
    <row r="217" ht="15" customHeight="1" s="12">
      <c r="A217" s="18" t="inlineStr">
        <is>
          <t>Hyderabad</t>
        </is>
      </c>
      <c r="B217" s="18" t="inlineStr">
        <is>
          <t>India</t>
        </is>
      </c>
      <c r="C217" s="19" t="n">
        <v>1417492000</v>
      </c>
      <c r="D217" s="18" t="inlineStr">
        <is>
          <t>IN</t>
        </is>
      </c>
      <c r="E217" s="18" t="inlineStr">
        <is>
          <t>40</t>
        </is>
      </c>
      <c r="F217" s="20" t="n">
        <v>4631510</v>
      </c>
      <c r="G217" s="18" t="n"/>
      <c r="H217" s="18" t="inlineStr">
        <is>
          <t>HYD</t>
        </is>
      </c>
      <c r="I217" s="18" t="inlineStr">
        <is>
          <t>Rajiv Gandhi International Airport</t>
        </is>
      </c>
      <c r="J217" s="21" t="n">
        <v>17.2</v>
      </c>
      <c r="K217" s="18" t="inlineStr">
        <is>
          <t>HYD</t>
        </is>
      </c>
      <c r="L217" s="18" t="inlineStr">
        <is>
          <t>100k +  pop + airport</t>
        </is>
      </c>
      <c r="M217" s="22" t="n">
        <v>0.798</v>
      </c>
      <c r="N217" s="22" t="n">
        <v>0</v>
      </c>
      <c r="O217" s="18" t="n"/>
      <c r="P217" s="22">
        <f>IF(O217="",(About!$B$5*M217+About!$B$6*N217)/(About!$B$5+About!$B$6),About!$B$5*M217+About!$B$6*N217+About!$B$7*O217)</f>
        <v/>
      </c>
      <c r="Q217" s="23" t="n">
        <v>17.384</v>
      </c>
      <c r="R217" s="23" t="n">
        <v>78.4564</v>
      </c>
    </row>
    <row r="218" ht="15" customHeight="1" s="12">
      <c r="A218" s="18" t="inlineStr">
        <is>
          <t>Malmö</t>
        </is>
      </c>
      <c r="B218" s="18" t="inlineStr">
        <is>
          <t>Sweden</t>
        </is>
      </c>
      <c r="C218" s="19" t="n">
        <v>10604616</v>
      </c>
      <c r="D218" s="18" t="inlineStr">
        <is>
          <t>SE</t>
        </is>
      </c>
      <c r="E218" s="18" t="inlineStr">
        <is>
          <t>27</t>
        </is>
      </c>
      <c r="F218" s="20" t="n">
        <v>301706</v>
      </c>
      <c r="G218" s="18" t="n"/>
      <c r="H218" s="18" t="inlineStr">
        <is>
          <t>CPH</t>
        </is>
      </c>
      <c r="I218" s="18" t="inlineStr">
        <is>
          <t>Copenhagen Kastrup Airport</t>
        </is>
      </c>
      <c r="J218" s="21" t="n">
        <v>21.7</v>
      </c>
      <c r="K218" s="18" t="inlineStr">
        <is>
          <t>CPH+MMX</t>
        </is>
      </c>
      <c r="L218" s="18" t="inlineStr">
        <is>
          <t>100k +  pop + airport</t>
        </is>
      </c>
      <c r="M218" s="22" t="n">
        <v>0.798</v>
      </c>
      <c r="N218" s="22" t="n">
        <v>0</v>
      </c>
      <c r="O218" s="18" t="n"/>
      <c r="P218" s="22">
        <f>IF(O218="",(About!$B$5*M218+About!$B$6*N218)/(About!$B$5+About!$B$6),About!$B$5*M218+About!$B$6*N218+About!$B$7*O218)</f>
        <v/>
      </c>
      <c r="Q218" s="23" t="n">
        <v>55.6059</v>
      </c>
      <c r="R218" s="23" t="n">
        <v>13.0007</v>
      </c>
    </row>
    <row r="219" ht="15" customHeight="1" s="12">
      <c r="A219" s="18" t="inlineStr">
        <is>
          <t>Gebze</t>
        </is>
      </c>
      <c r="B219" s="18" t="inlineStr">
        <is>
          <t>Türkiye</t>
        </is>
      </c>
      <c r="C219" s="19" t="n">
        <v>86092168</v>
      </c>
      <c r="D219" s="18" t="inlineStr">
        <is>
          <t>TR</t>
        </is>
      </c>
      <c r="E219" s="18" t="inlineStr">
        <is>
          <t>41</t>
        </is>
      </c>
      <c r="F219" s="20" t="n">
        <v>281436</v>
      </c>
      <c r="G219" s="18" t="n"/>
      <c r="H219" s="18" t="inlineStr">
        <is>
          <t>SAW</t>
        </is>
      </c>
      <c r="I219" s="18" t="inlineStr">
        <is>
          <t>Istanbul Sabiha Gökçen International Airport</t>
        </is>
      </c>
      <c r="J219" s="21" t="n">
        <v>14.8</v>
      </c>
      <c r="K219" s="18" t="inlineStr">
        <is>
          <t>SAW</t>
        </is>
      </c>
      <c r="L219" s="18" t="inlineStr">
        <is>
          <t>100k +  pop</t>
        </is>
      </c>
      <c r="M219" s="22" t="n">
        <v>0.798</v>
      </c>
      <c r="N219" s="22" t="n">
        <v>0</v>
      </c>
      <c r="O219" s="18" t="n"/>
      <c r="P219" s="22">
        <f>IF(O219="",(About!$B$5*M219+About!$B$6*N219)/(About!$B$5+About!$B$6),About!$B$5*M219+About!$B$6*N219+About!$B$7*O219)</f>
        <v/>
      </c>
      <c r="Q219" s="23" t="n">
        <v>40.8028</v>
      </c>
      <c r="R219" s="23" t="n">
        <v>29.4307</v>
      </c>
    </row>
    <row r="220" ht="15" customHeight="1" s="12">
      <c r="A220" s="18" t="inlineStr">
        <is>
          <t>Port-Vila</t>
        </is>
      </c>
      <c r="B220" s="18" t="inlineStr">
        <is>
          <t>Vanuatu</t>
        </is>
      </c>
      <c r="C220" s="19" t="n">
        <v>321409</v>
      </c>
      <c r="D220" s="18" t="inlineStr">
        <is>
          <t>VU</t>
        </is>
      </c>
      <c r="E220" s="18" t="inlineStr">
        <is>
          <t>18</t>
        </is>
      </c>
      <c r="F220" s="20" t="n">
        <v>35901</v>
      </c>
      <c r="G220" s="18" t="inlineStr">
        <is>
          <t>Yes</t>
        </is>
      </c>
      <c r="H220" s="18" t="inlineStr">
        <is>
          <t>VLI</t>
        </is>
      </c>
      <c r="I220" s="18" t="inlineStr">
        <is>
          <t>Bauerfield International Airport</t>
        </is>
      </c>
      <c r="J220" s="21" t="n">
        <v>4.2</v>
      </c>
      <c r="K220" s="18" t="inlineStr">
        <is>
          <t>VLI</t>
        </is>
      </c>
      <c r="L220" s="18" t="inlineStr">
        <is>
          <t>capital + airport</t>
        </is>
      </c>
      <c r="M220" s="22" t="n">
        <v>0.797</v>
      </c>
      <c r="N220" s="22" t="n">
        <v>0</v>
      </c>
      <c r="O220" s="18" t="n"/>
      <c r="P220" s="22">
        <f>IF(O220="",(About!$B$5*M220+About!$B$6*N220)/(About!$B$5+About!$B$6),About!$B$5*M220+About!$B$6*N220+About!$B$7*O220)</f>
        <v/>
      </c>
      <c r="Q220" s="23" t="n">
        <v>-17.7365</v>
      </c>
      <c r="R220" s="23" t="n">
        <v>168.3137</v>
      </c>
    </row>
    <row r="221" ht="15" customHeight="1" s="12">
      <c r="A221" s="18" t="inlineStr">
        <is>
          <t>Surabaya</t>
        </is>
      </c>
      <c r="B221" s="18" t="inlineStr">
        <is>
          <t>Indonesia</t>
        </is>
      </c>
      <c r="C221" s="19" t="n">
        <v>288315089</v>
      </c>
      <c r="D221" s="18" t="inlineStr">
        <is>
          <t>ID</t>
        </is>
      </c>
      <c r="E221" s="18" t="inlineStr">
        <is>
          <t>08</t>
        </is>
      </c>
      <c r="F221" s="20" t="n">
        <v>2374658</v>
      </c>
      <c r="G221" s="18" t="n"/>
      <c r="H221" s="18" t="inlineStr">
        <is>
          <t>SUB</t>
        </is>
      </c>
      <c r="I221" s="18" t="inlineStr">
        <is>
          <t>Juanda International Airport</t>
        </is>
      </c>
      <c r="J221" s="21" t="n">
        <v>15.1</v>
      </c>
      <c r="K221" s="18" t="inlineStr">
        <is>
          <t>SUB</t>
        </is>
      </c>
      <c r="L221" s="18" t="inlineStr">
        <is>
          <t>100k +  pop + airport</t>
        </is>
      </c>
      <c r="M221" s="22" t="n">
        <v>0.793</v>
      </c>
      <c r="N221" s="22" t="n">
        <v>0</v>
      </c>
      <c r="O221" s="18" t="n"/>
      <c r="P221" s="22">
        <f>IF(O221="",(About!$B$5*M221+About!$B$6*N221)/(About!$B$5+About!$B$6),About!$B$5*M221+About!$B$6*N221+About!$B$7*O221)</f>
        <v/>
      </c>
      <c r="Q221" s="23" t="n">
        <v>-7.2492</v>
      </c>
      <c r="R221" s="23" t="n">
        <v>112.7508</v>
      </c>
    </row>
    <row r="222" ht="15" customHeight="1" s="12">
      <c r="A222" s="18" t="inlineStr">
        <is>
          <t>Luton</t>
        </is>
      </c>
      <c r="B222" s="18" t="inlineStr">
        <is>
          <t>United Kingdom</t>
        </is>
      </c>
      <c r="C222" s="19" t="n">
        <v>69487000</v>
      </c>
      <c r="D222" s="18" t="inlineStr">
        <is>
          <t>GB</t>
        </is>
      </c>
      <c r="E222" s="18" t="inlineStr">
        <is>
          <t>ENG</t>
        </is>
      </c>
      <c r="F222" s="20" t="n">
        <v>258018</v>
      </c>
      <c r="G222" s="18" t="n"/>
      <c r="H222" s="18" t="inlineStr">
        <is>
          <t>LTN</t>
        </is>
      </c>
      <c r="I222" s="18" t="inlineStr">
        <is>
          <t>London Luton Airport</t>
        </is>
      </c>
      <c r="J222" s="21" t="n">
        <v>3.4</v>
      </c>
      <c r="K222" s="18" t="inlineStr">
        <is>
          <t>LTN</t>
        </is>
      </c>
      <c r="L222" s="18" t="inlineStr">
        <is>
          <t>100k +  pop + airport</t>
        </is>
      </c>
      <c r="M222" s="22" t="n">
        <v>0.788</v>
      </c>
      <c r="N222" s="22" t="n">
        <v>0</v>
      </c>
      <c r="O222" s="18" t="n"/>
      <c r="P222" s="22">
        <f>IF(O222="",(About!$B$5*M222+About!$B$6*N222)/(About!$B$5+About!$B$6),About!$B$5*M222+About!$B$6*N222+About!$B$7*O222)</f>
        <v/>
      </c>
      <c r="Q222" s="23" t="n">
        <v>51.8797</v>
      </c>
      <c r="R222" s="23" t="n">
        <v>-0.4175</v>
      </c>
    </row>
    <row r="223" ht="15" customHeight="1" s="12">
      <c r="A223" s="18" t="inlineStr">
        <is>
          <t>Tijuana</t>
        </is>
      </c>
      <c r="B223" s="18" t="inlineStr">
        <is>
          <t>Mexico</t>
        </is>
      </c>
      <c r="C223" s="19" t="n">
        <v>131150866</v>
      </c>
      <c r="D223" s="18" t="inlineStr">
        <is>
          <t>MX</t>
        </is>
      </c>
      <c r="E223" s="18" t="inlineStr">
        <is>
          <t>02</t>
        </is>
      </c>
      <c r="F223" s="20" t="n">
        <v>1300983</v>
      </c>
      <c r="G223" s="18" t="n"/>
      <c r="H223" s="18" t="inlineStr">
        <is>
          <t>TIJ</t>
        </is>
      </c>
      <c r="I223" s="18" t="inlineStr">
        <is>
          <t>General Abelardo L. Rodriguez International Airport</t>
        </is>
      </c>
      <c r="J223" s="21" t="n">
        <v>5.3</v>
      </c>
      <c r="K223" s="18" t="inlineStr">
        <is>
          <t>TIJ</t>
        </is>
      </c>
      <c r="L223" s="18" t="inlineStr">
        <is>
          <t>100k +  pop + airport</t>
        </is>
      </c>
      <c r="M223" s="22" t="n">
        <v>0.786</v>
      </c>
      <c r="N223" s="22" t="n">
        <v>0</v>
      </c>
      <c r="O223" s="18" t="n"/>
      <c r="P223" s="22">
        <f>IF(O223="",(About!$B$5*M223+About!$B$6*N223)/(About!$B$5+About!$B$6),About!$B$5*M223+About!$B$6*N223+About!$B$7*O223)</f>
        <v/>
      </c>
      <c r="Q223" s="23" t="n">
        <v>32.5027</v>
      </c>
      <c r="R223" s="23" t="n">
        <v>-117.0037</v>
      </c>
    </row>
    <row r="224" ht="15" customHeight="1" s="12">
      <c r="A224" s="18" t="inlineStr">
        <is>
          <t>Adelaide</t>
        </is>
      </c>
      <c r="B224" s="18" t="inlineStr">
        <is>
          <t>Australia</t>
        </is>
      </c>
      <c r="C224" s="19" t="n">
        <v>27724744</v>
      </c>
      <c r="D224" s="18" t="inlineStr">
        <is>
          <t>AU</t>
        </is>
      </c>
      <c r="E224" s="18" t="inlineStr">
        <is>
          <t>05</t>
        </is>
      </c>
      <c r="F224" s="20" t="n">
        <v>1225235</v>
      </c>
      <c r="G224" s="18" t="n"/>
      <c r="H224" s="18" t="inlineStr">
        <is>
          <t>ADL</t>
        </is>
      </c>
      <c r="I224" s="18" t="inlineStr">
        <is>
          <t>Adelaide International Airport</t>
        </is>
      </c>
      <c r="J224" s="21" t="n">
        <v>6.3</v>
      </c>
      <c r="K224" s="18" t="inlineStr">
        <is>
          <t>ADL</t>
        </is>
      </c>
      <c r="L224" s="18" t="inlineStr">
        <is>
          <t>100k +  pop + airport</t>
        </is>
      </c>
      <c r="M224" s="22" t="n">
        <v>0.786</v>
      </c>
      <c r="N224" s="22" t="n">
        <v>0</v>
      </c>
      <c r="O224" s="18" t="n"/>
      <c r="P224" s="22">
        <f>IF(O224="",(About!$B$5*M224+About!$B$6*N224)/(About!$B$5+About!$B$6),About!$B$5*M224+About!$B$6*N224+About!$B$7*O224)</f>
        <v/>
      </c>
      <c r="Q224" s="23" t="n">
        <v>-34.9287</v>
      </c>
      <c r="R224" s="23" t="n">
        <v>138.5986</v>
      </c>
    </row>
    <row r="225" ht="15" customHeight="1" s="12">
      <c r="A225" s="18" t="inlineStr">
        <is>
          <t>Nashville</t>
        </is>
      </c>
      <c r="B225" s="18" t="inlineStr">
        <is>
          <t>United States</t>
        </is>
      </c>
      <c r="C225" s="19" t="n">
        <v>341784857</v>
      </c>
      <c r="D225" s="18" t="inlineStr">
        <is>
          <t>US</t>
        </is>
      </c>
      <c r="E225" s="18" t="inlineStr">
        <is>
          <t>TN</t>
        </is>
      </c>
      <c r="F225" s="20" t="n">
        <v>530852</v>
      </c>
      <c r="G225" s="18" t="n"/>
      <c r="H225" s="18" t="inlineStr">
        <is>
          <t>BNA</t>
        </is>
      </c>
      <c r="I225" s="18" t="inlineStr">
        <is>
          <t>Nashville International Airport</t>
        </is>
      </c>
      <c r="J225" s="21" t="n">
        <v>10.6</v>
      </c>
      <c r="K225" s="18" t="inlineStr">
        <is>
          <t>BNA</t>
        </is>
      </c>
      <c r="L225" s="18" t="inlineStr">
        <is>
          <t>100k +  pop + airport</t>
        </is>
      </c>
      <c r="M225" s="22" t="n">
        <v>0.786</v>
      </c>
      <c r="N225" s="22" t="n">
        <v>0</v>
      </c>
      <c r="O225" s="18" t="n"/>
      <c r="P225" s="22">
        <f>IF(O225="",(About!$B$5*M225+About!$B$6*N225)/(About!$B$5+About!$B$6),About!$B$5*M225+About!$B$6*N225+About!$B$7*O225)</f>
        <v/>
      </c>
      <c r="Q225" s="23" t="n">
        <v>36.1659</v>
      </c>
      <c r="R225" s="23" t="n">
        <v>-86.78440000000001</v>
      </c>
    </row>
    <row r="226" ht="15" customHeight="1" s="12">
      <c r="A226" s="18" t="inlineStr">
        <is>
          <t>Cairns</t>
        </is>
      </c>
      <c r="B226" s="18" t="inlineStr">
        <is>
          <t>Australia</t>
        </is>
      </c>
      <c r="C226" s="19" t="n">
        <v>27724744</v>
      </c>
      <c r="D226" s="18" t="inlineStr">
        <is>
          <t>AU</t>
        </is>
      </c>
      <c r="E226" s="18" t="inlineStr">
        <is>
          <t>04</t>
        </is>
      </c>
      <c r="F226" s="20" t="n">
        <v>153075</v>
      </c>
      <c r="G226" s="18" t="n"/>
      <c r="H226" s="18" t="inlineStr">
        <is>
          <t>CNS</t>
        </is>
      </c>
      <c r="I226" s="18" t="inlineStr">
        <is>
          <t>Cairns International Airport</t>
        </is>
      </c>
      <c r="J226" s="21" t="n">
        <v>5.3</v>
      </c>
      <c r="K226" s="18" t="inlineStr">
        <is>
          <t>CNS</t>
        </is>
      </c>
      <c r="L226" s="18" t="inlineStr">
        <is>
          <t>100k +  pop + airport</t>
        </is>
      </c>
      <c r="M226" s="22" t="n">
        <v>0.786</v>
      </c>
      <c r="N226" s="22" t="n">
        <v>0</v>
      </c>
      <c r="O226" s="18" t="n"/>
      <c r="P226" s="22">
        <f>IF(O226="",(About!$B$5*M226+About!$B$6*N226)/(About!$B$5+About!$B$6),About!$B$5*M226+About!$B$6*N226+About!$B$7*O226)</f>
        <v/>
      </c>
      <c r="Q226" s="23" t="n">
        <v>-16.9237</v>
      </c>
      <c r="R226" s="23" t="n">
        <v>145.7661</v>
      </c>
    </row>
    <row r="227" ht="15" customHeight="1" s="12">
      <c r="A227" s="18" t="inlineStr">
        <is>
          <t>Dallas</t>
        </is>
      </c>
      <c r="B227" s="18" t="inlineStr">
        <is>
          <t>United States</t>
        </is>
      </c>
      <c r="C227" s="19" t="n">
        <v>341784857</v>
      </c>
      <c r="D227" s="18" t="inlineStr">
        <is>
          <t>US</t>
        </is>
      </c>
      <c r="E227" s="18" t="inlineStr">
        <is>
          <t>TX</t>
        </is>
      </c>
      <c r="F227" s="20" t="n">
        <v>2133411</v>
      </c>
      <c r="G227" s="18" t="n"/>
      <c r="H227" s="18" t="inlineStr">
        <is>
          <t>DAL</t>
        </is>
      </c>
      <c r="I227" s="18" t="inlineStr">
        <is>
          <t>Dallas Love Field</t>
        </is>
      </c>
      <c r="J227" s="21" t="n">
        <v>7.9</v>
      </c>
      <c r="K227" s="18" t="inlineStr">
        <is>
          <t>DAL</t>
        </is>
      </c>
      <c r="L227" s="18" t="inlineStr">
        <is>
          <t>100k +  pop + airport</t>
        </is>
      </c>
      <c r="M227" s="22" t="n">
        <v>0.784</v>
      </c>
      <c r="N227" s="22" t="n">
        <v>0</v>
      </c>
      <c r="O227" s="18" t="n"/>
      <c r="P227" s="22">
        <f>IF(O227="",(About!$B$5*M227+About!$B$6*N227)/(About!$B$5+About!$B$6),About!$B$5*M227+About!$B$6*N227+About!$B$7*O227)</f>
        <v/>
      </c>
      <c r="Q227" s="23" t="n">
        <v>32.7831</v>
      </c>
      <c r="R227" s="23" t="n">
        <v>-96.80670000000001</v>
      </c>
    </row>
    <row r="228" ht="15" customHeight="1" s="12">
      <c r="A228" s="18" t="inlineStr">
        <is>
          <t>Swords</t>
        </is>
      </c>
      <c r="B228" s="18" t="inlineStr">
        <is>
          <t>Ireland</t>
        </is>
      </c>
      <c r="C228" s="19" t="n">
        <v>5458600</v>
      </c>
      <c r="D228" s="18" t="inlineStr">
        <is>
          <t>IE</t>
        </is>
      </c>
      <c r="E228" s="18" t="inlineStr">
        <is>
          <t>L</t>
        </is>
      </c>
      <c r="F228" s="20" t="n">
        <v>36924</v>
      </c>
      <c r="G228" s="18" t="n"/>
      <c r="H228" s="18" t="inlineStr">
        <is>
          <t>DUB</t>
        </is>
      </c>
      <c r="I228" s="18" t="inlineStr">
        <is>
          <t>Dublin Airport</t>
        </is>
      </c>
      <c r="J228" s="21" t="n">
        <v>4.5</v>
      </c>
      <c r="K228" s="18" t="inlineStr">
        <is>
          <t>DUB</t>
        </is>
      </c>
      <c r="L228" s="18" t="inlineStr">
        <is>
          <t>airport</t>
        </is>
      </c>
      <c r="M228" s="22" t="n">
        <v>0.781</v>
      </c>
      <c r="N228" s="22" t="n">
        <v>0</v>
      </c>
      <c r="O228" s="18" t="n"/>
      <c r="P228" s="22">
        <f>IF(O228="",(About!$B$5*M228+About!$B$6*N228)/(About!$B$5+About!$B$6),About!$B$5*M228+About!$B$6*N228+About!$B$7*O228)</f>
        <v/>
      </c>
      <c r="Q228" s="23" t="n">
        <v>53.4597</v>
      </c>
      <c r="R228" s="23" t="n">
        <v>-6.2181</v>
      </c>
    </row>
    <row r="229" ht="15" customHeight="1" s="12">
      <c r="A229" s="18" t="inlineStr">
        <is>
          <t>Chongqing</t>
        </is>
      </c>
      <c r="B229" s="18" t="inlineStr">
        <is>
          <t>China</t>
        </is>
      </c>
      <c r="C229" s="19" t="n">
        <v>1404890000</v>
      </c>
      <c r="D229" s="18" t="inlineStr">
        <is>
          <t>CN</t>
        </is>
      </c>
      <c r="E229" s="18" t="inlineStr">
        <is>
          <t>33</t>
        </is>
      </c>
      <c r="F229" s="20" t="n">
        <v>7457600</v>
      </c>
      <c r="G229" s="18" t="n"/>
      <c r="H229" s="18" t="inlineStr">
        <is>
          <t>CKG</t>
        </is>
      </c>
      <c r="I229" s="18" t="inlineStr">
        <is>
          <t>Chongqing Jiangbei International Airport</t>
        </is>
      </c>
      <c r="J229" s="21" t="n">
        <v>19.2</v>
      </c>
      <c r="K229" s="18" t="inlineStr">
        <is>
          <t>CKG</t>
        </is>
      </c>
      <c r="L229" s="18" t="inlineStr">
        <is>
          <t>100k +  pop + airport</t>
        </is>
      </c>
      <c r="M229" s="22" t="n">
        <v>0.781</v>
      </c>
      <c r="N229" s="22" t="n">
        <v>0</v>
      </c>
      <c r="O229" s="18" t="n"/>
      <c r="P229" s="22">
        <f>IF(O229="",(About!$B$5*M229+About!$B$6*N229)/(About!$B$5+About!$B$6),About!$B$5*M229+About!$B$6*N229+About!$B$7*O229)</f>
        <v/>
      </c>
      <c r="Q229" s="23" t="n">
        <v>29.5628</v>
      </c>
      <c r="R229" s="23" t="n">
        <v>106.5528</v>
      </c>
    </row>
    <row r="230" ht="15" customHeight="1" s="12">
      <c r="A230" s="18" t="inlineStr">
        <is>
          <t>Guadalajara</t>
        </is>
      </c>
      <c r="B230" s="18" t="inlineStr">
        <is>
          <t>Mexico</t>
        </is>
      </c>
      <c r="C230" s="19" t="n">
        <v>131150866</v>
      </c>
      <c r="D230" s="18" t="inlineStr">
        <is>
          <t>MX</t>
        </is>
      </c>
      <c r="E230" s="18" t="inlineStr">
        <is>
          <t>14</t>
        </is>
      </c>
      <c r="F230" s="20" t="n">
        <v>3758639</v>
      </c>
      <c r="G230" s="18" t="n"/>
      <c r="H230" s="18" t="inlineStr">
        <is>
          <t>GDL</t>
        </is>
      </c>
      <c r="I230" s="18" t="inlineStr">
        <is>
          <t>Guadalajara International Airport</t>
        </is>
      </c>
      <c r="J230" s="21" t="n">
        <v>18.1</v>
      </c>
      <c r="K230" s="18" t="inlineStr">
        <is>
          <t>GDL</t>
        </is>
      </c>
      <c r="L230" s="18" t="inlineStr">
        <is>
          <t>100k +  pop + airport</t>
        </is>
      </c>
      <c r="M230" s="22" t="n">
        <v>0.781</v>
      </c>
      <c r="N230" s="22" t="n">
        <v>0</v>
      </c>
      <c r="O230" s="18" t="n"/>
      <c r="P230" s="22">
        <f>IF(O230="",(About!$B$5*M230+About!$B$6*N230)/(About!$B$5+About!$B$6),About!$B$5*M230+About!$B$6*N230+About!$B$7*O230)</f>
        <v/>
      </c>
      <c r="Q230" s="23" t="n">
        <v>20.6668</v>
      </c>
      <c r="R230" s="23" t="n">
        <v>-103.3918</v>
      </c>
    </row>
    <row r="231" ht="15" customHeight="1" s="12">
      <c r="A231" s="18" t="inlineStr">
        <is>
          <t>Stuttgart</t>
        </is>
      </c>
      <c r="B231" s="18" t="inlineStr">
        <is>
          <t>Germany</t>
        </is>
      </c>
      <c r="C231" s="19" t="n">
        <v>83497147</v>
      </c>
      <c r="D231" s="18" t="inlineStr">
        <is>
          <t>DE</t>
        </is>
      </c>
      <c r="E231" s="18" t="inlineStr">
        <is>
          <t>01</t>
        </is>
      </c>
      <c r="F231" s="20" t="n">
        <v>589793</v>
      </c>
      <c r="G231" s="18" t="n"/>
      <c r="H231" s="18" t="inlineStr">
        <is>
          <t>STR</t>
        </is>
      </c>
      <c r="I231" s="18" t="inlineStr">
        <is>
          <t>Stuttgart Airport</t>
        </is>
      </c>
      <c r="J231" s="21" t="n">
        <v>10.8</v>
      </c>
      <c r="K231" s="18" t="inlineStr">
        <is>
          <t>STR</t>
        </is>
      </c>
      <c r="L231" s="18" t="inlineStr">
        <is>
          <t>100k +  pop + airport</t>
        </is>
      </c>
      <c r="M231" s="22" t="n">
        <v>0.78</v>
      </c>
      <c r="N231" s="22" t="n">
        <v>0</v>
      </c>
      <c r="O231" s="18" t="n"/>
      <c r="P231" s="22">
        <f>IF(O231="",(About!$B$5*M231+About!$B$6*N231)/(About!$B$5+About!$B$6),About!$B$5*M231+About!$B$6*N231+About!$B$7*O231)</f>
        <v/>
      </c>
      <c r="Q231" s="23" t="n">
        <v>48.7823</v>
      </c>
      <c r="R231" s="23" t="n">
        <v>9.177</v>
      </c>
    </row>
    <row r="232" ht="15" customHeight="1" s="12">
      <c r="A232" s="18" t="inlineStr">
        <is>
          <t>Tampa</t>
        </is>
      </c>
      <c r="B232" s="18" t="inlineStr">
        <is>
          <t>United States</t>
        </is>
      </c>
      <c r="C232" s="19" t="n">
        <v>341784857</v>
      </c>
      <c r="D232" s="18" t="inlineStr">
        <is>
          <t>US</t>
        </is>
      </c>
      <c r="E232" s="18" t="inlineStr">
        <is>
          <t>FL</t>
        </is>
      </c>
      <c r="F232" s="20" t="n">
        <v>369075</v>
      </c>
      <c r="G232" s="18" t="n"/>
      <c r="H232" s="18" t="inlineStr">
        <is>
          <t>TPA</t>
        </is>
      </c>
      <c r="I232" s="18" t="inlineStr">
        <is>
          <t>Tampa International Airport</t>
        </is>
      </c>
      <c r="J232" s="21" t="n">
        <v>8</v>
      </c>
      <c r="K232" s="18" t="inlineStr">
        <is>
          <t>PIE+TPA</t>
        </is>
      </c>
      <c r="L232" s="18" t="inlineStr">
        <is>
          <t>100k +  pop + airport</t>
        </is>
      </c>
      <c r="M232" s="22" t="n">
        <v>0.781</v>
      </c>
      <c r="N232" s="22" t="n">
        <v>0</v>
      </c>
      <c r="O232" s="18" t="n"/>
      <c r="P232" s="22">
        <f>IF(O232="",(About!$B$5*M232+About!$B$6*N232)/(About!$B$5+About!$B$6),About!$B$5*M232+About!$B$6*N232+About!$B$7*O232)</f>
        <v/>
      </c>
      <c r="Q232" s="23" t="n">
        <v>27.9475</v>
      </c>
      <c r="R232" s="23" t="n">
        <v>-82.4584</v>
      </c>
    </row>
    <row r="233" ht="15" customHeight="1" s="12">
      <c r="A233" s="18" t="inlineStr">
        <is>
          <t>Reutlingen</t>
        </is>
      </c>
      <c r="B233" s="18" t="inlineStr">
        <is>
          <t>Germany</t>
        </is>
      </c>
      <c r="C233" s="19" t="n">
        <v>83497147</v>
      </c>
      <c r="D233" s="18" t="inlineStr">
        <is>
          <t>DE</t>
        </is>
      </c>
      <c r="E233" s="18" t="inlineStr">
        <is>
          <t>01</t>
        </is>
      </c>
      <c r="F233" s="20" t="n">
        <v>112627</v>
      </c>
      <c r="G233" s="18" t="n"/>
      <c r="H233" s="18" t="inlineStr">
        <is>
          <t>STR</t>
        </is>
      </c>
      <c r="I233" s="18" t="inlineStr">
        <is>
          <t>Stuttgart Airport</t>
        </is>
      </c>
      <c r="J233" s="21" t="n">
        <v>22.1</v>
      </c>
      <c r="K233" s="18" t="inlineStr">
        <is>
          <t>STR</t>
        </is>
      </c>
      <c r="L233" s="18" t="inlineStr">
        <is>
          <t>100k +  pop</t>
        </is>
      </c>
      <c r="M233" s="22" t="n">
        <v>0.78</v>
      </c>
      <c r="N233" s="22" t="n">
        <v>0</v>
      </c>
      <c r="O233" s="18" t="n"/>
      <c r="P233" s="22">
        <f>IF(O233="",(About!$B$5*M233+About!$B$6*N233)/(About!$B$5+About!$B$6),About!$B$5*M233+About!$B$6*N233+About!$B$7*O233)</f>
        <v/>
      </c>
      <c r="Q233" s="23" t="n">
        <v>48.4914</v>
      </c>
      <c r="R233" s="23" t="n">
        <v>9.2043</v>
      </c>
    </row>
    <row r="234" ht="15" customHeight="1" s="12">
      <c r="A234" s="18" t="inlineStr">
        <is>
          <t>Nadi</t>
        </is>
      </c>
      <c r="B234" s="18" t="inlineStr">
        <is>
          <t>Fiji</t>
        </is>
      </c>
      <c r="C234" s="19" t="n">
        <v>902623</v>
      </c>
      <c r="D234" s="18" t="inlineStr">
        <is>
          <t>FJ</t>
        </is>
      </c>
      <c r="E234" s="18" t="inlineStr">
        <is>
          <t>05</t>
        </is>
      </c>
      <c r="F234" s="20" t="n">
        <v>42284</v>
      </c>
      <c r="G234" s="18" t="n"/>
      <c r="H234" s="18" t="inlineStr">
        <is>
          <t>NAN</t>
        </is>
      </c>
      <c r="I234" s="18" t="inlineStr">
        <is>
          <t>Nadi International Airport</t>
        </is>
      </c>
      <c r="J234" s="21" t="n">
        <v>5.1</v>
      </c>
      <c r="K234" s="18" t="inlineStr">
        <is>
          <t>NAN+PTF</t>
        </is>
      </c>
      <c r="L234" s="18" t="inlineStr">
        <is>
          <t>airport</t>
        </is>
      </c>
      <c r="M234" s="22" t="n">
        <v>0.78</v>
      </c>
      <c r="N234" s="22" t="n">
        <v>0</v>
      </c>
      <c r="O234" s="18" t="n"/>
      <c r="P234" s="22">
        <f>IF(O234="",(About!$B$5*M234+About!$B$6*N234)/(About!$B$5+About!$B$6),About!$B$5*M234+About!$B$6*N234+About!$B$7*O234)</f>
        <v/>
      </c>
      <c r="Q234" s="23" t="n">
        <v>-17.8031</v>
      </c>
      <c r="R234" s="23" t="n">
        <v>177.4162</v>
      </c>
    </row>
    <row r="235" ht="15" customHeight="1" s="12">
      <c r="A235" s="18" t="inlineStr">
        <is>
          <t>Tarawa</t>
        </is>
      </c>
      <c r="B235" s="18" t="inlineStr">
        <is>
          <t>Kiribati</t>
        </is>
      </c>
      <c r="C235" s="19" t="n">
        <v>120740</v>
      </c>
      <c r="D235" s="18" t="inlineStr">
        <is>
          <t>KI</t>
        </is>
      </c>
      <c r="E235" s="18" t="inlineStr">
        <is>
          <t>01</t>
        </is>
      </c>
      <c r="F235" s="20" t="n">
        <v>40311</v>
      </c>
      <c r="G235" s="18" t="inlineStr">
        <is>
          <t>Yes</t>
        </is>
      </c>
      <c r="H235" s="18" t="inlineStr">
        <is>
          <t>TRW</t>
        </is>
      </c>
      <c r="I235" s="18" t="inlineStr">
        <is>
          <t>Bonriki International Airport</t>
        </is>
      </c>
      <c r="J235" s="21" t="n">
        <v>19.8</v>
      </c>
      <c r="K235" s="18" t="inlineStr">
        <is>
          <t>TRW</t>
        </is>
      </c>
      <c r="L235" s="18" t="inlineStr">
        <is>
          <t>capital</t>
        </is>
      </c>
      <c r="M235" s="22" t="n">
        <v>0.781</v>
      </c>
      <c r="N235" s="22" t="n">
        <v>0</v>
      </c>
      <c r="O235" s="18" t="n"/>
      <c r="P235" s="22">
        <f>IF(O235="",(About!$B$5*M235+About!$B$6*N235)/(About!$B$5+About!$B$6),About!$B$5*M235+About!$B$6*N235+About!$B$7*O235)</f>
        <v/>
      </c>
      <c r="Q235" s="23" t="n">
        <v>1.3278</v>
      </c>
      <c r="R235" s="23" t="n">
        <v>172.977</v>
      </c>
    </row>
    <row r="236" ht="15" customHeight="1" s="12">
      <c r="A236" s="18" t="inlineStr">
        <is>
          <t>Kolkata</t>
        </is>
      </c>
      <c r="B236" s="18" t="inlineStr">
        <is>
          <t>India</t>
        </is>
      </c>
      <c r="C236" s="19" t="n">
        <v>1417492000</v>
      </c>
      <c r="D236" s="18" t="inlineStr">
        <is>
          <t>IN</t>
        </is>
      </c>
      <c r="E236" s="18" t="inlineStr">
        <is>
          <t>28</t>
        </is>
      </c>
      <c r="F236" s="20" t="n">
        <v>9049134</v>
      </c>
      <c r="G236" s="18" t="n"/>
      <c r="H236" s="18" t="inlineStr">
        <is>
          <t>CCU</t>
        </is>
      </c>
      <c r="I236" s="18" t="inlineStr">
        <is>
          <t>Netaji Subhash Chandra Bose International Airport</t>
        </is>
      </c>
      <c r="J236" s="21" t="n">
        <v>13.4</v>
      </c>
      <c r="K236" s="18" t="inlineStr">
        <is>
          <t>CCU</t>
        </is>
      </c>
      <c r="L236" s="18" t="inlineStr">
        <is>
          <t>100k +  pop + airport</t>
        </is>
      </c>
      <c r="M236" s="22" t="n">
        <v>0.778</v>
      </c>
      <c r="N236" s="22" t="n">
        <v>0</v>
      </c>
      <c r="O236" s="18" t="n"/>
      <c r="P236" s="22">
        <f>IF(O236="",(About!$B$5*M236+About!$B$6*N236)/(About!$B$5+About!$B$6),About!$B$5*M236+About!$B$6*N236+About!$B$7*O236)</f>
        <v/>
      </c>
      <c r="Q236" s="23" t="n">
        <v>22.5626</v>
      </c>
      <c r="R236" s="23" t="n">
        <v>88.363</v>
      </c>
    </row>
    <row r="237" ht="15" customHeight="1" s="12">
      <c r="A237" s="18" t="inlineStr">
        <is>
          <t>Pittsburgh</t>
        </is>
      </c>
      <c r="B237" s="18" t="inlineStr">
        <is>
          <t>United States</t>
        </is>
      </c>
      <c r="C237" s="19" t="n">
        <v>341784857</v>
      </c>
      <c r="D237" s="18" t="inlineStr">
        <is>
          <t>US</t>
        </is>
      </c>
      <c r="E237" s="18" t="inlineStr">
        <is>
          <t>PA</t>
        </is>
      </c>
      <c r="F237" s="20" t="n">
        <v>304391</v>
      </c>
      <c r="G237" s="18" t="n"/>
      <c r="H237" s="18" t="inlineStr">
        <is>
          <t>PIT</t>
        </is>
      </c>
      <c r="I237" s="18" t="inlineStr">
        <is>
          <t>Pittsburgh International Airport</t>
        </is>
      </c>
      <c r="J237" s="21" t="n">
        <v>20.8</v>
      </c>
      <c r="K237" s="18" t="inlineStr">
        <is>
          <t>PIT</t>
        </is>
      </c>
      <c r="L237" s="18" t="inlineStr">
        <is>
          <t>100k +  pop + airport</t>
        </is>
      </c>
      <c r="M237" s="22" t="n">
        <v>0.774</v>
      </c>
      <c r="N237" s="22" t="n">
        <v>0</v>
      </c>
      <c r="O237" s="18" t="n"/>
      <c r="P237" s="22">
        <f>IF(O237="",(About!$B$5*M237+About!$B$6*N237)/(About!$B$5+About!$B$6),About!$B$5*M237+About!$B$6*N237+About!$B$7*O237)</f>
        <v/>
      </c>
      <c r="Q237" s="23" t="n">
        <v>40.4406</v>
      </c>
      <c r="R237" s="23" t="n">
        <v>-79.99590000000001</v>
      </c>
    </row>
    <row r="238" ht="15" customHeight="1" s="12">
      <c r="A238" s="18" t="inlineStr">
        <is>
          <t>Chennai</t>
        </is>
      </c>
      <c r="B238" s="18" t="inlineStr">
        <is>
          <t>India</t>
        </is>
      </c>
      <c r="C238" s="19" t="n">
        <v>1417492000</v>
      </c>
      <c r="D238" s="18" t="inlineStr">
        <is>
          <t>IN</t>
        </is>
      </c>
      <c r="E238" s="18" t="inlineStr">
        <is>
          <t>25</t>
        </is>
      </c>
      <c r="F238" s="20" t="n">
        <v>5167215</v>
      </c>
      <c r="G238" s="18" t="n"/>
      <c r="H238" s="18" t="inlineStr">
        <is>
          <t>MAA</t>
        </is>
      </c>
      <c r="I238" s="18" t="inlineStr">
        <is>
          <t>Chennai International Airport</t>
        </is>
      </c>
      <c r="J238" s="21" t="n">
        <v>16.1</v>
      </c>
      <c r="K238" s="18" t="inlineStr">
        <is>
          <t>MAA</t>
        </is>
      </c>
      <c r="L238" s="18" t="inlineStr">
        <is>
          <t>100k +  pop + airport</t>
        </is>
      </c>
      <c r="M238" s="22" t="n">
        <v>0.772</v>
      </c>
      <c r="N238" s="22" t="n">
        <v>0</v>
      </c>
      <c r="O238" s="18" t="n"/>
      <c r="P238" s="22">
        <f>IF(O238="",(About!$B$5*M238+About!$B$6*N238)/(About!$B$5+About!$B$6),About!$B$5*M238+About!$B$6*N238+About!$B$7*O238)</f>
        <v/>
      </c>
      <c r="Q238" s="23" t="n">
        <v>13.0878</v>
      </c>
      <c r="R238" s="23" t="n">
        <v>80.27849999999999</v>
      </c>
    </row>
    <row r="239" ht="15" customHeight="1" s="12">
      <c r="A239" s="18" t="inlineStr">
        <is>
          <t>Casablanca</t>
        </is>
      </c>
      <c r="B239" s="18" t="inlineStr">
        <is>
          <t>Morocco</t>
        </is>
      </c>
      <c r="C239" s="19" t="n">
        <v>36828330</v>
      </c>
      <c r="D239" s="18" t="inlineStr">
        <is>
          <t>MA</t>
        </is>
      </c>
      <c r="E239" s="18" t="inlineStr">
        <is>
          <t>06</t>
        </is>
      </c>
      <c r="F239" s="20" t="n">
        <v>3144909</v>
      </c>
      <c r="G239" s="18" t="n"/>
      <c r="H239" s="18" t="inlineStr">
        <is>
          <t>CMN</t>
        </is>
      </c>
      <c r="I239" s="18" t="inlineStr">
        <is>
          <t>Mohammed V International Airport</t>
        </is>
      </c>
      <c r="J239" s="21" t="n">
        <v>24.6</v>
      </c>
      <c r="K239" s="18" t="inlineStr">
        <is>
          <t>CMN</t>
        </is>
      </c>
      <c r="L239" s="18" t="inlineStr">
        <is>
          <t>100k +  pop + airport</t>
        </is>
      </c>
      <c r="M239" s="22" t="n">
        <v>0.772</v>
      </c>
      <c r="N239" s="22" t="n">
        <v>0</v>
      </c>
      <c r="O239" s="18" t="n"/>
      <c r="P239" s="22">
        <f>IF(O239="",(About!$B$5*M239+About!$B$6*N239)/(About!$B$5+About!$B$6),About!$B$5*M239+About!$B$6*N239+About!$B$7*O239)</f>
        <v/>
      </c>
      <c r="Q239" s="23" t="n">
        <v>33.5883</v>
      </c>
      <c r="R239" s="23" t="n">
        <v>-7.6114</v>
      </c>
    </row>
    <row r="240" ht="15" customHeight="1" s="12">
      <c r="A240" s="18" t="inlineStr">
        <is>
          <t>Wuhan</t>
        </is>
      </c>
      <c r="B240" s="18" t="inlineStr">
        <is>
          <t>China</t>
        </is>
      </c>
      <c r="C240" s="19" t="n">
        <v>1404890000</v>
      </c>
      <c r="D240" s="18" t="inlineStr">
        <is>
          <t>CN</t>
        </is>
      </c>
      <c r="E240" s="18" t="inlineStr">
        <is>
          <t>12</t>
        </is>
      </c>
      <c r="F240" s="20" t="n">
        <v>9785388</v>
      </c>
      <c r="G240" s="18" t="n"/>
      <c r="H240" s="18" t="inlineStr">
        <is>
          <t>WUH</t>
        </is>
      </c>
      <c r="I240" s="18" t="inlineStr">
        <is>
          <t>Wuhan Tianhe International Airport</t>
        </is>
      </c>
      <c r="J240" s="21" t="n">
        <v>21.9</v>
      </c>
      <c r="K240" s="18" t="inlineStr">
        <is>
          <t>WUH</t>
        </is>
      </c>
      <c r="L240" s="18" t="inlineStr">
        <is>
          <t>100k +  pop</t>
        </is>
      </c>
      <c r="M240" s="22" t="n">
        <v>0.77</v>
      </c>
      <c r="N240" s="22" t="n">
        <v>0</v>
      </c>
      <c r="O240" s="18" t="n"/>
      <c r="P240" s="22">
        <f>IF(O240="",(About!$B$5*M240+About!$B$6*N240)/(About!$B$5+About!$B$6),About!$B$5*M240+About!$B$6*N240+About!$B$7*O240)</f>
        <v/>
      </c>
      <c r="Q240" s="23" t="n">
        <v>30.5833</v>
      </c>
      <c r="R240" s="23" t="n">
        <v>114.2667</v>
      </c>
    </row>
    <row r="241" ht="15" customHeight="1" s="12">
      <c r="A241" s="18" t="inlineStr">
        <is>
          <t>Nanjing</t>
        </is>
      </c>
      <c r="B241" s="18" t="inlineStr">
        <is>
          <t>China</t>
        </is>
      </c>
      <c r="C241" s="19" t="n">
        <v>1404890000</v>
      </c>
      <c r="D241" s="18" t="inlineStr">
        <is>
          <t>CN</t>
        </is>
      </c>
      <c r="E241" s="18" t="inlineStr">
        <is>
          <t>04</t>
        </is>
      </c>
      <c r="F241" s="20" t="n">
        <v>7165292</v>
      </c>
      <c r="G241" s="18" t="n"/>
      <c r="H241" s="18" t="inlineStr">
        <is>
          <t>NKG</t>
        </is>
      </c>
      <c r="I241" s="18" t="inlineStr">
        <is>
          <t>Nanjing Lukou International Airport</t>
        </is>
      </c>
      <c r="J241" s="21" t="n">
        <v>37.3</v>
      </c>
      <c r="K241" s="18" t="inlineStr">
        <is>
          <t>NKG</t>
        </is>
      </c>
      <c r="L241" s="18" t="inlineStr">
        <is>
          <t>100k +  pop + airport</t>
        </is>
      </c>
      <c r="M241" s="22" t="n">
        <v>0.771</v>
      </c>
      <c r="N241" s="22" t="n">
        <v>0</v>
      </c>
      <c r="O241" s="18" t="n"/>
      <c r="P241" s="22">
        <f>IF(O241="",(About!$B$5*M241+About!$B$6*N241)/(About!$B$5+About!$B$6),About!$B$5*M241+About!$B$6*N241+About!$B$7*O241)</f>
        <v/>
      </c>
      <c r="Q241" s="23" t="n">
        <v>32.0617</v>
      </c>
      <c r="R241" s="23" t="n">
        <v>118.7778</v>
      </c>
    </row>
    <row r="242" ht="15" customHeight="1" s="12">
      <c r="A242" s="18" t="inlineStr">
        <is>
          <t>Lagos</t>
        </is>
      </c>
      <c r="B242" s="18" t="inlineStr">
        <is>
          <t>Nigeria</t>
        </is>
      </c>
      <c r="C242" s="19" t="n">
        <v>223800000</v>
      </c>
      <c r="D242" s="18" t="inlineStr">
        <is>
          <t>NG</t>
        </is>
      </c>
      <c r="E242" s="18" t="inlineStr">
        <is>
          <t>05</t>
        </is>
      </c>
      <c r="F242" s="20" t="n">
        <v>9848815</v>
      </c>
      <c r="G242" s="18" t="n"/>
      <c r="H242" s="18" t="inlineStr">
        <is>
          <t>LOS</t>
        </is>
      </c>
      <c r="I242" s="18" t="inlineStr">
        <is>
          <t>Murtala Muhammed International Airport</t>
        </is>
      </c>
      <c r="J242" s="21" t="n">
        <v>15.9</v>
      </c>
      <c r="K242" s="18" t="inlineStr">
        <is>
          <t>LOS</t>
        </is>
      </c>
      <c r="L242" s="18" t="inlineStr">
        <is>
          <t>100k +  pop + airport</t>
        </is>
      </c>
      <c r="M242" s="22" t="n">
        <v>0.768</v>
      </c>
      <c r="N242" s="22" t="n">
        <v>0</v>
      </c>
      <c r="O242" s="18" t="n"/>
      <c r="P242" s="22">
        <f>IF(O242="",(About!$B$5*M242+About!$B$6*N242)/(About!$B$5+About!$B$6),About!$B$5*M242+About!$B$6*N242+About!$B$7*O242)</f>
        <v/>
      </c>
      <c r="Q242" s="23" t="n">
        <v>6.4541</v>
      </c>
      <c r="R242" s="23" t="n">
        <v>3.3947</v>
      </c>
    </row>
    <row r="243" ht="15" customHeight="1" s="12">
      <c r="A243" s="18" t="inlineStr">
        <is>
          <t>Birmingham</t>
        </is>
      </c>
      <c r="B243" s="18" t="inlineStr">
        <is>
          <t>United Kingdom</t>
        </is>
      </c>
      <c r="C243" s="19" t="n">
        <v>69487000</v>
      </c>
      <c r="D243" s="18" t="inlineStr">
        <is>
          <t>GB</t>
        </is>
      </c>
      <c r="E243" s="18" t="inlineStr">
        <is>
          <t>ENG</t>
        </is>
      </c>
      <c r="F243" s="20" t="n">
        <v>984333</v>
      </c>
      <c r="G243" s="18" t="n"/>
      <c r="H243" s="18" t="inlineStr">
        <is>
          <t>BHX</t>
        </is>
      </c>
      <c r="I243" s="18" t="inlineStr">
        <is>
          <t>Birmingham Airport</t>
        </is>
      </c>
      <c r="J243" s="21" t="n">
        <v>10.7</v>
      </c>
      <c r="K243" s="18" t="inlineStr">
        <is>
          <t>BHX</t>
        </is>
      </c>
      <c r="L243" s="18" t="inlineStr">
        <is>
          <t>100k +  pop</t>
        </is>
      </c>
      <c r="M243" s="22" t="n">
        <v>0.768</v>
      </c>
      <c r="N243" s="22" t="n">
        <v>0</v>
      </c>
      <c r="O243" s="18" t="n"/>
      <c r="P243" s="22">
        <f>IF(O243="",(About!$B$5*M243+About!$B$6*N243)/(About!$B$5+About!$B$6),About!$B$5*M243+About!$B$6*N243+About!$B$7*O243)</f>
        <v/>
      </c>
      <c r="Q243" s="23" t="n">
        <v>52.4814</v>
      </c>
      <c r="R243" s="23" t="n">
        <v>-1.8998</v>
      </c>
    </row>
    <row r="244" ht="15" customHeight="1" s="12">
      <c r="A244" s="18" t="inlineStr">
        <is>
          <t>Scarborough</t>
        </is>
      </c>
      <c r="B244" s="18" t="inlineStr">
        <is>
          <t>Canada</t>
        </is>
      </c>
      <c r="C244" s="19" t="n">
        <v>41472081</v>
      </c>
      <c r="D244" s="18" t="inlineStr">
        <is>
          <t>CA</t>
        </is>
      </c>
      <c r="E244" s="18" t="inlineStr">
        <is>
          <t>08</t>
        </is>
      </c>
      <c r="F244" s="20" t="n">
        <v>600000</v>
      </c>
      <c r="G244" s="18" t="n"/>
      <c r="H244" s="18" t="inlineStr">
        <is>
          <t>YTZ</t>
        </is>
      </c>
      <c r="I244" s="18" t="inlineStr">
        <is>
          <t>Billy Bishop Toronto City Airport</t>
        </is>
      </c>
      <c r="J244" s="21" t="n">
        <v>19.6</v>
      </c>
      <c r="K244" s="18" t="inlineStr">
        <is>
          <t>YTZ</t>
        </is>
      </c>
      <c r="L244" s="18" t="inlineStr">
        <is>
          <t>100k +  pop</t>
        </is>
      </c>
      <c r="M244" s="22" t="n">
        <v>0.767</v>
      </c>
      <c r="N244" s="22" t="n">
        <v>0</v>
      </c>
      <c r="O244" s="18" t="n"/>
      <c r="P244" s="22">
        <f>IF(O244="",(About!$B$5*M244+About!$B$6*N244)/(About!$B$5+About!$B$6),About!$B$5*M244+About!$B$6*N244+About!$B$7*O244)</f>
        <v/>
      </c>
      <c r="Q244" s="23" t="n">
        <v>43.7722</v>
      </c>
      <c r="R244" s="23" t="n">
        <v>-79.2567</v>
      </c>
    </row>
    <row r="245" ht="15" customHeight="1" s="12">
      <c r="A245" s="18" t="inlineStr">
        <is>
          <t>Coventry</t>
        </is>
      </c>
      <c r="B245" s="18" t="inlineStr">
        <is>
          <t>United Kingdom</t>
        </is>
      </c>
      <c r="C245" s="19" t="n">
        <v>69487000</v>
      </c>
      <c r="D245" s="18" t="inlineStr">
        <is>
          <t>GB</t>
        </is>
      </c>
      <c r="E245" s="18" t="inlineStr">
        <is>
          <t>ENG</t>
        </is>
      </c>
      <c r="F245" s="20" t="n">
        <v>359262</v>
      </c>
      <c r="G245" s="18" t="n"/>
      <c r="H245" s="18" t="inlineStr">
        <is>
          <t>BHX</t>
        </is>
      </c>
      <c r="I245" s="18" t="inlineStr">
        <is>
          <t>Birmingham Airport</t>
        </is>
      </c>
      <c r="J245" s="21" t="n">
        <v>16.8</v>
      </c>
      <c r="K245" s="18" t="inlineStr">
        <is>
          <t>BHX</t>
        </is>
      </c>
      <c r="L245" s="18" t="inlineStr">
        <is>
          <t>100k +  pop</t>
        </is>
      </c>
      <c r="M245" s="22" t="n">
        <v>0.768</v>
      </c>
      <c r="N245" s="22" t="n">
        <v>0</v>
      </c>
      <c r="O245" s="18" t="n"/>
      <c r="P245" s="22">
        <f>IF(O245="",(About!$B$5*M245+About!$B$6*N245)/(About!$B$5+About!$B$6),About!$B$5*M245+About!$B$6*N245+About!$B$7*O245)</f>
        <v/>
      </c>
      <c r="Q245" s="23" t="n">
        <v>52.4066</v>
      </c>
      <c r="R245" s="23" t="n">
        <v>-1.5122</v>
      </c>
    </row>
    <row r="246" ht="15" customHeight="1" s="12">
      <c r="A246" s="18" t="inlineStr">
        <is>
          <t>Anaheim</t>
        </is>
      </c>
      <c r="B246" s="18" t="inlineStr">
        <is>
          <t>United States</t>
        </is>
      </c>
      <c r="C246" s="19" t="n">
        <v>341784857</v>
      </c>
      <c r="D246" s="18" t="inlineStr">
        <is>
          <t>US</t>
        </is>
      </c>
      <c r="E246" s="18" t="inlineStr">
        <is>
          <t>CA</t>
        </is>
      </c>
      <c r="F246" s="20" t="n">
        <v>350742</v>
      </c>
      <c r="G246" s="18" t="n"/>
      <c r="H246" s="18" t="inlineStr">
        <is>
          <t>SNA</t>
        </is>
      </c>
      <c r="I246" s="18" t="inlineStr">
        <is>
          <t>John Wayne Orange County International Airport</t>
        </is>
      </c>
      <c r="J246" s="21" t="n">
        <v>18.3</v>
      </c>
      <c r="K246" s="18" t="inlineStr">
        <is>
          <t>LGB+SNA</t>
        </is>
      </c>
      <c r="L246" s="18" t="inlineStr">
        <is>
          <t>100k +  pop</t>
        </is>
      </c>
      <c r="M246" s="22" t="n">
        <v>0.767</v>
      </c>
      <c r="N246" s="22" t="n">
        <v>0</v>
      </c>
      <c r="O246" s="18" t="n"/>
      <c r="P246" s="22">
        <f>IF(O246="",(About!$B$5*M246+About!$B$6*N246)/(About!$B$5+About!$B$6),About!$B$5*M246+About!$B$6*N246+About!$B$7*O246)</f>
        <v/>
      </c>
      <c r="Q246" s="23" t="n">
        <v>33.8353</v>
      </c>
      <c r="R246" s="23" t="n">
        <v>-117.9145</v>
      </c>
    </row>
    <row r="247" ht="15" customHeight="1" s="12">
      <c r="A247" s="18" t="inlineStr">
        <is>
          <t>Dudley</t>
        </is>
      </c>
      <c r="B247" s="18" t="inlineStr">
        <is>
          <t>United Kingdom</t>
        </is>
      </c>
      <c r="C247" s="19" t="n">
        <v>69487000</v>
      </c>
      <c r="D247" s="18" t="inlineStr">
        <is>
          <t>GB</t>
        </is>
      </c>
      <c r="E247" s="18" t="inlineStr">
        <is>
          <t>ENG</t>
        </is>
      </c>
      <c r="F247" s="20" t="n">
        <v>199059</v>
      </c>
      <c r="G247" s="18" t="n"/>
      <c r="H247" s="18" t="inlineStr">
        <is>
          <t>BHX</t>
        </is>
      </c>
      <c r="I247" s="18" t="inlineStr">
        <is>
          <t>Birmingham Airport</t>
        </is>
      </c>
      <c r="J247" s="21" t="n">
        <v>23.3</v>
      </c>
      <c r="K247" s="18" t="inlineStr">
        <is>
          <t>BHX</t>
        </is>
      </c>
      <c r="L247" s="18" t="inlineStr">
        <is>
          <t>100k +  pop</t>
        </is>
      </c>
      <c r="M247" s="22" t="n">
        <v>0.768</v>
      </c>
      <c r="N247" s="22" t="n">
        <v>0</v>
      </c>
      <c r="O247" s="18" t="n"/>
      <c r="P247" s="22">
        <f>IF(O247="",(About!$B$5*M247+About!$B$6*N247)/(About!$B$5+About!$B$6),About!$B$5*M247+About!$B$6*N247+About!$B$7*O247)</f>
        <v/>
      </c>
      <c r="Q247" s="23" t="n">
        <v>52.5</v>
      </c>
      <c r="R247" s="23" t="n">
        <v>-2.0833</v>
      </c>
    </row>
    <row r="248" ht="15" customHeight="1" s="12">
      <c r="A248" s="18" t="inlineStr">
        <is>
          <t>Walsall</t>
        </is>
      </c>
      <c r="B248" s="18" t="inlineStr">
        <is>
          <t>United Kingdom</t>
        </is>
      </c>
      <c r="C248" s="19" t="n">
        <v>69487000</v>
      </c>
      <c r="D248" s="18" t="inlineStr">
        <is>
          <t>GB</t>
        </is>
      </c>
      <c r="E248" s="18" t="inlineStr">
        <is>
          <t>ENG</t>
        </is>
      </c>
      <c r="F248" s="20" t="n">
        <v>172141</v>
      </c>
      <c r="G248" s="18" t="n"/>
      <c r="H248" s="18" t="inlineStr">
        <is>
          <t>BHX</t>
        </is>
      </c>
      <c r="I248" s="18" t="inlineStr">
        <is>
          <t>Birmingham Airport</t>
        </is>
      </c>
      <c r="J248" s="21" t="n">
        <v>21.6</v>
      </c>
      <c r="K248" s="18" t="inlineStr">
        <is>
          <t>BHX</t>
        </is>
      </c>
      <c r="L248" s="18" t="inlineStr">
        <is>
          <t>100k +  pop</t>
        </is>
      </c>
      <c r="M248" s="22" t="n">
        <v>0.768</v>
      </c>
      <c r="N248" s="22" t="n">
        <v>0</v>
      </c>
      <c r="O248" s="18" t="n"/>
      <c r="P248" s="22">
        <f>IF(O248="",(About!$B$5*M248+About!$B$6*N248)/(About!$B$5+About!$B$6),About!$B$5*M248+About!$B$6*N248+About!$B$7*O248)</f>
        <v/>
      </c>
      <c r="Q248" s="23" t="n">
        <v>52.5853</v>
      </c>
      <c r="R248" s="23" t="n">
        <v>-1.984</v>
      </c>
    </row>
    <row r="249" ht="15" customHeight="1" s="12">
      <c r="A249" s="18" t="inlineStr">
        <is>
          <t>West Bromwich</t>
        </is>
      </c>
      <c r="B249" s="18" t="inlineStr">
        <is>
          <t>United Kingdom</t>
        </is>
      </c>
      <c r="C249" s="19" t="n">
        <v>69487000</v>
      </c>
      <c r="D249" s="18" t="inlineStr">
        <is>
          <t>GB</t>
        </is>
      </c>
      <c r="E249" s="18" t="inlineStr">
        <is>
          <t>ENG</t>
        </is>
      </c>
      <c r="F249" s="20" t="n">
        <v>135618</v>
      </c>
      <c r="G249" s="18" t="n"/>
      <c r="H249" s="18" t="inlineStr">
        <is>
          <t>BHX</t>
        </is>
      </c>
      <c r="I249" s="18" t="inlineStr">
        <is>
          <t>Birmingham Airport</t>
        </is>
      </c>
      <c r="J249" s="21" t="n">
        <v>18.2</v>
      </c>
      <c r="K249" s="18" t="inlineStr">
        <is>
          <t>BHX</t>
        </is>
      </c>
      <c r="L249" s="18" t="inlineStr">
        <is>
          <t>100k +  pop</t>
        </is>
      </c>
      <c r="M249" s="22" t="n">
        <v>0.768</v>
      </c>
      <c r="N249" s="22" t="n">
        <v>0</v>
      </c>
      <c r="O249" s="18" t="n"/>
      <c r="P249" s="22">
        <f>IF(O249="",(About!$B$5*M249+About!$B$6*N249)/(About!$B$5+About!$B$6),About!$B$5*M249+About!$B$6*N249+About!$B$7*O249)</f>
        <v/>
      </c>
      <c r="Q249" s="23" t="n">
        <v>52.5187</v>
      </c>
      <c r="R249" s="23" t="n">
        <v>-1.9945</v>
      </c>
    </row>
    <row r="250" ht="15" customHeight="1" s="12">
      <c r="A250" s="18" t="inlineStr">
        <is>
          <t>Sutton Coldfield</t>
        </is>
      </c>
      <c r="B250" s="18" t="inlineStr">
        <is>
          <t>United Kingdom</t>
        </is>
      </c>
      <c r="C250" s="19" t="n">
        <v>69487000</v>
      </c>
      <c r="D250" s="18" t="inlineStr">
        <is>
          <t>GB</t>
        </is>
      </c>
      <c r="E250" s="18" t="inlineStr">
        <is>
          <t>ENG</t>
        </is>
      </c>
      <c r="F250" s="20" t="n">
        <v>107030</v>
      </c>
      <c r="G250" s="18" t="n"/>
      <c r="H250" s="18" t="inlineStr">
        <is>
          <t>BHX</t>
        </is>
      </c>
      <c r="I250" s="18" t="inlineStr">
        <is>
          <t>Birmingham Airport</t>
        </is>
      </c>
      <c r="J250" s="21" t="n">
        <v>13.4</v>
      </c>
      <c r="K250" s="18" t="inlineStr">
        <is>
          <t>BHX</t>
        </is>
      </c>
      <c r="L250" s="18" t="inlineStr">
        <is>
          <t>100k +  pop</t>
        </is>
      </c>
      <c r="M250" s="22" t="n">
        <v>0.768</v>
      </c>
      <c r="N250" s="22" t="n">
        <v>0</v>
      </c>
      <c r="O250" s="18" t="n"/>
      <c r="P250" s="22">
        <f>IF(O250="",(About!$B$5*M250+About!$B$6*N250)/(About!$B$5+About!$B$6),About!$B$5*M250+About!$B$6*N250+About!$B$7*O250)</f>
        <v/>
      </c>
      <c r="Q250" s="23" t="n">
        <v>52.5667</v>
      </c>
      <c r="R250" s="23" t="n">
        <v>-1.8167</v>
      </c>
    </row>
    <row r="251" ht="15" customHeight="1" s="12">
      <c r="A251" s="18" t="inlineStr">
        <is>
          <t>Dortmund</t>
        </is>
      </c>
      <c r="B251" s="18" t="inlineStr">
        <is>
          <t>Germany</t>
        </is>
      </c>
      <c r="C251" s="19" t="n">
        <v>83497147</v>
      </c>
      <c r="D251" s="18" t="inlineStr">
        <is>
          <t>DE</t>
        </is>
      </c>
      <c r="E251" s="18" t="inlineStr">
        <is>
          <t>07</t>
        </is>
      </c>
      <c r="F251" s="20" t="n">
        <v>588462</v>
      </c>
      <c r="G251" s="18" t="n"/>
      <c r="H251" s="18" t="inlineStr">
        <is>
          <t>DTM</t>
        </is>
      </c>
      <c r="I251" s="18" t="inlineStr">
        <is>
          <t>Dortmund Airport</t>
        </is>
      </c>
      <c r="J251" s="21" t="n">
        <v>10.1</v>
      </c>
      <c r="K251" s="18" t="inlineStr">
        <is>
          <t>DTM</t>
        </is>
      </c>
      <c r="L251" s="18" t="inlineStr">
        <is>
          <t>100k +  pop + airport</t>
        </is>
      </c>
      <c r="M251" s="22" t="n">
        <v>0.766</v>
      </c>
      <c r="N251" s="22" t="n">
        <v>0</v>
      </c>
      <c r="O251" s="18" t="n"/>
      <c r="P251" s="22">
        <f>IF(O251="",(About!$B$5*M251+About!$B$6*N251)/(About!$B$5+About!$B$6),About!$B$5*M251+About!$B$6*N251+About!$B$7*O251)</f>
        <v/>
      </c>
      <c r="Q251" s="23" t="n">
        <v>51.5149</v>
      </c>
      <c r="R251" s="23" t="n">
        <v>7.466</v>
      </c>
    </row>
    <row r="252" ht="15" customHeight="1" s="12">
      <c r="A252" s="18" t="inlineStr">
        <is>
          <t>Hagen</t>
        </is>
      </c>
      <c r="B252" s="18" t="inlineStr">
        <is>
          <t>Germany</t>
        </is>
      </c>
      <c r="C252" s="19" t="n">
        <v>83497147</v>
      </c>
      <c r="D252" s="18" t="inlineStr">
        <is>
          <t>DE</t>
        </is>
      </c>
      <c r="E252" s="18" t="inlineStr">
        <is>
          <t>07</t>
        </is>
      </c>
      <c r="F252" s="20" t="n">
        <v>198972</v>
      </c>
      <c r="G252" s="18" t="n"/>
      <c r="H252" s="18" t="inlineStr">
        <is>
          <t>DTM</t>
        </is>
      </c>
      <c r="I252" s="18" t="inlineStr">
        <is>
          <t>Dortmund Airport</t>
        </is>
      </c>
      <c r="J252" s="21" t="n">
        <v>20</v>
      </c>
      <c r="K252" s="18" t="inlineStr">
        <is>
          <t>DTM</t>
        </is>
      </c>
      <c r="L252" s="18" t="inlineStr">
        <is>
          <t>100k +  pop</t>
        </is>
      </c>
      <c r="M252" s="22" t="n">
        <v>0.766</v>
      </c>
      <c r="N252" s="22" t="n">
        <v>0</v>
      </c>
      <c r="O252" s="18" t="n"/>
      <c r="P252" s="22">
        <f>IF(O252="",(About!$B$5*M252+About!$B$6*N252)/(About!$B$5+About!$B$6),About!$B$5*M252+About!$B$6*N252+About!$B$7*O252)</f>
        <v/>
      </c>
      <c r="Q252" s="23" t="n">
        <v>51.3608</v>
      </c>
      <c r="R252" s="23" t="n">
        <v>7.4717</v>
      </c>
    </row>
    <row r="253" ht="15" customHeight="1" s="12">
      <c r="A253" s="18" t="inlineStr">
        <is>
          <t>Hamm</t>
        </is>
      </c>
      <c r="B253" s="18" t="inlineStr">
        <is>
          <t>Germany</t>
        </is>
      </c>
      <c r="C253" s="19" t="n">
        <v>83497147</v>
      </c>
      <c r="D253" s="18" t="inlineStr">
        <is>
          <t>DE</t>
        </is>
      </c>
      <c r="E253" s="18" t="inlineStr">
        <is>
          <t>07</t>
        </is>
      </c>
      <c r="F253" s="20" t="n">
        <v>185327</v>
      </c>
      <c r="G253" s="18" t="n"/>
      <c r="H253" s="18" t="inlineStr">
        <is>
          <t>DTM</t>
        </is>
      </c>
      <c r="I253" s="18" t="inlineStr">
        <is>
          <t>Dortmund Airport</t>
        </is>
      </c>
      <c r="J253" s="21" t="n">
        <v>23.1</v>
      </c>
      <c r="K253" s="18" t="inlineStr">
        <is>
          <t>DTM</t>
        </is>
      </c>
      <c r="L253" s="18" t="inlineStr">
        <is>
          <t>100k +  pop</t>
        </is>
      </c>
      <c r="M253" s="22" t="n">
        <v>0.766</v>
      </c>
      <c r="N253" s="22" t="n">
        <v>0</v>
      </c>
      <c r="O253" s="18" t="n"/>
      <c r="P253" s="22">
        <f>IF(O253="",(About!$B$5*M253+About!$B$6*N253)/(About!$B$5+About!$B$6),About!$B$5*M253+About!$B$6*N253+About!$B$7*O253)</f>
        <v/>
      </c>
      <c r="Q253" s="23" t="n">
        <v>51.6803</v>
      </c>
      <c r="R253" s="23" t="n">
        <v>7.8209</v>
      </c>
    </row>
    <row r="254" ht="15" customHeight="1" s="12">
      <c r="A254" s="18" t="inlineStr">
        <is>
          <t>Witten</t>
        </is>
      </c>
      <c r="B254" s="18" t="inlineStr">
        <is>
          <t>Germany</t>
        </is>
      </c>
      <c r="C254" s="19" t="n">
        <v>83497147</v>
      </c>
      <c r="D254" s="18" t="inlineStr">
        <is>
          <t>DE</t>
        </is>
      </c>
      <c r="E254" s="18" t="inlineStr">
        <is>
          <t>07</t>
        </is>
      </c>
      <c r="F254" s="20" t="n">
        <v>101247</v>
      </c>
      <c r="G254" s="18" t="n"/>
      <c r="H254" s="18" t="inlineStr">
        <is>
          <t>DTM</t>
        </is>
      </c>
      <c r="I254" s="18" t="inlineStr">
        <is>
          <t>Dortmund Airport</t>
        </is>
      </c>
      <c r="J254" s="21" t="n">
        <v>19.8</v>
      </c>
      <c r="K254" s="18" t="inlineStr">
        <is>
          <t>DTM</t>
        </is>
      </c>
      <c r="L254" s="18" t="inlineStr">
        <is>
          <t>100k +  pop</t>
        </is>
      </c>
      <c r="M254" s="22" t="n">
        <v>0.766</v>
      </c>
      <c r="N254" s="22" t="n">
        <v>0</v>
      </c>
      <c r="O254" s="18" t="n"/>
      <c r="P254" s="22">
        <f>IF(O254="",(About!$B$5*M254+About!$B$6*N254)/(About!$B$5+About!$B$6),About!$B$5*M254+About!$B$6*N254+About!$B$7*O254)</f>
        <v/>
      </c>
      <c r="Q254" s="23" t="n">
        <v>51.4436</v>
      </c>
      <c r="R254" s="23" t="n">
        <v>7.3526</v>
      </c>
    </row>
    <row r="255" ht="15" customHeight="1" s="12">
      <c r="A255" s="18" t="inlineStr">
        <is>
          <t>Algiers</t>
        </is>
      </c>
      <c r="B255" s="18" t="inlineStr">
        <is>
          <t>Algeria</t>
        </is>
      </c>
      <c r="C255" s="19" t="n">
        <v>47400000</v>
      </c>
      <c r="D255" s="18" t="inlineStr">
        <is>
          <t>DZ</t>
        </is>
      </c>
      <c r="E255" s="18" t="inlineStr">
        <is>
          <t>01</t>
        </is>
      </c>
      <c r="F255" s="20" t="n">
        <v>1977663</v>
      </c>
      <c r="G255" s="18" t="inlineStr">
        <is>
          <t>Yes</t>
        </is>
      </c>
      <c r="H255" s="18" t="inlineStr">
        <is>
          <t>ALG</t>
        </is>
      </c>
      <c r="I255" s="18" t="inlineStr">
        <is>
          <t>Houari Boumediene Airport</t>
        </is>
      </c>
      <c r="J255" s="21" t="n">
        <v>12.1</v>
      </c>
      <c r="K255" s="18" t="inlineStr">
        <is>
          <t>ALG</t>
        </is>
      </c>
      <c r="L255" s="18" t="inlineStr">
        <is>
          <t>100k +  pop + capital + airport</t>
        </is>
      </c>
      <c r="M255" s="22" t="n">
        <v>0.765</v>
      </c>
      <c r="N255" s="22" t="n">
        <v>0</v>
      </c>
      <c r="O255" s="18" t="n"/>
      <c r="P255" s="22">
        <f>IF(O255="",(About!$B$5*M255+About!$B$6*N255)/(About!$B$5+About!$B$6),About!$B$5*M255+About!$B$6*N255+About!$B$7*O255)</f>
        <v/>
      </c>
      <c r="Q255" s="23" t="n">
        <v>36.7323</v>
      </c>
      <c r="R255" s="23" t="n">
        <v>3.0875</v>
      </c>
    </row>
    <row r="256" ht="15" customHeight="1" s="12">
      <c r="A256" s="18" t="inlineStr">
        <is>
          <t>Boumerdas</t>
        </is>
      </c>
      <c r="B256" s="18" t="inlineStr">
        <is>
          <t>Algeria</t>
        </is>
      </c>
      <c r="C256" s="19" t="n">
        <v>47400000</v>
      </c>
      <c r="D256" s="18" t="inlineStr">
        <is>
          <t>DZ</t>
        </is>
      </c>
      <c r="E256" s="18" t="inlineStr">
        <is>
          <t>40</t>
        </is>
      </c>
      <c r="F256" s="20" t="n">
        <v>786499</v>
      </c>
      <c r="G256" s="18" t="n"/>
      <c r="H256" s="18" t="inlineStr">
        <is>
          <t>ALG</t>
        </is>
      </c>
      <c r="I256" s="18" t="inlineStr">
        <is>
          <t>Houari Boumediene Airport</t>
        </is>
      </c>
      <c r="J256" s="21" t="n">
        <v>24.8</v>
      </c>
      <c r="K256" s="18" t="inlineStr">
        <is>
          <t>ALG</t>
        </is>
      </c>
      <c r="L256" s="18" t="inlineStr">
        <is>
          <t>100k +  pop</t>
        </is>
      </c>
      <c r="M256" s="22" t="n">
        <v>0.765</v>
      </c>
      <c r="N256" s="22" t="n">
        <v>0</v>
      </c>
      <c r="O256" s="18" t="n"/>
      <c r="P256" s="22">
        <f>IF(O256="",(About!$B$5*M256+About!$B$6*N256)/(About!$B$5+About!$B$6),About!$B$5*M256+About!$B$6*N256+About!$B$7*O256)</f>
        <v/>
      </c>
      <c r="Q256" s="23" t="n">
        <v>36.7664</v>
      </c>
      <c r="R256" s="23" t="n">
        <v>3.4772</v>
      </c>
    </row>
    <row r="257" ht="15" customHeight="1" s="12">
      <c r="A257" s="18" t="inlineStr">
        <is>
          <t>San Juan</t>
        </is>
      </c>
      <c r="B257" s="18" t="inlineStr">
        <is>
          <t>Puerto Rico</t>
        </is>
      </c>
      <c r="C257" s="19" t="n">
        <v>3184195</v>
      </c>
      <c r="D257" s="18" t="inlineStr">
        <is>
          <t>PR</t>
        </is>
      </c>
      <c r="E257" s="18" t="inlineStr">
        <is>
          <t>127</t>
        </is>
      </c>
      <c r="F257" s="20" t="n">
        <v>418140</v>
      </c>
      <c r="G257" s="18" t="inlineStr">
        <is>
          <t>Yes</t>
        </is>
      </c>
      <c r="H257" s="18" t="inlineStr">
        <is>
          <t>SJU</t>
        </is>
      </c>
      <c r="I257" s="18" t="inlineStr">
        <is>
          <t>Luis Munoz Marin International Airport</t>
        </is>
      </c>
      <c r="J257" s="21" t="n">
        <v>11.4</v>
      </c>
      <c r="K257" s="18" t="inlineStr">
        <is>
          <t>SIG+SJU</t>
        </is>
      </c>
      <c r="L257" s="18" t="inlineStr">
        <is>
          <t>100k +  pop + capital + airport</t>
        </is>
      </c>
      <c r="M257" s="22" t="n">
        <v>0.763</v>
      </c>
      <c r="N257" s="22" t="n">
        <v>0</v>
      </c>
      <c r="O257" s="18" t="n"/>
      <c r="P257" s="22">
        <f>IF(O257="",(About!$B$5*M257+About!$B$6*N257)/(About!$B$5+About!$B$6),About!$B$5*M257+About!$B$6*N257+About!$B$7*O257)</f>
        <v/>
      </c>
      <c r="Q257" s="23" t="n">
        <v>18.4663</v>
      </c>
      <c r="R257" s="23" t="n">
        <v>-66.1057</v>
      </c>
    </row>
    <row r="258" ht="15" customHeight="1" s="12">
      <c r="A258" s="18" t="inlineStr">
        <is>
          <t>Bab Ezzouar</t>
        </is>
      </c>
      <c r="B258" s="18" t="inlineStr">
        <is>
          <t>Algeria</t>
        </is>
      </c>
      <c r="C258" s="19" t="n">
        <v>47400000</v>
      </c>
      <c r="D258" s="18" t="inlineStr">
        <is>
          <t>DZ</t>
        </is>
      </c>
      <c r="E258" s="18" t="inlineStr">
        <is>
          <t>01</t>
        </is>
      </c>
      <c r="F258" s="20" t="n">
        <v>275630</v>
      </c>
      <c r="G258" s="18" t="n"/>
      <c r="H258" s="18" t="inlineStr">
        <is>
          <t>ALG</t>
        </is>
      </c>
      <c r="I258" s="18" t="inlineStr">
        <is>
          <t>Houari Boumediene Airport</t>
        </is>
      </c>
      <c r="J258" s="21" t="n">
        <v>4.6</v>
      </c>
      <c r="K258" s="18" t="inlineStr">
        <is>
          <t>ALG</t>
        </is>
      </c>
      <c r="L258" s="18" t="inlineStr">
        <is>
          <t>100k +  pop + airport</t>
        </is>
      </c>
      <c r="M258" s="22" t="n">
        <v>0.765</v>
      </c>
      <c r="N258" s="22" t="n">
        <v>0</v>
      </c>
      <c r="O258" s="18" t="n"/>
      <c r="P258" s="22">
        <f>IF(O258="",(About!$B$5*M258+About!$B$6*N258)/(About!$B$5+About!$B$6),About!$B$5*M258+About!$B$6*N258+About!$B$7*O258)</f>
        <v/>
      </c>
      <c r="Q258" s="23" t="n">
        <v>36.7261</v>
      </c>
      <c r="R258" s="23" t="n">
        <v>3.1829</v>
      </c>
    </row>
    <row r="259" ht="15" customHeight="1" s="12">
      <c r="A259" s="18" t="inlineStr">
        <is>
          <t>Bayamón</t>
        </is>
      </c>
      <c r="B259" s="18" t="inlineStr">
        <is>
          <t>Puerto Rico</t>
        </is>
      </c>
      <c r="C259" s="19" t="n">
        <v>3184195</v>
      </c>
      <c r="D259" s="18" t="inlineStr">
        <is>
          <t>PR</t>
        </is>
      </c>
      <c r="E259" s="18" t="inlineStr">
        <is>
          <t>021</t>
        </is>
      </c>
      <c r="F259" s="20" t="n">
        <v>203499</v>
      </c>
      <c r="G259" s="18" t="n"/>
      <c r="H259" s="18" t="inlineStr">
        <is>
          <t>SJU</t>
        </is>
      </c>
      <c r="I259" s="18" t="inlineStr">
        <is>
          <t>Luis Munoz Marin International Airport</t>
        </is>
      </c>
      <c r="J259" s="21" t="n">
        <v>16.9</v>
      </c>
      <c r="K259" s="18" t="inlineStr">
        <is>
          <t>SIG+SJU</t>
        </is>
      </c>
      <c r="L259" s="18" t="inlineStr">
        <is>
          <t>100k +  pop + airport</t>
        </is>
      </c>
      <c r="M259" s="22" t="n">
        <v>0.763</v>
      </c>
      <c r="N259" s="22" t="n">
        <v>0</v>
      </c>
      <c r="O259" s="18" t="n"/>
      <c r="P259" s="22">
        <f>IF(O259="",(About!$B$5*M259+About!$B$6*N259)/(About!$B$5+About!$B$6),About!$B$5*M259+About!$B$6*N259+About!$B$7*O259)</f>
        <v/>
      </c>
      <c r="Q259" s="23" t="n">
        <v>18.3986</v>
      </c>
      <c r="R259" s="23" t="n">
        <v>-66.1557</v>
      </c>
    </row>
    <row r="260" ht="15" customHeight="1" s="12">
      <c r="A260" s="18" t="inlineStr">
        <is>
          <t>Carolina</t>
        </is>
      </c>
      <c r="B260" s="18" t="inlineStr">
        <is>
          <t>Puerto Rico</t>
        </is>
      </c>
      <c r="C260" s="19" t="n">
        <v>3184195</v>
      </c>
      <c r="D260" s="18" t="inlineStr">
        <is>
          <t>PR</t>
        </is>
      </c>
      <c r="E260" s="18" t="inlineStr">
        <is>
          <t>031</t>
        </is>
      </c>
      <c r="F260" s="20" t="n">
        <v>170404</v>
      </c>
      <c r="G260" s="18" t="n"/>
      <c r="H260" s="18" t="inlineStr">
        <is>
          <t>SJU</t>
        </is>
      </c>
      <c r="I260" s="18" t="inlineStr">
        <is>
          <t>Luis Munoz Marin International Airport</t>
        </is>
      </c>
      <c r="J260" s="21" t="n">
        <v>8</v>
      </c>
      <c r="K260" s="18" t="inlineStr">
        <is>
          <t>SIG+SJU</t>
        </is>
      </c>
      <c r="L260" s="18" t="inlineStr">
        <is>
          <t>100k +  pop + airport</t>
        </is>
      </c>
      <c r="M260" s="22" t="n">
        <v>0.763</v>
      </c>
      <c r="N260" s="22" t="n">
        <v>0</v>
      </c>
      <c r="O260" s="18" t="n"/>
      <c r="P260" s="22">
        <f>IF(O260="",(About!$B$5*M260+About!$B$6*N260)/(About!$B$5+About!$B$6),About!$B$5*M260+About!$B$6*N260+About!$B$7*O260)</f>
        <v/>
      </c>
      <c r="Q260" s="23" t="n">
        <v>18.3808</v>
      </c>
      <c r="R260" s="23" t="n">
        <v>-65.95740000000001</v>
      </c>
    </row>
    <row r="261" ht="15" customHeight="1" s="12">
      <c r="A261" s="18" t="inlineStr">
        <is>
          <t>Bordj el Kiffan</t>
        </is>
      </c>
      <c r="B261" s="18" t="inlineStr">
        <is>
          <t>Algeria</t>
        </is>
      </c>
      <c r="C261" s="19" t="n">
        <v>47400000</v>
      </c>
      <c r="D261" s="18" t="inlineStr">
        <is>
          <t>DZ</t>
        </is>
      </c>
      <c r="E261" s="18" t="inlineStr">
        <is>
          <t>01</t>
        </is>
      </c>
      <c r="F261" s="20" t="n">
        <v>123246</v>
      </c>
      <c r="G261" s="18" t="n"/>
      <c r="H261" s="18" t="inlineStr">
        <is>
          <t>ALG</t>
        </is>
      </c>
      <c r="I261" s="18" t="inlineStr">
        <is>
          <t>Houari Boumediene Airport</t>
        </is>
      </c>
      <c r="J261" s="21" t="n">
        <v>6.4</v>
      </c>
      <c r="K261" s="18" t="inlineStr">
        <is>
          <t>ALG</t>
        </is>
      </c>
      <c r="L261" s="18" t="inlineStr">
        <is>
          <t>100k +  pop + airport</t>
        </is>
      </c>
      <c r="M261" s="22" t="n">
        <v>0.765</v>
      </c>
      <c r="N261" s="22" t="n">
        <v>0</v>
      </c>
      <c r="O261" s="18" t="n"/>
      <c r="P261" s="22">
        <f>IF(O261="",(About!$B$5*M261+About!$B$6*N261)/(About!$B$5+About!$B$6),About!$B$5*M261+About!$B$6*N261+About!$B$7*O261)</f>
        <v/>
      </c>
      <c r="Q261" s="23" t="n">
        <v>36.7487</v>
      </c>
      <c r="R261" s="23" t="n">
        <v>3.1925</v>
      </c>
    </row>
    <row r="262" ht="15" customHeight="1" s="12">
      <c r="A262" s="18" t="inlineStr">
        <is>
          <t>Baraki</t>
        </is>
      </c>
      <c r="B262" s="18" t="inlineStr">
        <is>
          <t>Algeria</t>
        </is>
      </c>
      <c r="C262" s="19" t="n">
        <v>47400000</v>
      </c>
      <c r="D262" s="18" t="inlineStr">
        <is>
          <t>DZ</t>
        </is>
      </c>
      <c r="E262" s="18" t="inlineStr">
        <is>
          <t>55</t>
        </is>
      </c>
      <c r="F262" s="20" t="n">
        <v>105402</v>
      </c>
      <c r="G262" s="18" t="n"/>
      <c r="H262" s="18" t="inlineStr">
        <is>
          <t>ALG</t>
        </is>
      </c>
      <c r="I262" s="18" t="inlineStr">
        <is>
          <t>Houari Boumediene Airport</t>
        </is>
      </c>
      <c r="J262" s="21" t="n">
        <v>11</v>
      </c>
      <c r="K262" s="18" t="inlineStr">
        <is>
          <t>ALG</t>
        </is>
      </c>
      <c r="L262" s="18" t="inlineStr">
        <is>
          <t>100k +  pop</t>
        </is>
      </c>
      <c r="M262" s="22" t="n">
        <v>0.765</v>
      </c>
      <c r="N262" s="22" t="n">
        <v>0</v>
      </c>
      <c r="O262" s="18" t="n"/>
      <c r="P262" s="22">
        <f>IF(O262="",(About!$B$5*M262+About!$B$6*N262)/(About!$B$5+About!$B$6),About!$B$5*M262+About!$B$6*N262+About!$B$7*O262)</f>
        <v/>
      </c>
      <c r="Q262" s="23" t="n">
        <v>36.6666</v>
      </c>
      <c r="R262" s="23" t="n">
        <v>3.0961</v>
      </c>
    </row>
    <row r="263" ht="15" customHeight="1" s="12">
      <c r="A263" s="18" t="inlineStr">
        <is>
          <t>Hangzhou</t>
        </is>
      </c>
      <c r="B263" s="18" t="inlineStr">
        <is>
          <t>China</t>
        </is>
      </c>
      <c r="C263" s="19" t="n">
        <v>1404890000</v>
      </c>
      <c r="D263" s="18" t="inlineStr">
        <is>
          <t>CN</t>
        </is>
      </c>
      <c r="E263" s="18" t="inlineStr">
        <is>
          <t>02</t>
        </is>
      </c>
      <c r="F263" s="20" t="n">
        <v>6241971</v>
      </c>
      <c r="G263" s="18" t="n"/>
      <c r="H263" s="18" t="inlineStr">
        <is>
          <t>HGH</t>
        </is>
      </c>
      <c r="I263" s="18" t="inlineStr">
        <is>
          <t>Hangzhou Xiaoshan International Airport</t>
        </is>
      </c>
      <c r="J263" s="21" t="n">
        <v>26.5</v>
      </c>
      <c r="K263" s="18" t="inlineStr">
        <is>
          <t>HGH</t>
        </is>
      </c>
      <c r="L263" s="18" t="inlineStr">
        <is>
          <t>100k +  pop + airport</t>
        </is>
      </c>
      <c r="M263" s="22" t="n">
        <v>0.763</v>
      </c>
      <c r="N263" s="22" t="n">
        <v>0</v>
      </c>
      <c r="O263" s="18" t="n"/>
      <c r="P263" s="22">
        <f>IF(O263="",(About!$B$5*M263+About!$B$6*N263)/(About!$B$5+About!$B$6),About!$B$5*M263+About!$B$6*N263+About!$B$7*O263)</f>
        <v/>
      </c>
      <c r="Q263" s="23" t="n">
        <v>30.2936</v>
      </c>
      <c r="R263" s="23" t="n">
        <v>120.1614</v>
      </c>
    </row>
    <row r="264" ht="15" customHeight="1" s="12">
      <c r="A264" s="18" t="inlineStr">
        <is>
          <t>Hamburg</t>
        </is>
      </c>
      <c r="B264" s="18" t="inlineStr">
        <is>
          <t>Germany</t>
        </is>
      </c>
      <c r="C264" s="19" t="n">
        <v>83497147</v>
      </c>
      <c r="D264" s="18" t="inlineStr">
        <is>
          <t>DE</t>
        </is>
      </c>
      <c r="E264" s="18" t="inlineStr">
        <is>
          <t>04</t>
        </is>
      </c>
      <c r="F264" s="20" t="n">
        <v>1739117</v>
      </c>
      <c r="G264" s="18" t="n"/>
      <c r="H264" s="18" t="inlineStr">
        <is>
          <t>HAM</t>
        </is>
      </c>
      <c r="I264" s="18" t="inlineStr">
        <is>
          <t>Hamburg Helmut Schmidt Airport</t>
        </is>
      </c>
      <c r="J264" s="21" t="n">
        <v>8.9</v>
      </c>
      <c r="K264" s="18" t="inlineStr">
        <is>
          <t>HAM</t>
        </is>
      </c>
      <c r="L264" s="18" t="inlineStr">
        <is>
          <t>100k +  pop + airport</t>
        </is>
      </c>
      <c r="M264" s="22" t="n">
        <v>0.762</v>
      </c>
      <c r="N264" s="22" t="n">
        <v>0</v>
      </c>
      <c r="O264" s="18" t="n"/>
      <c r="P264" s="22">
        <f>IF(O264="",(About!$B$5*M264+About!$B$6*N264)/(About!$B$5+About!$B$6),About!$B$5*M264+About!$B$6*N264+About!$B$7*O264)</f>
        <v/>
      </c>
      <c r="Q264" s="23" t="n">
        <v>53.5507</v>
      </c>
      <c r="R264" s="23" t="n">
        <v>9.993</v>
      </c>
    </row>
    <row r="265" ht="15" customHeight="1" s="12">
      <c r="A265" s="18" t="inlineStr">
        <is>
          <t>Colombo</t>
        </is>
      </c>
      <c r="B265" s="18" t="inlineStr">
        <is>
          <t>Sri Lanka</t>
        </is>
      </c>
      <c r="C265" s="19" t="n">
        <v>21781800</v>
      </c>
      <c r="D265" s="18" t="inlineStr">
        <is>
          <t>LK</t>
        </is>
      </c>
      <c r="E265" s="18" t="inlineStr">
        <is>
          <t>36</t>
        </is>
      </c>
      <c r="F265" s="20" t="n">
        <v>648034</v>
      </c>
      <c r="G265" s="18" t="inlineStr">
        <is>
          <t>Yes</t>
        </is>
      </c>
      <c r="H265" s="18" t="inlineStr">
        <is>
          <t>CMB</t>
        </is>
      </c>
      <c r="I265" s="18" t="inlineStr">
        <is>
          <t>Bandaranaike International Colombo Airport</t>
        </is>
      </c>
      <c r="J265" s="21" t="n">
        <v>27.6</v>
      </c>
      <c r="K265" s="18" t="inlineStr">
        <is>
          <t>CMB+DWO+RML</t>
        </is>
      </c>
      <c r="L265" s="18" t="inlineStr">
        <is>
          <t>100k +  pop + capital + airport</t>
        </is>
      </c>
      <c r="M265" s="22" t="n">
        <v>0.763</v>
      </c>
      <c r="N265" s="22" t="n">
        <v>0</v>
      </c>
      <c r="O265" s="18" t="n"/>
      <c r="P265" s="22">
        <f>IF(O265="",(About!$B$5*M265+About!$B$6*N265)/(About!$B$5+About!$B$6),About!$B$5*M265+About!$B$6*N265+About!$B$7*O265)</f>
        <v/>
      </c>
      <c r="Q265" s="23" t="n">
        <v>6.9355</v>
      </c>
      <c r="R265" s="23" t="n">
        <v>79.84869999999999</v>
      </c>
    </row>
    <row r="266" ht="15" customHeight="1" s="12">
      <c r="A266" s="18" t="inlineStr">
        <is>
          <t>Basel</t>
        </is>
      </c>
      <c r="B266" s="18" t="inlineStr">
        <is>
          <t>Switzerland</t>
        </is>
      </c>
      <c r="C266" s="19" t="n">
        <v>9124288</v>
      </c>
      <c r="D266" s="18" t="inlineStr">
        <is>
          <t>CH</t>
        </is>
      </c>
      <c r="E266" s="18" t="inlineStr">
        <is>
          <t>BS</t>
        </is>
      </c>
      <c r="F266" s="20" t="n">
        <v>164488</v>
      </c>
      <c r="G266" s="18" t="n"/>
      <c r="H266" s="18" t="inlineStr">
        <is>
          <t>BSL</t>
        </is>
      </c>
      <c r="I266" s="18" t="inlineStr">
        <is>
          <t>EuroAirport Basel–Mulhouse–Freiburg</t>
        </is>
      </c>
      <c r="J266" s="21" t="n">
        <v>6.1</v>
      </c>
      <c r="K266" s="18" t="inlineStr">
        <is>
          <t>BSL</t>
        </is>
      </c>
      <c r="L266" s="18" t="inlineStr">
        <is>
          <t>100k +  pop + airport</t>
        </is>
      </c>
      <c r="M266" s="22" t="n">
        <v>0.762</v>
      </c>
      <c r="N266" s="22" t="n">
        <v>0</v>
      </c>
      <c r="O266" s="18" t="n"/>
      <c r="P266" s="22">
        <f>IF(O266="",(About!$B$5*M266+About!$B$6*N266)/(About!$B$5+About!$B$6),About!$B$5*M266+About!$B$6*N266+About!$B$7*O266)</f>
        <v/>
      </c>
      <c r="Q266" s="23" t="n">
        <v>47.5584</v>
      </c>
      <c r="R266" s="23" t="n">
        <v>7.5733</v>
      </c>
    </row>
    <row r="267" ht="15" customHeight="1" s="12">
      <c r="A267" s="18" t="inlineStr">
        <is>
          <t>Negombo</t>
        </is>
      </c>
      <c r="B267" s="18" t="inlineStr">
        <is>
          <t>Sri Lanka</t>
        </is>
      </c>
      <c r="C267" s="19" t="n">
        <v>21781800</v>
      </c>
      <c r="D267" s="18" t="inlineStr">
        <is>
          <t>LK</t>
        </is>
      </c>
      <c r="E267" s="18" t="inlineStr">
        <is>
          <t>36</t>
        </is>
      </c>
      <c r="F267" s="20" t="n">
        <v>137223</v>
      </c>
      <c r="G267" s="18" t="n"/>
      <c r="H267" s="18" t="inlineStr">
        <is>
          <t>CMB</t>
        </is>
      </c>
      <c r="I267" s="18" t="inlineStr">
        <is>
          <t>Bandaranaike International Colombo Airport</t>
        </is>
      </c>
      <c r="J267" s="21" t="n">
        <v>6.1</v>
      </c>
      <c r="K267" s="18" t="inlineStr">
        <is>
          <t>CMB</t>
        </is>
      </c>
      <c r="L267" s="18" t="inlineStr">
        <is>
          <t>100k +  pop + airport</t>
        </is>
      </c>
      <c r="M267" s="22" t="n">
        <v>0.763</v>
      </c>
      <c r="N267" s="22" t="n">
        <v>0</v>
      </c>
      <c r="O267" s="18" t="n"/>
      <c r="P267" s="22">
        <f>IF(O267="",(About!$B$5*M267+About!$B$6*N267)/(About!$B$5+About!$B$6),About!$B$5*M267+About!$B$6*N267+About!$B$7*O267)</f>
        <v/>
      </c>
      <c r="Q267" s="23" t="n">
        <v>7.2083</v>
      </c>
      <c r="R267" s="23" t="n">
        <v>79.83580000000001</v>
      </c>
    </row>
    <row r="268" ht="15" customHeight="1" s="12">
      <c r="A268" s="18" t="inlineStr">
        <is>
          <t>Mulhouse</t>
        </is>
      </c>
      <c r="B268" s="18" t="inlineStr">
        <is>
          <t>France</t>
        </is>
      </c>
      <c r="C268" s="19" t="n">
        <v>69081996</v>
      </c>
      <c r="D268" s="18" t="inlineStr">
        <is>
          <t>FR</t>
        </is>
      </c>
      <c r="E268" s="18" t="inlineStr">
        <is>
          <t>44</t>
        </is>
      </c>
      <c r="F268" s="20" t="n">
        <v>111430</v>
      </c>
      <c r="G268" s="18" t="n"/>
      <c r="H268" s="18" t="inlineStr">
        <is>
          <t>BSL</t>
        </is>
      </c>
      <c r="I268" s="18" t="inlineStr">
        <is>
          <t>EuroAirport Basel–Mulhouse–Freiburg</t>
        </is>
      </c>
      <c r="J268" s="21" t="n">
        <v>22.2</v>
      </c>
      <c r="K268" s="18" t="inlineStr">
        <is>
          <t>BSL</t>
        </is>
      </c>
      <c r="L268" s="18" t="inlineStr">
        <is>
          <t>100k +  pop</t>
        </is>
      </c>
      <c r="M268" s="22" t="n">
        <v>0.762</v>
      </c>
      <c r="N268" s="22" t="n">
        <v>0</v>
      </c>
      <c r="O268" s="18" t="n"/>
      <c r="P268" s="22">
        <f>IF(O268="",(About!$B$5*M268+About!$B$6*N268)/(About!$B$5+About!$B$6),About!$B$5*M268+About!$B$6*N268+About!$B$7*O268)</f>
        <v/>
      </c>
      <c r="Q268" s="23" t="n">
        <v>47.752</v>
      </c>
      <c r="R268" s="23" t="n">
        <v>7.3287</v>
      </c>
    </row>
    <row r="269" ht="15" customHeight="1" s="12">
      <c r="A269" s="18" t="inlineStr">
        <is>
          <t>Cebu City</t>
        </is>
      </c>
      <c r="B269" s="18" t="inlineStr">
        <is>
          <t>Philippines</t>
        </is>
      </c>
      <c r="C269" s="19" t="n">
        <v>114123600</v>
      </c>
      <c r="D269" s="18" t="inlineStr">
        <is>
          <t>PH</t>
        </is>
      </c>
      <c r="E269" s="18" t="inlineStr">
        <is>
          <t>07</t>
        </is>
      </c>
      <c r="F269" s="20" t="n">
        <v>798634</v>
      </c>
      <c r="G269" s="18" t="n"/>
      <c r="H269" s="18" t="inlineStr">
        <is>
          <t>CEB</t>
        </is>
      </c>
      <c r="I269" s="18" t="inlineStr">
        <is>
          <t>Mactan Cebu International Airport</t>
        </is>
      </c>
      <c r="J269" s="21" t="n">
        <v>9.800000000000001</v>
      </c>
      <c r="K269" s="18" t="inlineStr">
        <is>
          <t>CEB</t>
        </is>
      </c>
      <c r="L269" s="18" t="inlineStr">
        <is>
          <t>100k +  pop + airport</t>
        </is>
      </c>
      <c r="M269" s="22" t="n">
        <v>0.761</v>
      </c>
      <c r="N269" s="22" t="n">
        <v>0</v>
      </c>
      <c r="O269" s="18" t="n"/>
      <c r="P269" s="22">
        <f>IF(O269="",(About!$B$5*M269+About!$B$6*N269)/(About!$B$5+About!$B$6),About!$B$5*M269+About!$B$6*N269+About!$B$7*O269)</f>
        <v/>
      </c>
      <c r="Q269" s="23" t="n">
        <v>10.3167</v>
      </c>
      <c r="R269" s="23" t="n">
        <v>123.8907</v>
      </c>
    </row>
    <row r="270" ht="15" customHeight="1" s="12">
      <c r="A270" s="18" t="inlineStr">
        <is>
          <t>Marseille</t>
        </is>
      </c>
      <c r="B270" s="18" t="inlineStr">
        <is>
          <t>France</t>
        </is>
      </c>
      <c r="C270" s="19" t="n">
        <v>69081996</v>
      </c>
      <c r="D270" s="18" t="inlineStr">
        <is>
          <t>FR</t>
        </is>
      </c>
      <c r="E270" s="18" t="inlineStr">
        <is>
          <t>93</t>
        </is>
      </c>
      <c r="F270" s="20" t="n">
        <v>794811</v>
      </c>
      <c r="G270" s="18" t="n"/>
      <c r="H270" s="18" t="inlineStr">
        <is>
          <t>MRS</t>
        </is>
      </c>
      <c r="I270" s="18" t="inlineStr">
        <is>
          <t>Marseille Provence Airport</t>
        </is>
      </c>
      <c r="J270" s="21" t="n">
        <v>20.8</v>
      </c>
      <c r="K270" s="18" t="inlineStr">
        <is>
          <t>MRS</t>
        </is>
      </c>
      <c r="L270" s="18" t="inlineStr">
        <is>
          <t>100k +  pop</t>
        </is>
      </c>
      <c r="M270" s="22" t="n">
        <v>0.76</v>
      </c>
      <c r="N270" s="22" t="n">
        <v>0</v>
      </c>
      <c r="O270" s="18" t="n"/>
      <c r="P270" s="22">
        <f>IF(O270="",(About!$B$5*M270+About!$B$6*N270)/(About!$B$5+About!$B$6),About!$B$5*M270+About!$B$6*N270+About!$B$7*O270)</f>
        <v/>
      </c>
      <c r="Q270" s="23" t="n">
        <v>43.297</v>
      </c>
      <c r="R270" s="23" t="n">
        <v>5.3811</v>
      </c>
    </row>
    <row r="271" ht="15" customHeight="1" s="12">
      <c r="A271" s="18" t="inlineStr">
        <is>
          <t>Bristol</t>
        </is>
      </c>
      <c r="B271" s="18" t="inlineStr">
        <is>
          <t>United Kingdom</t>
        </is>
      </c>
      <c r="C271" s="19" t="n">
        <v>69487000</v>
      </c>
      <c r="D271" s="18" t="inlineStr">
        <is>
          <t>GB</t>
        </is>
      </c>
      <c r="E271" s="18" t="inlineStr">
        <is>
          <t>ENG</t>
        </is>
      </c>
      <c r="F271" s="20" t="n">
        <v>617280</v>
      </c>
      <c r="G271" s="18" t="n"/>
      <c r="H271" s="18" t="inlineStr">
        <is>
          <t>BRS</t>
        </is>
      </c>
      <c r="I271" s="18" t="inlineStr">
        <is>
          <t>Bristol Airport</t>
        </is>
      </c>
      <c r="J271" s="21" t="n">
        <v>11.6</v>
      </c>
      <c r="K271" s="18" t="inlineStr">
        <is>
          <t>BRS</t>
        </is>
      </c>
      <c r="L271" s="18" t="inlineStr">
        <is>
          <t>100k +  pop + airport</t>
        </is>
      </c>
      <c r="M271" s="22" t="n">
        <v>0.761</v>
      </c>
      <c r="N271" s="22" t="n">
        <v>0</v>
      </c>
      <c r="O271" s="18" t="n"/>
      <c r="P271" s="22">
        <f>IF(O271="",(About!$B$5*M271+About!$B$6*N271)/(About!$B$5+About!$B$6),About!$B$5*M271+About!$B$6*N271+About!$B$7*O271)</f>
        <v/>
      </c>
      <c r="Q271" s="23" t="n">
        <v>51.4552</v>
      </c>
      <c r="R271" s="23" t="n">
        <v>-2.5966</v>
      </c>
    </row>
    <row r="272" ht="15" customHeight="1" s="12">
      <c r="A272" s="18" t="inlineStr">
        <is>
          <t>Lapu-Lapu City</t>
        </is>
      </c>
      <c r="B272" s="18" t="inlineStr">
        <is>
          <t>Philippines</t>
        </is>
      </c>
      <c r="C272" s="19" t="n">
        <v>114123600</v>
      </c>
      <c r="D272" s="18" t="inlineStr">
        <is>
          <t>PH</t>
        </is>
      </c>
      <c r="E272" s="18" t="inlineStr">
        <is>
          <t>07</t>
        </is>
      </c>
      <c r="F272" s="20" t="n">
        <v>350467</v>
      </c>
      <c r="G272" s="18" t="n"/>
      <c r="H272" s="18" t="inlineStr">
        <is>
          <t>CEB</t>
        </is>
      </c>
      <c r="I272" s="18" t="inlineStr">
        <is>
          <t>Mactan Cebu International Airport</t>
        </is>
      </c>
      <c r="J272" s="21" t="n">
        <v>3.3</v>
      </c>
      <c r="K272" s="18" t="inlineStr">
        <is>
          <t>CEB</t>
        </is>
      </c>
      <c r="L272" s="18" t="inlineStr">
        <is>
          <t>100k +  pop + airport</t>
        </is>
      </c>
      <c r="M272" s="22" t="n">
        <v>0.761</v>
      </c>
      <c r="N272" s="22" t="n">
        <v>0</v>
      </c>
      <c r="O272" s="18" t="n"/>
      <c r="P272" s="22">
        <f>IF(O272="",(About!$B$5*M272+About!$B$6*N272)/(About!$B$5+About!$B$6),About!$B$5*M272+About!$B$6*N272+About!$B$7*O272)</f>
        <v/>
      </c>
      <c r="Q272" s="23" t="n">
        <v>10.3103</v>
      </c>
      <c r="R272" s="23" t="n">
        <v>123.9494</v>
      </c>
    </row>
    <row r="273" ht="15" customHeight="1" s="12">
      <c r="A273" s="18" t="inlineStr">
        <is>
          <t>Mandaue City</t>
        </is>
      </c>
      <c r="B273" s="18" t="inlineStr">
        <is>
          <t>Philippines</t>
        </is>
      </c>
      <c r="C273" s="19" t="n">
        <v>114123600</v>
      </c>
      <c r="D273" s="18" t="inlineStr">
        <is>
          <t>PH</t>
        </is>
      </c>
      <c r="E273" s="18" t="inlineStr">
        <is>
          <t>07</t>
        </is>
      </c>
      <c r="F273" s="20" t="n">
        <v>331320</v>
      </c>
      <c r="G273" s="18" t="n"/>
      <c r="H273" s="18" t="inlineStr">
        <is>
          <t>CEB</t>
        </is>
      </c>
      <c r="I273" s="18" t="inlineStr">
        <is>
          <t>Mactan Cebu International Airport</t>
        </is>
      </c>
      <c r="J273" s="21" t="n">
        <v>6.5</v>
      </c>
      <c r="K273" s="18" t="inlineStr">
        <is>
          <t>CEB</t>
        </is>
      </c>
      <c r="L273" s="18" t="inlineStr">
        <is>
          <t>100k +  pop + airport</t>
        </is>
      </c>
      <c r="M273" s="22" t="n">
        <v>0.761</v>
      </c>
      <c r="N273" s="22" t="n">
        <v>0</v>
      </c>
      <c r="O273" s="18" t="n"/>
      <c r="P273" s="22">
        <f>IF(O273="",(About!$B$5*M273+About!$B$6*N273)/(About!$B$5+About!$B$6),About!$B$5*M273+About!$B$6*N273+About!$B$7*O273)</f>
        <v/>
      </c>
      <c r="Q273" s="23" t="n">
        <v>10.3236</v>
      </c>
      <c r="R273" s="23" t="n">
        <v>123.9222</v>
      </c>
    </row>
    <row r="274" ht="15" customHeight="1" s="12">
      <c r="A274" s="18" t="inlineStr">
        <is>
          <t>Aix-en-Provence</t>
        </is>
      </c>
      <c r="B274" s="18" t="inlineStr">
        <is>
          <t>France</t>
        </is>
      </c>
      <c r="C274" s="19" t="n">
        <v>69081996</v>
      </c>
      <c r="D274" s="18" t="inlineStr">
        <is>
          <t>FR</t>
        </is>
      </c>
      <c r="E274" s="18" t="inlineStr">
        <is>
          <t>93</t>
        </is>
      </c>
      <c r="F274" s="20" t="n">
        <v>146821</v>
      </c>
      <c r="G274" s="18" t="n"/>
      <c r="H274" s="18" t="inlineStr">
        <is>
          <t>MRS</t>
        </is>
      </c>
      <c r="I274" s="18" t="inlineStr">
        <is>
          <t>Marseille Provence Airport</t>
        </is>
      </c>
      <c r="J274" s="21" t="n">
        <v>21.6</v>
      </c>
      <c r="K274" s="18" t="inlineStr">
        <is>
          <t>MRS</t>
        </is>
      </c>
      <c r="L274" s="18" t="inlineStr">
        <is>
          <t>100k +  pop</t>
        </is>
      </c>
      <c r="M274" s="22" t="n">
        <v>0.76</v>
      </c>
      <c r="N274" s="22" t="n">
        <v>0</v>
      </c>
      <c r="O274" s="18" t="n"/>
      <c r="P274" s="22">
        <f>IF(O274="",(About!$B$5*M274+About!$B$6*N274)/(About!$B$5+About!$B$6),About!$B$5*M274+About!$B$6*N274+About!$B$7*O274)</f>
        <v/>
      </c>
      <c r="Q274" s="23" t="n">
        <v>43.5283</v>
      </c>
      <c r="R274" s="23" t="n">
        <v>5.4497</v>
      </c>
    </row>
    <row r="275" ht="15" customHeight="1" s="12">
      <c r="A275" s="18" t="inlineStr">
        <is>
          <t>Talisay</t>
        </is>
      </c>
      <c r="B275" s="18" t="inlineStr">
        <is>
          <t>Philippines</t>
        </is>
      </c>
      <c r="C275" s="19" t="n">
        <v>114123600</v>
      </c>
      <c r="D275" s="18" t="inlineStr">
        <is>
          <t>PH</t>
        </is>
      </c>
      <c r="E275" s="18" t="inlineStr">
        <is>
          <t>07</t>
        </is>
      </c>
      <c r="F275" s="20" t="n">
        <v>133148</v>
      </c>
      <c r="G275" s="18" t="n"/>
      <c r="H275" s="18" t="inlineStr">
        <is>
          <t>CEB</t>
        </is>
      </c>
      <c r="I275" s="18" t="inlineStr">
        <is>
          <t>Mactan Cebu International Airport</t>
        </is>
      </c>
      <c r="J275" s="21" t="n">
        <v>16</v>
      </c>
      <c r="K275" s="18" t="inlineStr">
        <is>
          <t>CEB</t>
        </is>
      </c>
      <c r="L275" s="18" t="inlineStr">
        <is>
          <t>100k +  pop</t>
        </is>
      </c>
      <c r="M275" s="22" t="n">
        <v>0.761</v>
      </c>
      <c r="N275" s="22" t="n">
        <v>0</v>
      </c>
      <c r="O275" s="18" t="n"/>
      <c r="P275" s="22">
        <f>IF(O275="",(About!$B$5*M275+About!$B$6*N275)/(About!$B$5+About!$B$6),About!$B$5*M275+About!$B$6*N275+About!$B$7*O275)</f>
        <v/>
      </c>
      <c r="Q275" s="23" t="n">
        <v>10.2447</v>
      </c>
      <c r="R275" s="23" t="n">
        <v>123.8494</v>
      </c>
    </row>
    <row r="276" ht="15" customHeight="1" s="12">
      <c r="A276" s="18" t="inlineStr">
        <is>
          <t>Dar es Salaam</t>
        </is>
      </c>
      <c r="B276" s="18" t="inlineStr">
        <is>
          <t>Tanzania</t>
        </is>
      </c>
      <c r="C276" s="19" t="n">
        <v>68153004</v>
      </c>
      <c r="D276" s="18" t="inlineStr">
        <is>
          <t>TZ</t>
        </is>
      </c>
      <c r="E276" s="18" t="inlineStr">
        <is>
          <t>23</t>
        </is>
      </c>
      <c r="F276" s="20" t="n">
        <v>2698652</v>
      </c>
      <c r="G276" s="18" t="n"/>
      <c r="H276" s="18" t="inlineStr">
        <is>
          <t>DAR</t>
        </is>
      </c>
      <c r="I276" s="18" t="inlineStr">
        <is>
          <t>Julius Nyerere International Airport</t>
        </is>
      </c>
      <c r="J276" s="21" t="n">
        <v>8.800000000000001</v>
      </c>
      <c r="K276" s="18" t="inlineStr">
        <is>
          <t>DAR</t>
        </is>
      </c>
      <c r="L276" s="18" t="inlineStr">
        <is>
          <t>100k +  pop + airport</t>
        </is>
      </c>
      <c r="M276" s="22" t="n">
        <v>0.759</v>
      </c>
      <c r="N276" s="22" t="n">
        <v>0</v>
      </c>
      <c r="O276" s="18" t="n"/>
      <c r="P276" s="22">
        <f>IF(O276="",(About!$B$5*M276+About!$B$6*N276)/(About!$B$5+About!$B$6),About!$B$5*M276+About!$B$6*N276+About!$B$7*O276)</f>
        <v/>
      </c>
      <c r="Q276" s="23" t="n">
        <v>-6.8235</v>
      </c>
      <c r="R276" s="23" t="n">
        <v>39.2695</v>
      </c>
    </row>
    <row r="277" ht="15" customHeight="1" s="12">
      <c r="A277" s="18" t="inlineStr">
        <is>
          <t>Shenyang</t>
        </is>
      </c>
      <c r="B277" s="18" t="inlineStr">
        <is>
          <t>China</t>
        </is>
      </c>
      <c r="C277" s="19" t="n">
        <v>1404890000</v>
      </c>
      <c r="D277" s="18" t="inlineStr">
        <is>
          <t>CN</t>
        </is>
      </c>
      <c r="E277" s="18" t="inlineStr">
        <is>
          <t>19</t>
        </is>
      </c>
      <c r="F277" s="20" t="n">
        <v>6255921</v>
      </c>
      <c r="G277" s="18" t="n"/>
      <c r="H277" s="18" t="inlineStr">
        <is>
          <t>SHE</t>
        </is>
      </c>
      <c r="I277" s="18" t="inlineStr">
        <is>
          <t>Shenyang Taoxian International Airport</t>
        </is>
      </c>
      <c r="J277" s="21" t="n">
        <v>17.5</v>
      </c>
      <c r="K277" s="18" t="inlineStr">
        <is>
          <t>SHE</t>
        </is>
      </c>
      <c r="L277" s="18" t="inlineStr">
        <is>
          <t>100k +  pop + airport</t>
        </is>
      </c>
      <c r="M277" s="22" t="n">
        <v>0.756</v>
      </c>
      <c r="N277" s="22" t="n">
        <v>0</v>
      </c>
      <c r="O277" s="18" t="n"/>
      <c r="P277" s="22">
        <f>IF(O277="",(About!$B$5*M277+About!$B$6*N277)/(About!$B$5+About!$B$6),About!$B$5*M277+About!$B$6*N277+About!$B$7*O277)</f>
        <v/>
      </c>
      <c r="Q277" s="23" t="n">
        <v>41.7922</v>
      </c>
      <c r="R277" s="23" t="n">
        <v>123.4328</v>
      </c>
    </row>
    <row r="278" ht="15" customHeight="1" s="12">
      <c r="A278" s="18" t="inlineStr">
        <is>
          <t>Medellín</t>
        </is>
      </c>
      <c r="B278" s="18" t="inlineStr">
        <is>
          <t>Colombia</t>
        </is>
      </c>
      <c r="C278" s="19" t="n">
        <v>53057212</v>
      </c>
      <c r="D278" s="18" t="inlineStr">
        <is>
          <t>CO</t>
        </is>
      </c>
      <c r="E278" s="18" t="inlineStr">
        <is>
          <t>02</t>
        </is>
      </c>
      <c r="F278" s="20" t="n">
        <v>1999979</v>
      </c>
      <c r="G278" s="18" t="n"/>
      <c r="H278" s="18" t="inlineStr">
        <is>
          <t>MDE</t>
        </is>
      </c>
      <c r="I278" s="18" t="inlineStr">
        <is>
          <t>Jose Maria Córdova International Airport</t>
        </is>
      </c>
      <c r="J278" s="21" t="n">
        <v>18.3</v>
      </c>
      <c r="K278" s="18" t="inlineStr">
        <is>
          <t>EOH+MDE</t>
        </is>
      </c>
      <c r="L278" s="18" t="inlineStr">
        <is>
          <t>100k +  pop + airport</t>
        </is>
      </c>
      <c r="M278" s="22" t="n">
        <v>0.755</v>
      </c>
      <c r="N278" s="22" t="n">
        <v>0</v>
      </c>
      <c r="O278" s="18" t="n"/>
      <c r="P278" s="22">
        <f>IF(O278="",(About!$B$5*M278+About!$B$6*N278)/(About!$B$5+About!$B$6),About!$B$5*M278+About!$B$6*N278+About!$B$7*O278)</f>
        <v/>
      </c>
      <c r="Q278" s="23" t="n">
        <v>6.2518</v>
      </c>
      <c r="R278" s="23" t="n">
        <v>-75.56359999999999</v>
      </c>
    </row>
    <row r="279" ht="15" customHeight="1" s="12">
      <c r="A279" s="18" t="inlineStr">
        <is>
          <t>Bucharest</t>
        </is>
      </c>
      <c r="B279" s="18" t="inlineStr">
        <is>
          <t>Romania</t>
        </is>
      </c>
      <c r="C279" s="19" t="n">
        <v>19036031</v>
      </c>
      <c r="D279" s="18" t="inlineStr">
        <is>
          <t>RO</t>
        </is>
      </c>
      <c r="E279" s="18" t="inlineStr">
        <is>
          <t>10</t>
        </is>
      </c>
      <c r="F279" s="20" t="n">
        <v>1877155</v>
      </c>
      <c r="G279" s="18" t="inlineStr">
        <is>
          <t>Yes</t>
        </is>
      </c>
      <c r="H279" s="18" t="inlineStr">
        <is>
          <t>OTP</t>
        </is>
      </c>
      <c r="I279" s="18" t="inlineStr">
        <is>
          <t>Bucharest Henri Coandă International Airport</t>
        </is>
      </c>
      <c r="J279" s="21" t="n">
        <v>15.5</v>
      </c>
      <c r="K279" s="18" t="inlineStr">
        <is>
          <t>BBU+OTP</t>
        </is>
      </c>
      <c r="L279" s="18" t="inlineStr">
        <is>
          <t>100k +  pop + capital + airport</t>
        </is>
      </c>
      <c r="M279" s="22" t="n">
        <v>0.757</v>
      </c>
      <c r="N279" s="22" t="n">
        <v>0</v>
      </c>
      <c r="O279" s="18" t="n"/>
      <c r="P279" s="22">
        <f>IF(O279="",(About!$B$5*M279+About!$B$6*N279)/(About!$B$5+About!$B$6),About!$B$5*M279+About!$B$6*N279+About!$B$7*O279)</f>
        <v/>
      </c>
      <c r="Q279" s="23" t="n">
        <v>44.4323</v>
      </c>
      <c r="R279" s="23" t="n">
        <v>26.1063</v>
      </c>
    </row>
    <row r="280" ht="15" customHeight="1" s="12">
      <c r="A280" s="18" t="inlineStr">
        <is>
          <t>Lyon</t>
        </is>
      </c>
      <c r="B280" s="18" t="inlineStr">
        <is>
          <t>France</t>
        </is>
      </c>
      <c r="C280" s="19" t="n">
        <v>69081996</v>
      </c>
      <c r="D280" s="18" t="inlineStr">
        <is>
          <t>FR</t>
        </is>
      </c>
      <c r="E280" s="18" t="inlineStr">
        <is>
          <t>84</t>
        </is>
      </c>
      <c r="F280" s="20" t="n">
        <v>472317</v>
      </c>
      <c r="G280" s="18" t="n"/>
      <c r="H280" s="18" t="inlineStr">
        <is>
          <t>LYS</t>
        </is>
      </c>
      <c r="I280" s="18" t="inlineStr">
        <is>
          <t>Lyon Saint-Exupéry Airport</t>
        </is>
      </c>
      <c r="J280" s="21" t="n">
        <v>19.1</v>
      </c>
      <c r="K280" s="18" t="inlineStr">
        <is>
          <t>LYS</t>
        </is>
      </c>
      <c r="L280" s="18" t="inlineStr">
        <is>
          <t>100k +  pop</t>
        </is>
      </c>
      <c r="M280" s="22" t="n">
        <v>0.756</v>
      </c>
      <c r="N280" s="22" t="n">
        <v>0</v>
      </c>
      <c r="O280" s="18" t="n"/>
      <c r="P280" s="22">
        <f>IF(O280="",(About!$B$5*M280+About!$B$6*N280)/(About!$B$5+About!$B$6),About!$B$5*M280+About!$B$6*N280+About!$B$7*O280)</f>
        <v/>
      </c>
      <c r="Q280" s="23" t="n">
        <v>45.7485</v>
      </c>
      <c r="R280" s="23" t="n">
        <v>4.8467</v>
      </c>
    </row>
    <row r="281" ht="15" customHeight="1" s="12">
      <c r="A281" s="18" t="inlineStr">
        <is>
          <t>Bello</t>
        </is>
      </c>
      <c r="B281" s="18" t="inlineStr">
        <is>
          <t>Colombia</t>
        </is>
      </c>
      <c r="C281" s="19" t="n">
        <v>53057212</v>
      </c>
      <c r="D281" s="18" t="inlineStr">
        <is>
          <t>CO</t>
        </is>
      </c>
      <c r="E281" s="18" t="inlineStr">
        <is>
          <t>02</t>
        </is>
      </c>
      <c r="F281" s="20" t="n">
        <v>392939</v>
      </c>
      <c r="G281" s="18" t="n"/>
      <c r="H281" s="18" t="inlineStr">
        <is>
          <t>MDE</t>
        </is>
      </c>
      <c r="I281" s="18" t="inlineStr">
        <is>
          <t>Jose Maria Córdova International Airport</t>
        </is>
      </c>
      <c r="J281" s="21" t="n">
        <v>24.3</v>
      </c>
      <c r="K281" s="18" t="inlineStr">
        <is>
          <t>EOH+MDE</t>
        </is>
      </c>
      <c r="L281" s="18" t="inlineStr">
        <is>
          <t>100k +  pop</t>
        </is>
      </c>
      <c r="M281" s="22" t="n">
        <v>0.755</v>
      </c>
      <c r="N281" s="22" t="n">
        <v>0</v>
      </c>
      <c r="O281" s="18" t="n"/>
      <c r="P281" s="22">
        <f>IF(O281="",(About!$B$5*M281+About!$B$6*N281)/(About!$B$5+About!$B$6),About!$B$5*M281+About!$B$6*N281+About!$B$7*O281)</f>
        <v/>
      </c>
      <c r="Q281" s="23" t="n">
        <v>6.3373</v>
      </c>
      <c r="R281" s="23" t="n">
        <v>-75.55800000000001</v>
      </c>
    </row>
    <row r="282" ht="15" customHeight="1" s="12">
      <c r="A282" s="18" t="inlineStr">
        <is>
          <t>Itagüí</t>
        </is>
      </c>
      <c r="B282" s="18" t="inlineStr">
        <is>
          <t>Colombia</t>
        </is>
      </c>
      <c r="C282" s="19" t="n">
        <v>53057212</v>
      </c>
      <c r="D282" s="18" t="inlineStr">
        <is>
          <t>CO</t>
        </is>
      </c>
      <c r="E282" s="18" t="inlineStr">
        <is>
          <t>02</t>
        </is>
      </c>
      <c r="F282" s="20" t="n">
        <v>281853</v>
      </c>
      <c r="G282" s="18" t="n"/>
      <c r="H282" s="18" t="inlineStr">
        <is>
          <t>MDE</t>
        </is>
      </c>
      <c r="I282" s="18" t="inlineStr">
        <is>
          <t>Jose Maria Córdova International Airport</t>
        </is>
      </c>
      <c r="J282" s="21" t="n">
        <v>19.6</v>
      </c>
      <c r="K282" s="18" t="inlineStr">
        <is>
          <t>EOH+MDE</t>
        </is>
      </c>
      <c r="L282" s="18" t="inlineStr">
        <is>
          <t>100k +  pop + airport</t>
        </is>
      </c>
      <c r="M282" s="22" t="n">
        <v>0.755</v>
      </c>
      <c r="N282" s="22" t="n">
        <v>0</v>
      </c>
      <c r="O282" s="18" t="n"/>
      <c r="P282" s="22">
        <f>IF(O282="",(About!$B$5*M282+About!$B$6*N282)/(About!$B$5+About!$B$6),About!$B$5*M282+About!$B$6*N282+About!$B$7*O282)</f>
        <v/>
      </c>
      <c r="Q282" s="23" t="n">
        <v>6.1846</v>
      </c>
      <c r="R282" s="23" t="n">
        <v>-75.59910000000001</v>
      </c>
    </row>
    <row r="283" ht="15" customHeight="1" s="12">
      <c r="A283" s="18" t="inlineStr">
        <is>
          <t>Envigado</t>
        </is>
      </c>
      <c r="B283" s="18" t="inlineStr">
        <is>
          <t>Colombia</t>
        </is>
      </c>
      <c r="C283" s="19" t="n">
        <v>53057212</v>
      </c>
      <c r="D283" s="18" t="inlineStr">
        <is>
          <t>CO</t>
        </is>
      </c>
      <c r="E283" s="18" t="inlineStr">
        <is>
          <t>02</t>
        </is>
      </c>
      <c r="F283" s="20" t="n">
        <v>163007</v>
      </c>
      <c r="G283" s="18" t="n"/>
      <c r="H283" s="18" t="inlineStr">
        <is>
          <t>MDE</t>
        </is>
      </c>
      <c r="I283" s="18" t="inlineStr">
        <is>
          <t>Jose Maria Córdova International Airport</t>
        </is>
      </c>
      <c r="J283" s="21" t="n">
        <v>18.7</v>
      </c>
      <c r="K283" s="18" t="inlineStr">
        <is>
          <t>EOH+MDE</t>
        </is>
      </c>
      <c r="L283" s="18" t="inlineStr">
        <is>
          <t>100k +  pop + airport</t>
        </is>
      </c>
      <c r="M283" s="22" t="n">
        <v>0.755</v>
      </c>
      <c r="N283" s="22" t="n">
        <v>0</v>
      </c>
      <c r="O283" s="18" t="n"/>
      <c r="P283" s="22">
        <f>IF(O283="",(About!$B$5*M283+About!$B$6*N283)/(About!$B$5+About!$B$6),About!$B$5*M283+About!$B$6*N283+About!$B$7*O283)</f>
        <v/>
      </c>
      <c r="Q283" s="23" t="n">
        <v>6.1759</v>
      </c>
      <c r="R283" s="23" t="n">
        <v>-75.5917</v>
      </c>
    </row>
    <row r="284" ht="15" customHeight="1" s="12">
      <c r="A284" s="18" t="inlineStr">
        <is>
          <t>Villeurbanne</t>
        </is>
      </c>
      <c r="B284" s="18" t="inlineStr">
        <is>
          <t>France</t>
        </is>
      </c>
      <c r="C284" s="19" t="n">
        <v>69081996</v>
      </c>
      <c r="D284" s="18" t="inlineStr">
        <is>
          <t>FR</t>
        </is>
      </c>
      <c r="E284" s="18" t="inlineStr">
        <is>
          <t>84</t>
        </is>
      </c>
      <c r="F284" s="20" t="n">
        <v>131445</v>
      </c>
      <c r="G284" s="18" t="n"/>
      <c r="H284" s="18" t="inlineStr">
        <is>
          <t>LYS</t>
        </is>
      </c>
      <c r="I284" s="18" t="inlineStr">
        <is>
          <t>Lyon Saint-Exupéry Airport</t>
        </is>
      </c>
      <c r="J284" s="21" t="n">
        <v>16.9</v>
      </c>
      <c r="K284" s="18" t="inlineStr">
        <is>
          <t>LYS</t>
        </is>
      </c>
      <c r="L284" s="18" t="inlineStr">
        <is>
          <t>100k +  pop</t>
        </is>
      </c>
      <c r="M284" s="22" t="n">
        <v>0.756</v>
      </c>
      <c r="N284" s="22" t="n">
        <v>0</v>
      </c>
      <c r="O284" s="18" t="n"/>
      <c r="P284" s="22">
        <f>IF(O284="",(About!$B$5*M284+About!$B$6*N284)/(About!$B$5+About!$B$6),About!$B$5*M284+About!$B$6*N284+About!$B$7*O284)</f>
        <v/>
      </c>
      <c r="Q284" s="23" t="n">
        <v>45.766</v>
      </c>
      <c r="R284" s="23" t="n">
        <v>4.8795</v>
      </c>
    </row>
    <row r="285" ht="15" customHeight="1" s="12">
      <c r="A285" s="18" t="inlineStr">
        <is>
          <t>Edmonton</t>
        </is>
      </c>
      <c r="B285" s="18" t="inlineStr">
        <is>
          <t>Canada</t>
        </is>
      </c>
      <c r="C285" s="19" t="n">
        <v>41472081</v>
      </c>
      <c r="D285" s="18" t="inlineStr">
        <is>
          <t>CA</t>
        </is>
      </c>
      <c r="E285" s="18" t="inlineStr">
        <is>
          <t>01</t>
        </is>
      </c>
      <c r="F285" s="20" t="n">
        <v>712391</v>
      </c>
      <c r="G285" s="18" t="n"/>
      <c r="H285" s="18" t="inlineStr">
        <is>
          <t>YEG</t>
        </is>
      </c>
      <c r="I285" s="18" t="inlineStr">
        <is>
          <t>Edmonton International Airport</t>
        </is>
      </c>
      <c r="J285" s="21" t="n">
        <v>27.7</v>
      </c>
      <c r="K285" s="18" t="inlineStr">
        <is>
          <t>YEG</t>
        </is>
      </c>
      <c r="L285" s="18" t="inlineStr">
        <is>
          <t>100k +  pop + airport</t>
        </is>
      </c>
      <c r="M285" s="22" t="n">
        <v>0.754</v>
      </c>
      <c r="N285" s="22" t="n">
        <v>0</v>
      </c>
      <c r="O285" s="18" t="n"/>
      <c r="P285" s="22">
        <f>IF(O285="",(About!$B$5*M285+About!$B$6*N285)/(About!$B$5+About!$B$6),About!$B$5*M285+About!$B$6*N285+About!$B$7*O285)</f>
        <v/>
      </c>
      <c r="Q285" s="23" t="n">
        <v>53.5501</v>
      </c>
      <c r="R285" s="23" t="n">
        <v>-113.4687</v>
      </c>
    </row>
    <row r="286" ht="15" customHeight="1" s="12">
      <c r="A286" s="18" t="inlineStr">
        <is>
          <t>Nassau</t>
        </is>
      </c>
      <c r="B286" s="18" t="inlineStr">
        <is>
          <t>Bahamas</t>
        </is>
      </c>
      <c r="C286" s="19" t="n">
        <v>398165</v>
      </c>
      <c r="D286" s="18" t="inlineStr">
        <is>
          <t>BS</t>
        </is>
      </c>
      <c r="E286" s="18" t="inlineStr">
        <is>
          <t>23</t>
        </is>
      </c>
      <c r="F286" s="20" t="n">
        <v>227940</v>
      </c>
      <c r="G286" s="18" t="inlineStr">
        <is>
          <t>Yes</t>
        </is>
      </c>
      <c r="H286" s="18" t="inlineStr">
        <is>
          <t>NAS</t>
        </is>
      </c>
      <c r="I286" s="18" t="inlineStr">
        <is>
          <t>Lynden Pindling International Airport</t>
        </is>
      </c>
      <c r="J286" s="21" t="n">
        <v>12.6</v>
      </c>
      <c r="K286" s="18" t="inlineStr">
        <is>
          <t>NAS</t>
        </is>
      </c>
      <c r="L286" s="18" t="inlineStr">
        <is>
          <t>100k +  pop + capital + airport</t>
        </is>
      </c>
      <c r="M286" s="22" t="n">
        <v>0.752</v>
      </c>
      <c r="N286" s="22" t="n">
        <v>0</v>
      </c>
      <c r="O286" s="18" t="n"/>
      <c r="P286" s="22">
        <f>IF(O286="",(About!$B$5*M286+About!$B$6*N286)/(About!$B$5+About!$B$6),About!$B$5*M286+About!$B$6*N286+About!$B$7*O286)</f>
        <v/>
      </c>
      <c r="Q286" s="23" t="n">
        <v>25.0582</v>
      </c>
      <c r="R286" s="23" t="n">
        <v>-77.34310000000001</v>
      </c>
    </row>
    <row r="287" ht="15" customHeight="1" s="12">
      <c r="A287" s="18" t="inlineStr">
        <is>
          <t>Sacramento</t>
        </is>
      </c>
      <c r="B287" s="18" t="inlineStr">
        <is>
          <t>United States</t>
        </is>
      </c>
      <c r="C287" s="19" t="n">
        <v>341784857</v>
      </c>
      <c r="D287" s="18" t="inlineStr">
        <is>
          <t>US</t>
        </is>
      </c>
      <c r="E287" s="18" t="inlineStr">
        <is>
          <t>CA</t>
        </is>
      </c>
      <c r="F287" s="20" t="n">
        <v>490712</v>
      </c>
      <c r="G287" s="18" t="n"/>
      <c r="H287" s="18" t="inlineStr">
        <is>
          <t>SMF</t>
        </is>
      </c>
      <c r="I287" s="18" t="inlineStr">
        <is>
          <t>Sacramento International Airport</t>
        </is>
      </c>
      <c r="J287" s="21" t="n">
        <v>15.2</v>
      </c>
      <c r="K287" s="18" t="inlineStr">
        <is>
          <t>SMF</t>
        </is>
      </c>
      <c r="L287" s="18" t="inlineStr">
        <is>
          <t>100k +  pop + airport</t>
        </is>
      </c>
      <c r="M287" s="22" t="n">
        <v>0.749</v>
      </c>
      <c r="N287" s="22" t="n">
        <v>0</v>
      </c>
      <c r="O287" s="18" t="n"/>
      <c r="P287" s="22">
        <f>IF(O287="",(About!$B$5*M287+About!$B$6*N287)/(About!$B$5+About!$B$6),About!$B$5*M287+About!$B$6*N287+About!$B$7*O287)</f>
        <v/>
      </c>
      <c r="Q287" s="23" t="n">
        <v>38.5816</v>
      </c>
      <c r="R287" s="23" t="n">
        <v>-121.4944</v>
      </c>
    </row>
    <row r="288" ht="15" customHeight="1" s="12">
      <c r="A288" s="18" t="inlineStr">
        <is>
          <t>Muratpaşa</t>
        </is>
      </c>
      <c r="B288" s="18" t="inlineStr">
        <is>
          <t>Türkiye</t>
        </is>
      </c>
      <c r="C288" s="19" t="n">
        <v>86092168</v>
      </c>
      <c r="D288" s="18" t="inlineStr">
        <is>
          <t>TR</t>
        </is>
      </c>
      <c r="E288" s="18" t="inlineStr">
        <is>
          <t>07</t>
        </is>
      </c>
      <c r="F288" s="20" t="n">
        <v>450000</v>
      </c>
      <c r="G288" s="18" t="n"/>
      <c r="H288" s="18" t="inlineStr">
        <is>
          <t>AYT</t>
        </is>
      </c>
      <c r="I288" s="18" t="inlineStr">
        <is>
          <t>Antalya International Airport</t>
        </is>
      </c>
      <c r="J288" s="21" t="n">
        <v>3.3</v>
      </c>
      <c r="K288" s="18" t="inlineStr">
        <is>
          <t>AYT</t>
        </is>
      </c>
      <c r="L288" s="18" t="inlineStr">
        <is>
          <t>100k +  pop + airport</t>
        </is>
      </c>
      <c r="M288" s="22" t="n">
        <v>0.75</v>
      </c>
      <c r="N288" s="22" t="n">
        <v>0</v>
      </c>
      <c r="O288" s="18" t="n"/>
      <c r="P288" s="22">
        <f>IF(O288="",(About!$B$5*M288+About!$B$6*N288)/(About!$B$5+About!$B$6),About!$B$5*M288+About!$B$6*N288+About!$B$7*O288)</f>
        <v/>
      </c>
      <c r="Q288" s="23" t="n">
        <v>36.8916</v>
      </c>
      <c r="R288" s="23" t="n">
        <v>30.765</v>
      </c>
    </row>
    <row r="289" ht="15" customHeight="1" s="12">
      <c r="A289" s="18" t="inlineStr">
        <is>
          <t>Ankara</t>
        </is>
      </c>
      <c r="B289" s="18" t="inlineStr">
        <is>
          <t>Türkiye</t>
        </is>
      </c>
      <c r="C289" s="19" t="n">
        <v>86092168</v>
      </c>
      <c r="D289" s="18" t="inlineStr">
        <is>
          <t>TR</t>
        </is>
      </c>
      <c r="E289" s="18" t="inlineStr">
        <is>
          <t>68</t>
        </is>
      </c>
      <c r="F289" s="20" t="n">
        <v>3517182</v>
      </c>
      <c r="G289" s="18" t="inlineStr">
        <is>
          <t>Yes</t>
        </is>
      </c>
      <c r="H289" s="18" t="inlineStr">
        <is>
          <t>ESB</t>
        </is>
      </c>
      <c r="I289" s="18" t="inlineStr">
        <is>
          <t>Esenboğa International Airport</t>
        </is>
      </c>
      <c r="J289" s="21" t="n">
        <v>26.1</v>
      </c>
      <c r="K289" s="18" t="inlineStr">
        <is>
          <t>ESB</t>
        </is>
      </c>
      <c r="L289" s="18" t="inlineStr">
        <is>
          <t>100k +  pop + capital + airport</t>
        </is>
      </c>
      <c r="M289" s="22" t="n">
        <v>0.747</v>
      </c>
      <c r="N289" s="22" t="n">
        <v>0</v>
      </c>
      <c r="O289" s="18" t="n"/>
      <c r="P289" s="22">
        <f>IF(O289="",(About!$B$5*M289+About!$B$6*N289)/(About!$B$5+About!$B$6),About!$B$5*M289+About!$B$6*N289+About!$B$7*O289)</f>
        <v/>
      </c>
      <c r="Q289" s="23" t="n">
        <v>39.9199</v>
      </c>
      <c r="R289" s="23" t="n">
        <v>32.8543</v>
      </c>
    </row>
    <row r="290" ht="15" customHeight="1" s="12">
      <c r="A290" s="18" t="inlineStr">
        <is>
          <t>Naha</t>
        </is>
      </c>
      <c r="B290" s="18" t="inlineStr">
        <is>
          <t>Japan</t>
        </is>
      </c>
      <c r="C290" s="19" t="n">
        <v>122810000</v>
      </c>
      <c r="D290" s="18" t="inlineStr">
        <is>
          <t>JP</t>
        </is>
      </c>
      <c r="E290" s="18" t="inlineStr">
        <is>
          <t>47</t>
        </is>
      </c>
      <c r="F290" s="20" t="n">
        <v>300795</v>
      </c>
      <c r="G290" s="18" t="n"/>
      <c r="H290" s="18" t="inlineStr">
        <is>
          <t>OKA</t>
        </is>
      </c>
      <c r="I290" s="18" t="inlineStr">
        <is>
          <t>Naha International Airport</t>
        </is>
      </c>
      <c r="J290" s="21" t="n">
        <v>5.1</v>
      </c>
      <c r="K290" s="18" t="inlineStr">
        <is>
          <t>OKA</t>
        </is>
      </c>
      <c r="L290" s="18" t="inlineStr">
        <is>
          <t>100k +  pop + airport</t>
        </is>
      </c>
      <c r="M290" s="22" t="n">
        <v>0.749</v>
      </c>
      <c r="N290" s="22" t="n">
        <v>0</v>
      </c>
      <c r="O290" s="18" t="n"/>
      <c r="P290" s="22">
        <f>IF(O290="",(About!$B$5*M290+About!$B$6*N290)/(About!$B$5+About!$B$6),About!$B$5*M290+About!$B$6*N290+About!$B$7*O290)</f>
        <v/>
      </c>
      <c r="Q290" s="23" t="n">
        <v>26.2167</v>
      </c>
      <c r="R290" s="23" t="n">
        <v>127.6833</v>
      </c>
    </row>
    <row r="291" ht="15" customHeight="1" s="12">
      <c r="A291" s="18" t="inlineStr">
        <is>
          <t>Dalian</t>
        </is>
      </c>
      <c r="B291" s="18" t="inlineStr">
        <is>
          <t>China</t>
        </is>
      </c>
      <c r="C291" s="19" t="n">
        <v>1404890000</v>
      </c>
      <c r="D291" s="18" t="inlineStr">
        <is>
          <t>CN</t>
        </is>
      </c>
      <c r="E291" s="18" t="inlineStr">
        <is>
          <t>19</t>
        </is>
      </c>
      <c r="F291" s="20" t="n">
        <v>4087733</v>
      </c>
      <c r="G291" s="18" t="n"/>
      <c r="H291" s="18" t="inlineStr">
        <is>
          <t>DLC</t>
        </is>
      </c>
      <c r="I291" s="18" t="inlineStr">
        <is>
          <t>Dalian Zhoushuizi International Airport</t>
        </is>
      </c>
      <c r="J291" s="21" t="n">
        <v>8.1</v>
      </c>
      <c r="K291" s="18" t="inlineStr">
        <is>
          <t>DLC</t>
        </is>
      </c>
      <c r="L291" s="18" t="inlineStr">
        <is>
          <t>100k +  pop + airport</t>
        </is>
      </c>
      <c r="M291" s="22" t="n">
        <v>0.747</v>
      </c>
      <c r="N291" s="22" t="n">
        <v>0</v>
      </c>
      <c r="O291" s="18" t="n"/>
      <c r="P291" s="22">
        <f>IF(O291="",(About!$B$5*M291+About!$B$6*N291)/(About!$B$5+About!$B$6),About!$B$5*M291+About!$B$6*N291+About!$B$7*O291)</f>
        <v/>
      </c>
      <c r="Q291" s="23" t="n">
        <v>38.9122</v>
      </c>
      <c r="R291" s="23" t="n">
        <v>121.6022</v>
      </c>
    </row>
    <row r="292" ht="15" customHeight="1" s="12">
      <c r="A292" s="18" t="inlineStr">
        <is>
          <t>Köln</t>
        </is>
      </c>
      <c r="B292" s="18" t="inlineStr">
        <is>
          <t>Germany</t>
        </is>
      </c>
      <c r="C292" s="19" t="n">
        <v>83497147</v>
      </c>
      <c r="D292" s="18" t="inlineStr">
        <is>
          <t>DE</t>
        </is>
      </c>
      <c r="E292" s="18" t="inlineStr">
        <is>
          <t>07</t>
        </is>
      </c>
      <c r="F292" s="20" t="n">
        <v>963395</v>
      </c>
      <c r="G292" s="18" t="n"/>
      <c r="H292" s="18" t="inlineStr">
        <is>
          <t>CGN</t>
        </is>
      </c>
      <c r="I292" s="18" t="inlineStr">
        <is>
          <t>Cologne Bonn Airport</t>
        </is>
      </c>
      <c r="J292" s="21" t="n">
        <v>15.5</v>
      </c>
      <c r="K292" s="18" t="inlineStr">
        <is>
          <t>CGN</t>
        </is>
      </c>
      <c r="L292" s="18" t="inlineStr">
        <is>
          <t>100k +  pop</t>
        </is>
      </c>
      <c r="M292" s="22" t="n">
        <v>0.746</v>
      </c>
      <c r="N292" s="22" t="n">
        <v>0</v>
      </c>
      <c r="O292" s="18" t="n"/>
      <c r="P292" s="22">
        <f>IF(O292="",(About!$B$5*M292+About!$B$6*N292)/(About!$B$5+About!$B$6),About!$B$5*M292+About!$B$6*N292+About!$B$7*O292)</f>
        <v/>
      </c>
      <c r="Q292" s="23" t="n">
        <v>50.9333</v>
      </c>
      <c r="R292" s="23" t="n">
        <v>6.95</v>
      </c>
    </row>
    <row r="293" ht="15" customHeight="1" s="12">
      <c r="A293" s="18" t="inlineStr">
        <is>
          <t>Bonn</t>
        </is>
      </c>
      <c r="B293" s="18" t="inlineStr">
        <is>
          <t>Germany</t>
        </is>
      </c>
      <c r="C293" s="19" t="n">
        <v>83497147</v>
      </c>
      <c r="D293" s="18" t="inlineStr">
        <is>
          <t>DE</t>
        </is>
      </c>
      <c r="E293" s="18" t="inlineStr">
        <is>
          <t>07</t>
        </is>
      </c>
      <c r="F293" s="20" t="n">
        <v>313125</v>
      </c>
      <c r="G293" s="18" t="n"/>
      <c r="H293" s="18" t="inlineStr">
        <is>
          <t>CGN</t>
        </is>
      </c>
      <c r="I293" s="18" t="inlineStr">
        <is>
          <t>Cologne Bonn Airport</t>
        </is>
      </c>
      <c r="J293" s="21" t="n">
        <v>15</v>
      </c>
      <c r="K293" s="18" t="inlineStr">
        <is>
          <t>CGN</t>
        </is>
      </c>
      <c r="L293" s="18" t="inlineStr">
        <is>
          <t>100k +  pop</t>
        </is>
      </c>
      <c r="M293" s="22" t="n">
        <v>0.746</v>
      </c>
      <c r="N293" s="22" t="n">
        <v>0</v>
      </c>
      <c r="O293" s="18" t="n"/>
      <c r="P293" s="22">
        <f>IF(O293="",(About!$B$5*M293+About!$B$6*N293)/(About!$B$5+About!$B$6),About!$B$5*M293+About!$B$6*N293+About!$B$7*O293)</f>
        <v/>
      </c>
      <c r="Q293" s="23" t="n">
        <v>50.7344</v>
      </c>
      <c r="R293" s="23" t="n">
        <v>7.0955</v>
      </c>
    </row>
    <row r="294" ht="15" customHeight="1" s="12">
      <c r="A294" s="18" t="inlineStr">
        <is>
          <t>Leverkusen</t>
        </is>
      </c>
      <c r="B294" s="18" t="inlineStr">
        <is>
          <t>Germany</t>
        </is>
      </c>
      <c r="C294" s="19" t="n">
        <v>83497147</v>
      </c>
      <c r="D294" s="18" t="inlineStr">
        <is>
          <t>DE</t>
        </is>
      </c>
      <c r="E294" s="18" t="inlineStr">
        <is>
          <t>07</t>
        </is>
      </c>
      <c r="F294" s="20" t="n">
        <v>162738</v>
      </c>
      <c r="G294" s="18" t="n"/>
      <c r="H294" s="18" t="inlineStr">
        <is>
          <t>CGN</t>
        </is>
      </c>
      <c r="I294" s="18" t="inlineStr">
        <is>
          <t>Cologne Bonn Airport</t>
        </is>
      </c>
      <c r="J294" s="21" t="n">
        <v>21.4</v>
      </c>
      <c r="K294" s="18" t="inlineStr">
        <is>
          <t>CGN</t>
        </is>
      </c>
      <c r="L294" s="18" t="inlineStr">
        <is>
          <t>100k +  pop</t>
        </is>
      </c>
      <c r="M294" s="22" t="n">
        <v>0.746</v>
      </c>
      <c r="N294" s="22" t="n">
        <v>0</v>
      </c>
      <c r="O294" s="18" t="n"/>
      <c r="P294" s="22">
        <f>IF(O294="",(About!$B$5*M294+About!$B$6*N294)/(About!$B$5+About!$B$6),About!$B$5*M294+About!$B$6*N294+About!$B$7*O294)</f>
        <v/>
      </c>
      <c r="Q294" s="23" t="n">
        <v>51.0303</v>
      </c>
      <c r="R294" s="23" t="n">
        <v>6.9843</v>
      </c>
    </row>
    <row r="295" ht="15" customHeight="1" s="12">
      <c r="A295" s="18" t="inlineStr">
        <is>
          <t>Bergisch Gladbach</t>
        </is>
      </c>
      <c r="B295" s="18" t="inlineStr">
        <is>
          <t>Germany</t>
        </is>
      </c>
      <c r="C295" s="19" t="n">
        <v>83497147</v>
      </c>
      <c r="D295" s="18" t="inlineStr">
        <is>
          <t>DE</t>
        </is>
      </c>
      <c r="E295" s="18" t="inlineStr">
        <is>
          <t>07</t>
        </is>
      </c>
      <c r="F295" s="20" t="n">
        <v>106184</v>
      </c>
      <c r="G295" s="18" t="n"/>
      <c r="H295" s="18" t="inlineStr">
        <is>
          <t>CGN</t>
        </is>
      </c>
      <c r="I295" s="18" t="inlineStr">
        <is>
          <t>Cologne Bonn Airport</t>
        </is>
      </c>
      <c r="J295" s="21" t="n">
        <v>13.3</v>
      </c>
      <c r="K295" s="18" t="inlineStr">
        <is>
          <t>CGN</t>
        </is>
      </c>
      <c r="L295" s="18" t="inlineStr">
        <is>
          <t>100k +  pop</t>
        </is>
      </c>
      <c r="M295" s="22" t="n">
        <v>0.746</v>
      </c>
      <c r="N295" s="22" t="n">
        <v>0</v>
      </c>
      <c r="O295" s="18" t="n"/>
      <c r="P295" s="22">
        <f>IF(O295="",(About!$B$5*M295+About!$B$6*N295)/(About!$B$5+About!$B$6),About!$B$5*M295+About!$B$6*N295+About!$B$7*O295)</f>
        <v/>
      </c>
      <c r="Q295" s="23" t="n">
        <v>50.9856</v>
      </c>
      <c r="R295" s="23" t="n">
        <v>7.133</v>
      </c>
    </row>
    <row r="296" ht="15" customHeight="1" s="12">
      <c r="A296" s="18" t="inlineStr">
        <is>
          <t>Tromsø</t>
        </is>
      </c>
      <c r="B296" s="18" t="inlineStr">
        <is>
          <t>Norway</t>
        </is>
      </c>
      <c r="C296" s="19" t="n">
        <v>5633770</v>
      </c>
      <c r="D296" s="18" t="inlineStr">
        <is>
          <t>NO</t>
        </is>
      </c>
      <c r="E296" s="18" t="inlineStr">
        <is>
          <t>54</t>
        </is>
      </c>
      <c r="F296" s="20" t="n">
        <v>52436</v>
      </c>
      <c r="G296" s="18" t="n"/>
      <c r="H296" s="18" t="inlineStr">
        <is>
          <t>TOS</t>
        </is>
      </c>
      <c r="I296" s="18" t="inlineStr">
        <is>
          <t>Tromsø Airport</t>
        </is>
      </c>
      <c r="J296" s="21" t="n">
        <v>4.1</v>
      </c>
      <c r="K296" s="18" t="inlineStr">
        <is>
          <t>TOS</t>
        </is>
      </c>
      <c r="L296" s="18" t="inlineStr">
        <is>
          <t>airport</t>
        </is>
      </c>
      <c r="M296" s="22" t="n">
        <v>0.747</v>
      </c>
      <c r="N296" s="22" t="n">
        <v>0</v>
      </c>
      <c r="O296" s="18" t="n"/>
      <c r="P296" s="22">
        <f>IF(O296="",(About!$B$5*M296+About!$B$6*N296)/(About!$B$5+About!$B$6),About!$B$5*M296+About!$B$6*N296+About!$B$7*O296)</f>
        <v/>
      </c>
      <c r="Q296" s="23" t="n">
        <v>69.6489</v>
      </c>
      <c r="R296" s="23" t="n">
        <v>18.9551</v>
      </c>
    </row>
    <row r="297" ht="15" customHeight="1" s="12">
      <c r="A297" s="18" t="inlineStr">
        <is>
          <t>Zhengzhou</t>
        </is>
      </c>
      <c r="B297" s="18" t="inlineStr">
        <is>
          <t>China</t>
        </is>
      </c>
      <c r="C297" s="19" t="n">
        <v>1404890000</v>
      </c>
      <c r="D297" s="18" t="inlineStr">
        <is>
          <t>CN</t>
        </is>
      </c>
      <c r="E297" s="18" t="inlineStr">
        <is>
          <t>09</t>
        </is>
      </c>
      <c r="F297" s="20" t="n">
        <v>4253913</v>
      </c>
      <c r="G297" s="18" t="n"/>
      <c r="H297" s="18" t="inlineStr">
        <is>
          <t>CGO</t>
        </is>
      </c>
      <c r="I297" s="18" t="inlineStr">
        <is>
          <t>Zhengzhou Xinzheng International Airport</t>
        </is>
      </c>
      <c r="J297" s="21" t="n">
        <v>31.6</v>
      </c>
      <c r="K297" s="18" t="inlineStr">
        <is>
          <t>CGO</t>
        </is>
      </c>
      <c r="L297" s="18" t="inlineStr">
        <is>
          <t>100k +  pop + airport</t>
        </is>
      </c>
      <c r="M297" s="22" t="n">
        <v>0.744</v>
      </c>
      <c r="N297" s="22" t="n">
        <v>0</v>
      </c>
      <c r="O297" s="18" t="n"/>
      <c r="P297" s="22">
        <f>IF(O297="",(About!$B$5*M297+About!$B$6*N297)/(About!$B$5+About!$B$6),About!$B$5*M297+About!$B$6*N297+About!$B$7*O297)</f>
        <v/>
      </c>
      <c r="Q297" s="23" t="n">
        <v>34.7578</v>
      </c>
      <c r="R297" s="23" t="n">
        <v>113.6486</v>
      </c>
    </row>
    <row r="298" ht="15" customHeight="1" s="12">
      <c r="A298" s="18" t="inlineStr">
        <is>
          <t>Caracas</t>
        </is>
      </c>
      <c r="B298" s="18" t="inlineStr">
        <is>
          <t>Venezuela</t>
        </is>
      </c>
      <c r="C298" s="19" t="n">
        <v>28517000</v>
      </c>
      <c r="D298" s="18" t="inlineStr">
        <is>
          <t>VE</t>
        </is>
      </c>
      <c r="E298" s="18" t="inlineStr">
        <is>
          <t>25</t>
        </is>
      </c>
      <c r="F298" s="20" t="n">
        <v>3000000</v>
      </c>
      <c r="G298" s="18" t="inlineStr">
        <is>
          <t>Yes</t>
        </is>
      </c>
      <c r="H298" s="18" t="inlineStr">
        <is>
          <t>CCS</t>
        </is>
      </c>
      <c r="I298" s="18" t="inlineStr">
        <is>
          <t>Maiquetía Simón Bolívar International Airport</t>
        </is>
      </c>
      <c r="J298" s="21" t="n">
        <v>17.6</v>
      </c>
      <c r="K298" s="18" t="inlineStr">
        <is>
          <t>CCS</t>
        </is>
      </c>
      <c r="L298" s="18" t="inlineStr">
        <is>
          <t>100k +  pop + capital</t>
        </is>
      </c>
      <c r="M298" s="22" t="n">
        <v>0.744</v>
      </c>
      <c r="N298" s="22" t="n">
        <v>0</v>
      </c>
      <c r="O298" s="18" t="n"/>
      <c r="P298" s="22">
        <f>IF(O298="",(About!$B$5*M298+About!$B$6*N298)/(About!$B$5+About!$B$6),About!$B$5*M298+About!$B$6*N298+About!$B$7*O298)</f>
        <v/>
      </c>
      <c r="Q298" s="23" t="n">
        <v>10.488</v>
      </c>
      <c r="R298" s="23" t="n">
        <v>-66.8792</v>
      </c>
    </row>
    <row r="299" ht="15" customHeight="1" s="12">
      <c r="A299" s="18" t="inlineStr">
        <is>
          <t>Winnipeg</t>
        </is>
      </c>
      <c r="B299" s="18" t="inlineStr">
        <is>
          <t>Canada</t>
        </is>
      </c>
      <c r="C299" s="19" t="n">
        <v>41472081</v>
      </c>
      <c r="D299" s="18" t="inlineStr">
        <is>
          <t>CA</t>
        </is>
      </c>
      <c r="E299" s="18" t="inlineStr">
        <is>
          <t>03</t>
        </is>
      </c>
      <c r="F299" s="20" t="n">
        <v>632063</v>
      </c>
      <c r="G299" s="18" t="n"/>
      <c r="H299" s="18" t="inlineStr">
        <is>
          <t>YWG</t>
        </is>
      </c>
      <c r="I299" s="18" t="inlineStr">
        <is>
          <t>Winnipeg / James Armstrong Richardson International Airport</t>
        </is>
      </c>
      <c r="J299" s="21" t="n">
        <v>7.2</v>
      </c>
      <c r="K299" s="18" t="inlineStr">
        <is>
          <t>YWG</t>
        </is>
      </c>
      <c r="L299" s="18" t="inlineStr">
        <is>
          <t>100k +  pop + airport</t>
        </is>
      </c>
      <c r="M299" s="22" t="n">
        <v>0.745</v>
      </c>
      <c r="N299" s="22" t="n">
        <v>0</v>
      </c>
      <c r="O299" s="18" t="n"/>
      <c r="P299" s="22">
        <f>IF(O299="",(About!$B$5*M299+About!$B$6*N299)/(About!$B$5+About!$B$6),About!$B$5*M299+About!$B$6*N299+About!$B$7*O299)</f>
        <v/>
      </c>
      <c r="Q299" s="23" t="n">
        <v>49.8844</v>
      </c>
      <c r="R299" s="23" t="n">
        <v>-97.14700000000001</v>
      </c>
    </row>
    <row r="300" ht="15" customHeight="1" s="12">
      <c r="A300" s="18" t="inlineStr">
        <is>
          <t>Málaga</t>
        </is>
      </c>
      <c r="B300" s="18" t="inlineStr">
        <is>
          <t>Spain</t>
        </is>
      </c>
      <c r="C300" s="19" t="n">
        <v>49687120</v>
      </c>
      <c r="D300" s="18" t="inlineStr">
        <is>
          <t>ES</t>
        </is>
      </c>
      <c r="E300" s="18" t="inlineStr">
        <is>
          <t>51</t>
        </is>
      </c>
      <c r="F300" s="20" t="n">
        <v>568305</v>
      </c>
      <c r="G300" s="18" t="n"/>
      <c r="H300" s="18" t="inlineStr">
        <is>
          <t>AGP</t>
        </is>
      </c>
      <c r="I300" s="18" t="inlineStr">
        <is>
          <t>Málaga-Costa del Sol Airport</t>
        </is>
      </c>
      <c r="J300" s="21" t="n">
        <v>8.6</v>
      </c>
      <c r="K300" s="18" t="inlineStr">
        <is>
          <t>AGP</t>
        </is>
      </c>
      <c r="L300" s="18" t="inlineStr">
        <is>
          <t>100k +  pop + airport</t>
        </is>
      </c>
      <c r="M300" s="22" t="n">
        <v>0.744</v>
      </c>
      <c r="N300" s="22" t="n">
        <v>0</v>
      </c>
      <c r="O300" s="18" t="n"/>
      <c r="P300" s="22">
        <f>IF(O300="",(About!$B$5*M300+About!$B$6*N300)/(About!$B$5+About!$B$6),About!$B$5*M300+About!$B$6*N300+About!$B$7*O300)</f>
        <v/>
      </c>
      <c r="Q300" s="23" t="n">
        <v>36.7202</v>
      </c>
      <c r="R300" s="23" t="n">
        <v>-4.4203</v>
      </c>
    </row>
    <row r="301" ht="15" customHeight="1" s="12">
      <c r="A301" s="18" t="inlineStr">
        <is>
          <t>Venice</t>
        </is>
      </c>
      <c r="B301" s="18" t="inlineStr">
        <is>
          <t>Italy</t>
        </is>
      </c>
      <c r="C301" s="19" t="n">
        <v>58932330</v>
      </c>
      <c r="D301" s="18" t="inlineStr">
        <is>
          <t>IT</t>
        </is>
      </c>
      <c r="E301" s="18" t="inlineStr">
        <is>
          <t>20</t>
        </is>
      </c>
      <c r="F301" s="20" t="n">
        <v>276564</v>
      </c>
      <c r="G301" s="18" t="n"/>
      <c r="H301" s="18" t="inlineStr">
        <is>
          <t>VCE</t>
        </is>
      </c>
      <c r="I301" s="18" t="inlineStr">
        <is>
          <t>Venice Marco Polo Airport</t>
        </is>
      </c>
      <c r="J301" s="21" t="n">
        <v>8.4</v>
      </c>
      <c r="K301" s="18" t="inlineStr">
        <is>
          <t>TSF+VCE</t>
        </is>
      </c>
      <c r="L301" s="18" t="inlineStr">
        <is>
          <t>100k +  pop + airport</t>
        </is>
      </c>
      <c r="M301" s="22" t="n">
        <v>0.744</v>
      </c>
      <c r="N301" s="22" t="n">
        <v>0</v>
      </c>
      <c r="O301" s="18" t="n"/>
      <c r="P301" s="22">
        <f>IF(O301="",(About!$B$5*M301+About!$B$6*N301)/(About!$B$5+About!$B$6),About!$B$5*M301+About!$B$6*N301+About!$B$7*O301)</f>
        <v/>
      </c>
      <c r="Q301" s="23" t="n">
        <v>45.4917</v>
      </c>
      <c r="R301" s="23" t="n">
        <v>12.2454</v>
      </c>
    </row>
    <row r="302" ht="15" customHeight="1" s="12">
      <c r="A302" s="18" t="inlineStr">
        <is>
          <t>Monaco</t>
        </is>
      </c>
      <c r="B302" s="18" t="inlineStr">
        <is>
          <t>Monaco</t>
        </is>
      </c>
      <c r="C302" s="19" t="n">
        <v>38857</v>
      </c>
      <c r="D302" s="18" t="inlineStr">
        <is>
          <t>MC</t>
        </is>
      </c>
      <c r="E302" s="18" t="inlineStr">
        <is>
          <t>00</t>
        </is>
      </c>
      <c r="F302" s="20" t="n">
        <v>32965</v>
      </c>
      <c r="G302" s="18" t="inlineStr">
        <is>
          <t>Yes</t>
        </is>
      </c>
      <c r="H302" s="18" t="inlineStr">
        <is>
          <t>NCE</t>
        </is>
      </c>
      <c r="I302" s="18" t="inlineStr">
        <is>
          <t>Nice-Côte d'Azur Airport</t>
        </is>
      </c>
      <c r="J302" s="21" t="n">
        <v>18.2</v>
      </c>
      <c r="K302" s="18" t="inlineStr">
        <is>
          <t>MCM+NCE</t>
        </is>
      </c>
      <c r="L302" s="18" t="inlineStr">
        <is>
          <t>capital + airport</t>
        </is>
      </c>
      <c r="M302" s="22" t="n">
        <v>0.745</v>
      </c>
      <c r="N302" s="22" t="n">
        <v>0</v>
      </c>
      <c r="O302" s="18" t="n"/>
      <c r="P302" s="22">
        <f>IF(O302="",(About!$B$5*M302+About!$B$6*N302)/(About!$B$5+About!$B$6),About!$B$5*M302+About!$B$6*N302+About!$B$7*O302)</f>
        <v/>
      </c>
      <c r="Q302" s="23" t="n">
        <v>43.7333</v>
      </c>
      <c r="R302" s="23" t="n">
        <v>7.4167</v>
      </c>
    </row>
    <row r="303" ht="15" customHeight="1" s="12">
      <c r="A303" s="18" t="inlineStr">
        <is>
          <t>Austin</t>
        </is>
      </c>
      <c r="B303" s="18" t="inlineStr">
        <is>
          <t>United States</t>
        </is>
      </c>
      <c r="C303" s="19" t="n">
        <v>341784857</v>
      </c>
      <c r="D303" s="18" t="inlineStr">
        <is>
          <t>US</t>
        </is>
      </c>
      <c r="E303" s="18" t="inlineStr">
        <is>
          <t>TX</t>
        </is>
      </c>
      <c r="F303" s="20" t="n">
        <v>931830</v>
      </c>
      <c r="G303" s="18" t="n"/>
      <c r="H303" s="18" t="inlineStr">
        <is>
          <t>AUS</t>
        </is>
      </c>
      <c r="I303" s="18" t="inlineStr">
        <is>
          <t>Austin Bergstrom International Airport</t>
        </is>
      </c>
      <c r="J303" s="21" t="n">
        <v>11</v>
      </c>
      <c r="K303" s="18" t="inlineStr">
        <is>
          <t>AUS</t>
        </is>
      </c>
      <c r="L303" s="18" t="inlineStr">
        <is>
          <t>100k +  pop + airport</t>
        </is>
      </c>
      <c r="M303" s="22" t="n">
        <v>0.741</v>
      </c>
      <c r="N303" s="22" t="n">
        <v>0</v>
      </c>
      <c r="O303" s="18" t="n"/>
      <c r="P303" s="22">
        <f>IF(O303="",(About!$B$5*M303+About!$B$6*N303)/(About!$B$5+About!$B$6),About!$B$5*M303+About!$B$6*N303+About!$B$7*O303)</f>
        <v/>
      </c>
      <c r="Q303" s="23" t="n">
        <v>30.2672</v>
      </c>
      <c r="R303" s="23" t="n">
        <v>-97.7431</v>
      </c>
    </row>
    <row r="304" ht="15" customHeight="1" s="12">
      <c r="A304" s="18" t="inlineStr">
        <is>
          <t>Changsha</t>
        </is>
      </c>
      <c r="B304" s="18" t="inlineStr">
        <is>
          <t>China</t>
        </is>
      </c>
      <c r="C304" s="19" t="n">
        <v>1404890000</v>
      </c>
      <c r="D304" s="18" t="inlineStr">
        <is>
          <t>CN</t>
        </is>
      </c>
      <c r="E304" s="18" t="inlineStr">
        <is>
          <t>11</t>
        </is>
      </c>
      <c r="F304" s="20" t="n">
        <v>3093980</v>
      </c>
      <c r="G304" s="18" t="n"/>
      <c r="H304" s="18" t="inlineStr">
        <is>
          <t>CSX</t>
        </is>
      </c>
      <c r="I304" s="18" t="inlineStr">
        <is>
          <t>Changsha Huanghua International Airport</t>
        </is>
      </c>
      <c r="J304" s="21" t="n">
        <v>24.4</v>
      </c>
      <c r="K304" s="18" t="inlineStr">
        <is>
          <t>CSX</t>
        </is>
      </c>
      <c r="L304" s="18" t="inlineStr">
        <is>
          <t>100k +  pop</t>
        </is>
      </c>
      <c r="M304" s="22" t="n">
        <v>0.74</v>
      </c>
      <c r="N304" s="22" t="n">
        <v>0</v>
      </c>
      <c r="O304" s="18" t="n"/>
      <c r="P304" s="22">
        <f>IF(O304="",(About!$B$5*M304+About!$B$6*N304)/(About!$B$5+About!$B$6),About!$B$5*M304+About!$B$6*N304+About!$B$7*O304)</f>
        <v/>
      </c>
      <c r="Q304" s="23" t="n">
        <v>28.1987</v>
      </c>
      <c r="R304" s="23" t="n">
        <v>112.9709</v>
      </c>
    </row>
    <row r="305" ht="15" customHeight="1" s="12">
      <c r="A305" s="18" t="inlineStr">
        <is>
          <t>Al Aḩmadī</t>
        </is>
      </c>
      <c r="B305" s="18" t="inlineStr">
        <is>
          <t>Kuwait</t>
        </is>
      </c>
      <c r="C305" s="19" t="n">
        <v>4881254</v>
      </c>
      <c r="D305" s="18" t="inlineStr">
        <is>
          <t>KW</t>
        </is>
      </c>
      <c r="E305" s="18" t="inlineStr">
        <is>
          <t>04</t>
        </is>
      </c>
      <c r="F305" s="20" t="n">
        <v>637411</v>
      </c>
      <c r="G305" s="18" t="n"/>
      <c r="H305" s="18" t="inlineStr">
        <is>
          <t>KWI</t>
        </is>
      </c>
      <c r="I305" s="18" t="inlineStr">
        <is>
          <t>Kuwait International Airport</t>
        </is>
      </c>
      <c r="J305" s="21" t="n">
        <v>19.8</v>
      </c>
      <c r="K305" s="18" t="inlineStr">
        <is>
          <t>KWI</t>
        </is>
      </c>
      <c r="L305" s="18" t="inlineStr">
        <is>
          <t>100k +  pop</t>
        </is>
      </c>
      <c r="M305" s="22" t="n">
        <v>0.739</v>
      </c>
      <c r="N305" s="22" t="n">
        <v>0</v>
      </c>
      <c r="O305" s="18" t="n"/>
      <c r="P305" s="22">
        <f>IF(O305="",(About!$B$5*M305+About!$B$6*N305)/(About!$B$5+About!$B$6),About!$B$5*M305+About!$B$6*N305+About!$B$7*O305)</f>
        <v/>
      </c>
      <c r="Q305" s="23" t="n">
        <v>29.0769</v>
      </c>
      <c r="R305" s="23" t="n">
        <v>48.0839</v>
      </c>
    </row>
    <row r="306" ht="15" customHeight="1" s="12">
      <c r="A306" s="18" t="inlineStr">
        <is>
          <t>Glasgow</t>
        </is>
      </c>
      <c r="B306" s="18" t="inlineStr">
        <is>
          <t>United Kingdom</t>
        </is>
      </c>
      <c r="C306" s="19" t="n">
        <v>69487000</v>
      </c>
      <c r="D306" s="18" t="inlineStr">
        <is>
          <t>GB</t>
        </is>
      </c>
      <c r="E306" s="18" t="inlineStr">
        <is>
          <t>SCT</t>
        </is>
      </c>
      <c r="F306" s="20" t="n">
        <v>591620</v>
      </c>
      <c r="G306" s="18" t="n"/>
      <c r="H306" s="18" t="inlineStr">
        <is>
          <t>GLA</t>
        </is>
      </c>
      <c r="I306" s="18" t="inlineStr">
        <is>
          <t>Glasgow Airport</t>
        </is>
      </c>
      <c r="J306" s="21" t="n">
        <v>11</v>
      </c>
      <c r="K306" s="18" t="inlineStr">
        <is>
          <t>GLA</t>
        </is>
      </c>
      <c r="L306" s="18" t="inlineStr">
        <is>
          <t>100k +  pop + airport</t>
        </is>
      </c>
      <c r="M306" s="22" t="n">
        <v>0.74</v>
      </c>
      <c r="N306" s="22" t="n">
        <v>0</v>
      </c>
      <c r="O306" s="18" t="n"/>
      <c r="P306" s="22">
        <f>IF(O306="",(About!$B$5*M306+About!$B$6*N306)/(About!$B$5+About!$B$6),About!$B$5*M306+About!$B$6*N306+About!$B$7*O306)</f>
        <v/>
      </c>
      <c r="Q306" s="23" t="n">
        <v>55.8651</v>
      </c>
      <c r="R306" s="23" t="n">
        <v>-4.2576</v>
      </c>
    </row>
    <row r="307" ht="15" customHeight="1" s="12">
      <c r="A307" s="18" t="inlineStr">
        <is>
          <t>Ḩawallī</t>
        </is>
      </c>
      <c r="B307" s="18" t="inlineStr">
        <is>
          <t>Kuwait</t>
        </is>
      </c>
      <c r="C307" s="19" t="n">
        <v>4881254</v>
      </c>
      <c r="D307" s="18" t="inlineStr">
        <is>
          <t>KW</t>
        </is>
      </c>
      <c r="E307" s="18" t="inlineStr">
        <is>
          <t>08</t>
        </is>
      </c>
      <c r="F307" s="20" t="n">
        <v>164212</v>
      </c>
      <c r="G307" s="18" t="n"/>
      <c r="H307" s="18" t="inlineStr">
        <is>
          <t>KWI</t>
        </is>
      </c>
      <c r="I307" s="18" t="inlineStr">
        <is>
          <t>Kuwait International Airport</t>
        </is>
      </c>
      <c r="J307" s="21" t="n">
        <v>13.3</v>
      </c>
      <c r="K307" s="18" t="inlineStr">
        <is>
          <t>KWI</t>
        </is>
      </c>
      <c r="L307" s="18" t="inlineStr">
        <is>
          <t>100k +  pop</t>
        </is>
      </c>
      <c r="M307" s="22" t="n">
        <v>0.739</v>
      </c>
      <c r="N307" s="22" t="n">
        <v>0</v>
      </c>
      <c r="O307" s="18" t="n"/>
      <c r="P307" s="22">
        <f>IF(O307="",(About!$B$5*M307+About!$B$6*N307)/(About!$B$5+About!$B$6),About!$B$5*M307+About!$B$6*N307+About!$B$7*O307)</f>
        <v/>
      </c>
      <c r="Q307" s="23" t="n">
        <v>29.3328</v>
      </c>
      <c r="R307" s="23" t="n">
        <v>48.0286</v>
      </c>
    </row>
    <row r="308" ht="15" customHeight="1" s="12">
      <c r="A308" s="18" t="inlineStr">
        <is>
          <t>Şabāḩ as Sālim</t>
        </is>
      </c>
      <c r="B308" s="18" t="inlineStr">
        <is>
          <t>Kuwait</t>
        </is>
      </c>
      <c r="C308" s="19" t="n">
        <v>4881254</v>
      </c>
      <c r="D308" s="18" t="inlineStr">
        <is>
          <t>KW</t>
        </is>
      </c>
      <c r="E308" s="18" t="inlineStr">
        <is>
          <t>09</t>
        </is>
      </c>
      <c r="F308" s="20" t="n">
        <v>139163</v>
      </c>
      <c r="G308" s="18" t="n"/>
      <c r="H308" s="18" t="inlineStr">
        <is>
          <t>KWI</t>
        </is>
      </c>
      <c r="I308" s="18" t="inlineStr">
        <is>
          <t>Kuwait International Airport</t>
        </is>
      </c>
      <c r="J308" s="21" t="n">
        <v>9.199999999999999</v>
      </c>
      <c r="K308" s="18" t="inlineStr">
        <is>
          <t>KWI</t>
        </is>
      </c>
      <c r="L308" s="18" t="inlineStr">
        <is>
          <t>100k +  pop + airport</t>
        </is>
      </c>
      <c r="M308" s="22" t="n">
        <v>0.739</v>
      </c>
      <c r="N308" s="22" t="n">
        <v>0</v>
      </c>
      <c r="O308" s="18" t="n"/>
      <c r="P308" s="22">
        <f>IF(O308="",(About!$B$5*M308+About!$B$6*N308)/(About!$B$5+About!$B$6),About!$B$5*M308+About!$B$6*N308+About!$B$7*O308)</f>
        <v/>
      </c>
      <c r="Q308" s="23" t="n">
        <v>29.2572</v>
      </c>
      <c r="R308" s="23" t="n">
        <v>48.0572</v>
      </c>
    </row>
    <row r="309" ht="15" customHeight="1" s="12">
      <c r="A309" s="18" t="inlineStr">
        <is>
          <t>Darwin</t>
        </is>
      </c>
      <c r="B309" s="18" t="inlineStr">
        <is>
          <t>Australia</t>
        </is>
      </c>
      <c r="C309" s="19" t="n">
        <v>27724744</v>
      </c>
      <c r="D309" s="18" t="inlineStr">
        <is>
          <t>AU</t>
        </is>
      </c>
      <c r="E309" s="18" t="inlineStr">
        <is>
          <t>03</t>
        </is>
      </c>
      <c r="F309" s="20" t="n">
        <v>129062</v>
      </c>
      <c r="G309" s="18" t="n"/>
      <c r="H309" s="18" t="inlineStr">
        <is>
          <t>DRW</t>
        </is>
      </c>
      <c r="I309" s="18" t="inlineStr">
        <is>
          <t>Darwin International Airport / RAAF Darwin</t>
        </is>
      </c>
      <c r="J309" s="21" t="n">
        <v>6.7</v>
      </c>
      <c r="K309" s="18" t="inlineStr">
        <is>
          <t>DRW</t>
        </is>
      </c>
      <c r="L309" s="18" t="inlineStr">
        <is>
          <t>100k +  pop + airport</t>
        </is>
      </c>
      <c r="M309" s="22" t="n">
        <v>0.739</v>
      </c>
      <c r="N309" s="22" t="n">
        <v>0</v>
      </c>
      <c r="O309" s="18" t="n"/>
      <c r="P309" s="22">
        <f>IF(O309="",(About!$B$5*M309+About!$B$6*N309)/(About!$B$5+About!$B$6),About!$B$5*M309+About!$B$6*N309+About!$B$7*O309)</f>
        <v/>
      </c>
      <c r="Q309" s="23" t="n">
        <v>-12.4611</v>
      </c>
      <c r="R309" s="23" t="n">
        <v>130.8418</v>
      </c>
    </row>
    <row r="310" ht="15" customHeight="1" s="12">
      <c r="A310" s="18" t="inlineStr">
        <is>
          <t>Luxembourg</t>
        </is>
      </c>
      <c r="B310" s="18" t="inlineStr">
        <is>
          <t>Luxembourg</t>
        </is>
      </c>
      <c r="C310" s="19" t="n">
        <v>690959</v>
      </c>
      <c r="D310" s="18" t="inlineStr">
        <is>
          <t>LU</t>
        </is>
      </c>
      <c r="E310" s="18" t="inlineStr">
        <is>
          <t>LU</t>
        </is>
      </c>
      <c r="F310" s="20" t="n">
        <v>76684</v>
      </c>
      <c r="G310" s="18" t="inlineStr">
        <is>
          <t>Yes</t>
        </is>
      </c>
      <c r="H310" s="18" t="inlineStr">
        <is>
          <t>LUX</t>
        </is>
      </c>
      <c r="I310" s="18" t="inlineStr">
        <is>
          <t>Luxembourg-Findel International Airport</t>
        </is>
      </c>
      <c r="J310" s="21" t="n">
        <v>6.2</v>
      </c>
      <c r="K310" s="18" t="inlineStr">
        <is>
          <t>LUX</t>
        </is>
      </c>
      <c r="L310" s="18" t="inlineStr">
        <is>
          <t>capital + airport</t>
        </is>
      </c>
      <c r="M310" s="22" t="n">
        <v>0.739</v>
      </c>
      <c r="N310" s="22" t="n">
        <v>0</v>
      </c>
      <c r="O310" s="18" t="n"/>
      <c r="P310" s="22">
        <f>IF(O310="",(About!$B$5*M310+About!$B$6*N310)/(About!$B$5+About!$B$6),About!$B$5*M310+About!$B$6*N310+About!$B$7*O310)</f>
        <v/>
      </c>
      <c r="Q310" s="23" t="n">
        <v>49.6117</v>
      </c>
      <c r="R310" s="23" t="n">
        <v>6.13</v>
      </c>
    </row>
    <row r="311" ht="15" customHeight="1" s="12">
      <c r="A311" s="18" t="inlineStr">
        <is>
          <t>Manaus</t>
        </is>
      </c>
      <c r="B311" s="18" t="inlineStr">
        <is>
          <t>Brazil</t>
        </is>
      </c>
      <c r="C311" s="19" t="n">
        <v>213421037</v>
      </c>
      <c r="D311" s="18" t="inlineStr">
        <is>
          <t>BR</t>
        </is>
      </c>
      <c r="E311" s="18" t="inlineStr">
        <is>
          <t>04</t>
        </is>
      </c>
      <c r="F311" s="20" t="n">
        <v>1598210</v>
      </c>
      <c r="G311" s="18" t="n"/>
      <c r="H311" s="18" t="inlineStr">
        <is>
          <t>MAO</t>
        </is>
      </c>
      <c r="I311" s="18" t="inlineStr">
        <is>
          <t>Eduardo Gomes International Airport</t>
        </is>
      </c>
      <c r="J311" s="21" t="n">
        <v>7.6</v>
      </c>
      <c r="K311" s="18" t="inlineStr">
        <is>
          <t>MAO</t>
        </is>
      </c>
      <c r="L311" s="18" t="inlineStr">
        <is>
          <t>100k +  pop + airport</t>
        </is>
      </c>
      <c r="M311" s="22" t="n">
        <v>0.737</v>
      </c>
      <c r="N311" s="22" t="n">
        <v>0</v>
      </c>
      <c r="O311" s="18" t="n"/>
      <c r="P311" s="22">
        <f>IF(O311="",(About!$B$5*M311+About!$B$6*N311)/(About!$B$5+About!$B$6),About!$B$5*M311+About!$B$6*N311+About!$B$7*O311)</f>
        <v/>
      </c>
      <c r="Q311" s="23" t="n">
        <v>-3.1019</v>
      </c>
      <c r="R311" s="23" t="n">
        <v>-60.025</v>
      </c>
    </row>
    <row r="312" ht="15" customHeight="1" s="12">
      <c r="A312" s="18" t="inlineStr">
        <is>
          <t>Monterrey</t>
        </is>
      </c>
      <c r="B312" s="18" t="inlineStr">
        <is>
          <t>Mexico</t>
        </is>
      </c>
      <c r="C312" s="19" t="n">
        <v>131150866</v>
      </c>
      <c r="D312" s="18" t="inlineStr">
        <is>
          <t>MX</t>
        </is>
      </c>
      <c r="E312" s="18" t="inlineStr">
        <is>
          <t>19</t>
        </is>
      </c>
      <c r="F312" s="20" t="n">
        <v>3462976</v>
      </c>
      <c r="G312" s="18" t="n"/>
      <c r="H312" s="18" t="inlineStr">
        <is>
          <t>MTY</t>
        </is>
      </c>
      <c r="I312" s="18" t="inlineStr">
        <is>
          <t>Monterrey International Airport</t>
        </is>
      </c>
      <c r="J312" s="21" t="n">
        <v>24.1</v>
      </c>
      <c r="K312" s="18" t="inlineStr">
        <is>
          <t>MTY</t>
        </is>
      </c>
      <c r="L312" s="18" t="inlineStr">
        <is>
          <t>100k +  pop + airport</t>
        </is>
      </c>
      <c r="M312" s="22" t="n">
        <v>0.737</v>
      </c>
      <c r="N312" s="22" t="n">
        <v>0</v>
      </c>
      <c r="O312" s="18" t="n"/>
      <c r="P312" s="22">
        <f>IF(O312="",(About!$B$5*M312+About!$B$6*N312)/(About!$B$5+About!$B$6),About!$B$5*M312+About!$B$6*N312+About!$B$7*O312)</f>
        <v/>
      </c>
      <c r="Q312" s="23" t="n">
        <v>25.6751</v>
      </c>
      <c r="R312" s="23" t="n">
        <v>-100.3185</v>
      </c>
    </row>
    <row r="313" ht="15" customHeight="1" s="12">
      <c r="A313" s="18" t="inlineStr">
        <is>
          <t>Suva</t>
        </is>
      </c>
      <c r="B313" s="18" t="inlineStr">
        <is>
          <t>Fiji</t>
        </is>
      </c>
      <c r="C313" s="19" t="n">
        <v>902623</v>
      </c>
      <c r="D313" s="18" t="inlineStr">
        <is>
          <t>FJ</t>
        </is>
      </c>
      <c r="E313" s="18" t="inlineStr">
        <is>
          <t>01</t>
        </is>
      </c>
      <c r="F313" s="20" t="n">
        <v>77366</v>
      </c>
      <c r="G313" s="18" t="inlineStr">
        <is>
          <t>Yes</t>
        </is>
      </c>
      <c r="H313" s="18" t="inlineStr">
        <is>
          <t>SUV</t>
        </is>
      </c>
      <c r="I313" s="18" t="inlineStr">
        <is>
          <t>Nausori International Airport</t>
        </is>
      </c>
      <c r="J313" s="21" t="n">
        <v>16.7</v>
      </c>
      <c r="K313" s="18" t="inlineStr">
        <is>
          <t>SUV</t>
        </is>
      </c>
      <c r="L313" s="18" t="inlineStr">
        <is>
          <t>capital</t>
        </is>
      </c>
      <c r="M313" s="22" t="n">
        <v>0.739</v>
      </c>
      <c r="N313" s="22" t="n">
        <v>0</v>
      </c>
      <c r="O313" s="18" t="n"/>
      <c r="P313" s="22">
        <f>IF(O313="",(About!$B$5*M313+About!$B$6*N313)/(About!$B$5+About!$B$6),About!$B$5*M313+About!$B$6*N313+About!$B$7*O313)</f>
        <v/>
      </c>
      <c r="Q313" s="23" t="n">
        <v>-18.1416</v>
      </c>
      <c r="R313" s="23" t="n">
        <v>178.4415</v>
      </c>
    </row>
    <row r="314" ht="15" customHeight="1" s="12">
      <c r="A314" s="18" t="inlineStr">
        <is>
          <t>Belize City</t>
        </is>
      </c>
      <c r="B314" s="18" t="inlineStr">
        <is>
          <t>Belize</t>
        </is>
      </c>
      <c r="C314" s="19" t="n">
        <v>417634</v>
      </c>
      <c r="D314" s="18" t="inlineStr">
        <is>
          <t>BZ</t>
        </is>
      </c>
      <c r="E314" s="18" t="inlineStr">
        <is>
          <t>01</t>
        </is>
      </c>
      <c r="F314" s="20" t="n">
        <v>61461</v>
      </c>
      <c r="G314" s="18" t="n"/>
      <c r="H314" s="18" t="inlineStr">
        <is>
          <t>BZE</t>
        </is>
      </c>
      <c r="I314" s="18" t="inlineStr">
        <is>
          <t>Philip S. W. Goldson International Airport</t>
        </is>
      </c>
      <c r="J314" s="21" t="n">
        <v>12.1</v>
      </c>
      <c r="K314" s="18" t="inlineStr">
        <is>
          <t>BZE+TZA</t>
        </is>
      </c>
      <c r="L314" s="18" t="inlineStr">
        <is>
          <t>airport</t>
        </is>
      </c>
      <c r="M314" s="22" t="n">
        <v>0.738</v>
      </c>
      <c r="N314" s="22" t="n">
        <v>0</v>
      </c>
      <c r="O314" s="18" t="n"/>
      <c r="P314" s="22">
        <f>IF(O314="",(About!$B$5*M314+About!$B$6*N314)/(About!$B$5+About!$B$6),About!$B$5*M314+About!$B$6*N314+About!$B$7*O314)</f>
        <v/>
      </c>
      <c r="Q314" s="23" t="n">
        <v>17.4995</v>
      </c>
      <c r="R314" s="23" t="n">
        <v>-88.19759999999999</v>
      </c>
    </row>
    <row r="315" ht="15" customHeight="1" s="12">
      <c r="A315" s="18" t="inlineStr">
        <is>
          <t>Abuja</t>
        </is>
      </c>
      <c r="B315" s="18" t="inlineStr">
        <is>
          <t>Nigeria</t>
        </is>
      </c>
      <c r="C315" s="19" t="n">
        <v>223800000</v>
      </c>
      <c r="D315" s="18" t="inlineStr">
        <is>
          <t>NG</t>
        </is>
      </c>
      <c r="E315" s="18" t="inlineStr">
        <is>
          <t>11</t>
        </is>
      </c>
      <c r="F315" s="20" t="n">
        <v>590400</v>
      </c>
      <c r="G315" s="18" t="inlineStr">
        <is>
          <t>Yes</t>
        </is>
      </c>
      <c r="H315" s="18" t="inlineStr">
        <is>
          <t>ABV</t>
        </is>
      </c>
      <c r="I315" s="18" t="inlineStr">
        <is>
          <t>Nnamdi Azikiwe International Airport</t>
        </is>
      </c>
      <c r="J315" s="21" t="n">
        <v>26.1</v>
      </c>
      <c r="K315" s="18" t="inlineStr">
        <is>
          <t>ABV</t>
        </is>
      </c>
      <c r="L315" s="18" t="inlineStr">
        <is>
          <t>100k +  pop + capital + airport</t>
        </is>
      </c>
      <c r="M315" s="22" t="n">
        <v>0.735</v>
      </c>
      <c r="N315" s="22" t="n">
        <v>0</v>
      </c>
      <c r="O315" s="18" t="n"/>
      <c r="P315" s="22">
        <f>IF(O315="",(About!$B$5*M315+About!$B$6*N315)/(About!$B$5+About!$B$6),About!$B$5*M315+About!$B$6*N315+About!$B$7*O315)</f>
        <v/>
      </c>
      <c r="Q315" s="23" t="n">
        <v>9.0579</v>
      </c>
      <c r="R315" s="23" t="n">
        <v>7.4951</v>
      </c>
    </row>
    <row r="316" ht="15" customHeight="1" s="12">
      <c r="A316" s="18" t="inlineStr">
        <is>
          <t>Bergen</t>
        </is>
      </c>
      <c r="B316" s="18" t="inlineStr">
        <is>
          <t>Norway</t>
        </is>
      </c>
      <c r="C316" s="19" t="n">
        <v>5633770</v>
      </c>
      <c r="D316" s="18" t="inlineStr">
        <is>
          <t>NO</t>
        </is>
      </c>
      <c r="E316" s="18" t="inlineStr">
        <is>
          <t>46</t>
        </is>
      </c>
      <c r="F316" s="20" t="n">
        <v>213585</v>
      </c>
      <c r="G316" s="18" t="n"/>
      <c r="H316" s="18" t="inlineStr">
        <is>
          <t>BGO</t>
        </is>
      </c>
      <c r="I316" s="18" t="inlineStr">
        <is>
          <t>Bergen Airport, Flesland</t>
        </is>
      </c>
      <c r="J316" s="21" t="n">
        <v>12.5</v>
      </c>
      <c r="K316" s="18" t="inlineStr">
        <is>
          <t>BGO</t>
        </is>
      </c>
      <c r="L316" s="18" t="inlineStr">
        <is>
          <t>100k +  pop + airport</t>
        </is>
      </c>
      <c r="M316" s="22" t="n">
        <v>0.737</v>
      </c>
      <c r="N316" s="22" t="n">
        <v>0</v>
      </c>
      <c r="O316" s="18" t="n"/>
      <c r="P316" s="22">
        <f>IF(O316="",(About!$B$5*M316+About!$B$6*N316)/(About!$B$5+About!$B$6),About!$B$5*M316+About!$B$6*N316+About!$B$7*O316)</f>
        <v/>
      </c>
      <c r="Q316" s="23" t="n">
        <v>60.393</v>
      </c>
      <c r="R316" s="23" t="n">
        <v>5.3242</v>
      </c>
    </row>
    <row r="317" ht="15" customHeight="1" s="12">
      <c r="A317" s="18" t="inlineStr">
        <is>
          <t>Salzburg</t>
        </is>
      </c>
      <c r="B317" s="18" t="inlineStr">
        <is>
          <t>Austria</t>
        </is>
      </c>
      <c r="C317" s="19" t="n">
        <v>9220882</v>
      </c>
      <c r="D317" s="18" t="inlineStr">
        <is>
          <t>AT</t>
        </is>
      </c>
      <c r="E317" s="18" t="inlineStr">
        <is>
          <t>05</t>
        </is>
      </c>
      <c r="F317" s="20" t="n">
        <v>153377</v>
      </c>
      <c r="G317" s="18" t="n"/>
      <c r="H317" s="18" t="inlineStr">
        <is>
          <t>SZG</t>
        </is>
      </c>
      <c r="I317" s="18" t="inlineStr">
        <is>
          <t>Salzburg Airport</t>
        </is>
      </c>
      <c r="J317" s="21" t="n">
        <v>3</v>
      </c>
      <c r="K317" s="18" t="inlineStr">
        <is>
          <t>SZG</t>
        </is>
      </c>
      <c r="L317" s="18" t="inlineStr">
        <is>
          <t>100k +  pop + airport</t>
        </is>
      </c>
      <c r="M317" s="22" t="n">
        <v>0.736</v>
      </c>
      <c r="N317" s="22" t="n">
        <v>0</v>
      </c>
      <c r="O317" s="18" t="n"/>
      <c r="P317" s="22">
        <f>IF(O317="",(About!$B$5*M317+About!$B$6*N317)/(About!$B$5+About!$B$6),About!$B$5*M317+About!$B$6*N317+About!$B$7*O317)</f>
        <v/>
      </c>
      <c r="Q317" s="23" t="n">
        <v>47.7994</v>
      </c>
      <c r="R317" s="23" t="n">
        <v>13.044</v>
      </c>
    </row>
    <row r="318" ht="15" customHeight="1" s="12">
      <c r="A318" s="18" t="inlineStr">
        <is>
          <t>Dhaka</t>
        </is>
      </c>
      <c r="B318" s="18" t="inlineStr">
        <is>
          <t>Bangladesh</t>
        </is>
      </c>
      <c r="C318" s="19" t="n">
        <v>169828911</v>
      </c>
      <c r="D318" s="18" t="inlineStr">
        <is>
          <t>BD</t>
        </is>
      </c>
      <c r="E318" s="18" t="inlineStr">
        <is>
          <t>81</t>
        </is>
      </c>
      <c r="F318" s="20" t="n">
        <v>10356500</v>
      </c>
      <c r="G318" s="18" t="inlineStr">
        <is>
          <t>Yes</t>
        </is>
      </c>
      <c r="H318" s="18" t="inlineStr">
        <is>
          <t>DAC</t>
        </is>
      </c>
      <c r="I318" s="18" t="inlineStr">
        <is>
          <t>Hazrat Shahjalal International Airport</t>
        </is>
      </c>
      <c r="J318" s="21" t="n">
        <v>14.8</v>
      </c>
      <c r="K318" s="18" t="inlineStr">
        <is>
          <t>DAC</t>
        </is>
      </c>
      <c r="L318" s="18" t="inlineStr">
        <is>
          <t>100k +  pop + capital + airport</t>
        </is>
      </c>
      <c r="M318" s="22" t="n">
        <v>0.734</v>
      </c>
      <c r="N318" s="22" t="n">
        <v>0</v>
      </c>
      <c r="O318" s="18" t="n"/>
      <c r="P318" s="22">
        <f>IF(O318="",(About!$B$5*M318+About!$B$6*N318)/(About!$B$5+About!$B$6),About!$B$5*M318+About!$B$6*N318+About!$B$7*O318)</f>
        <v/>
      </c>
      <c r="Q318" s="23" t="n">
        <v>23.7104</v>
      </c>
      <c r="R318" s="23" t="n">
        <v>90.4074</v>
      </c>
    </row>
    <row r="319" ht="15" customHeight="1" s="12">
      <c r="A319" s="18" t="inlineStr">
        <is>
          <t>Tungi</t>
        </is>
      </c>
      <c r="B319" s="18" t="inlineStr">
        <is>
          <t>Bangladesh</t>
        </is>
      </c>
      <c r="C319" s="19" t="n">
        <v>169828911</v>
      </c>
      <c r="D319" s="18" t="inlineStr">
        <is>
          <t>BD</t>
        </is>
      </c>
      <c r="E319" s="18" t="inlineStr">
        <is>
          <t>81</t>
        </is>
      </c>
      <c r="F319" s="20" t="n">
        <v>337579</v>
      </c>
      <c r="G319" s="18" t="n"/>
      <c r="H319" s="18" t="inlineStr">
        <is>
          <t>DAC</t>
        </is>
      </c>
      <c r="I319" s="18" t="inlineStr">
        <is>
          <t>Hazrat Shahjalal International Airport</t>
        </is>
      </c>
      <c r="J319" s="21" t="n">
        <v>5.4</v>
      </c>
      <c r="K319" s="18" t="inlineStr">
        <is>
          <t>DAC</t>
        </is>
      </c>
      <c r="L319" s="18" t="inlineStr">
        <is>
          <t>100k +  pop + airport</t>
        </is>
      </c>
      <c r="M319" s="22" t="n">
        <v>0.734</v>
      </c>
      <c r="N319" s="22" t="n">
        <v>0</v>
      </c>
      <c r="O319" s="18" t="n"/>
      <c r="P319" s="22">
        <f>IF(O319="",(About!$B$5*M319+About!$B$6*N319)/(About!$B$5+About!$B$6),About!$B$5*M319+About!$B$6*N319+About!$B$7*O319)</f>
        <v/>
      </c>
      <c r="Q319" s="23" t="n">
        <v>23.8915</v>
      </c>
      <c r="R319" s="23" t="n">
        <v>90.4023</v>
      </c>
    </row>
    <row r="320" ht="15" customHeight="1" s="12">
      <c r="A320" s="18" t="inlineStr">
        <is>
          <t>Paltan</t>
        </is>
      </c>
      <c r="B320" s="18" t="inlineStr">
        <is>
          <t>Bangladesh</t>
        </is>
      </c>
      <c r="C320" s="19" t="n">
        <v>169828911</v>
      </c>
      <c r="D320" s="18" t="inlineStr">
        <is>
          <t>BD</t>
        </is>
      </c>
      <c r="E320" s="18" t="inlineStr">
        <is>
          <t>81</t>
        </is>
      </c>
      <c r="F320" s="20" t="n">
        <v>184492</v>
      </c>
      <c r="G320" s="18" t="n"/>
      <c r="H320" s="18" t="inlineStr">
        <is>
          <t>DAC</t>
        </is>
      </c>
      <c r="I320" s="18" t="inlineStr">
        <is>
          <t>Hazrat Shahjalal International Airport</t>
        </is>
      </c>
      <c r="J320" s="21" t="n">
        <v>12</v>
      </c>
      <c r="K320" s="18" t="inlineStr">
        <is>
          <t>DAC</t>
        </is>
      </c>
      <c r="L320" s="18" t="inlineStr">
        <is>
          <t>100k +  pop</t>
        </is>
      </c>
      <c r="M320" s="22" t="n">
        <v>0.734</v>
      </c>
      <c r="N320" s="22" t="n">
        <v>0</v>
      </c>
      <c r="O320" s="18" t="n"/>
      <c r="P320" s="22">
        <f>IF(O320="",(About!$B$5*M320+About!$B$6*N320)/(About!$B$5+About!$B$6),About!$B$5*M320+About!$B$6*N320+About!$B$7*O320)</f>
        <v/>
      </c>
      <c r="Q320" s="23" t="n">
        <v>23.7362</v>
      </c>
      <c r="R320" s="23" t="n">
        <v>90.4143</v>
      </c>
    </row>
    <row r="321" ht="15" customHeight="1" s="12">
      <c r="A321" s="18" t="inlineStr">
        <is>
          <t>Medan</t>
        </is>
      </c>
      <c r="B321" s="18" t="inlineStr">
        <is>
          <t>Indonesia</t>
        </is>
      </c>
      <c r="C321" s="19" t="n">
        <v>288315089</v>
      </c>
      <c r="D321" s="18" t="inlineStr">
        <is>
          <t>ID</t>
        </is>
      </c>
      <c r="E321" s="18" t="inlineStr">
        <is>
          <t>26</t>
        </is>
      </c>
      <c r="F321" s="20" t="n">
        <v>1750971</v>
      </c>
      <c r="G321" s="18" t="n"/>
      <c r="H321" s="18" t="inlineStr">
        <is>
          <t>KNO</t>
        </is>
      </c>
      <c r="I321" s="18" t="inlineStr">
        <is>
          <t>Kualanamu International Airport</t>
        </is>
      </c>
      <c r="J321" s="21" t="n">
        <v>23.4</v>
      </c>
      <c r="K321" s="18" t="inlineStr">
        <is>
          <t>KNO</t>
        </is>
      </c>
      <c r="L321" s="18" t="inlineStr">
        <is>
          <t>100k +  pop</t>
        </is>
      </c>
      <c r="M321" s="22" t="n">
        <v>0.731</v>
      </c>
      <c r="N321" s="22" t="n">
        <v>0</v>
      </c>
      <c r="O321" s="18" t="n"/>
      <c r="P321" s="22">
        <f>IF(O321="",(About!$B$5*M321+About!$B$6*N321)/(About!$B$5+About!$B$6),About!$B$5*M321+About!$B$6*N321+About!$B$7*O321)</f>
        <v/>
      </c>
      <c r="Q321" s="23" t="n">
        <v>3.5833</v>
      </c>
      <c r="R321" s="23" t="n">
        <v>98.66670000000001</v>
      </c>
    </row>
    <row r="322" ht="15" customHeight="1" s="12">
      <c r="A322" s="18" t="inlineStr">
        <is>
          <t>Yekaterinburg</t>
        </is>
      </c>
      <c r="B322" s="18" t="inlineStr">
        <is>
          <t>Russia</t>
        </is>
      </c>
      <c r="C322" s="19" t="n">
        <v>146028325</v>
      </c>
      <c r="D322" s="18" t="inlineStr">
        <is>
          <t>RU</t>
        </is>
      </c>
      <c r="E322" s="18" t="inlineStr">
        <is>
          <t>71</t>
        </is>
      </c>
      <c r="F322" s="20" t="n">
        <v>1349772</v>
      </c>
      <c r="G322" s="18" t="n"/>
      <c r="H322" s="18" t="inlineStr">
        <is>
          <t>SVX</t>
        </is>
      </c>
      <c r="I322" s="18" t="inlineStr">
        <is>
          <t>Koltsovo Airport</t>
        </is>
      </c>
      <c r="J322" s="21" t="n">
        <v>16.8</v>
      </c>
      <c r="K322" s="18" t="inlineStr">
        <is>
          <t>SVX</t>
        </is>
      </c>
      <c r="L322" s="18" t="inlineStr">
        <is>
          <t>100k +  pop + airport</t>
        </is>
      </c>
      <c r="M322" s="22" t="n">
        <v>0.732</v>
      </c>
      <c r="N322" s="22" t="n">
        <v>0</v>
      </c>
      <c r="O322" s="18" t="n"/>
      <c r="P322" s="22">
        <f>IF(O322="",(About!$B$5*M322+About!$B$6*N322)/(About!$B$5+About!$B$6),About!$B$5*M322+About!$B$6*N322+About!$B$7*O322)</f>
        <v/>
      </c>
      <c r="Q322" s="23" t="n">
        <v>56.8519</v>
      </c>
      <c r="R322" s="23" t="n">
        <v>60.6122</v>
      </c>
    </row>
    <row r="323" ht="15" customHeight="1" s="12">
      <c r="A323" s="18" t="inlineStr">
        <is>
          <t>Amman</t>
        </is>
      </c>
      <c r="B323" s="18" t="inlineStr">
        <is>
          <t>Jordan</t>
        </is>
      </c>
      <c r="C323" s="19" t="n">
        <v>11937000</v>
      </c>
      <c r="D323" s="18" t="inlineStr">
        <is>
          <t>JO</t>
        </is>
      </c>
      <c r="E323" s="18" t="inlineStr">
        <is>
          <t>16</t>
        </is>
      </c>
      <c r="F323" s="20" t="n">
        <v>1275857</v>
      </c>
      <c r="G323" s="18" t="inlineStr">
        <is>
          <t>Yes</t>
        </is>
      </c>
      <c r="H323" s="18" t="inlineStr">
        <is>
          <t>AMM</t>
        </is>
      </c>
      <c r="I323" s="18" t="inlineStr">
        <is>
          <t>Queen Alia International Airport</t>
        </is>
      </c>
      <c r="J323" s="21" t="n">
        <v>26.3</v>
      </c>
      <c r="K323" s="18" t="inlineStr">
        <is>
          <t>ADJ+AMM</t>
        </is>
      </c>
      <c r="L323" s="18" t="inlineStr">
        <is>
          <t>100k +  pop + capital + airport</t>
        </is>
      </c>
      <c r="M323" s="22" t="n">
        <v>0.732</v>
      </c>
      <c r="N323" s="22" t="n">
        <v>0</v>
      </c>
      <c r="O323" s="18" t="n"/>
      <c r="P323" s="22">
        <f>IF(O323="",(About!$B$5*M323+About!$B$6*N323)/(About!$B$5+About!$B$6),About!$B$5*M323+About!$B$6*N323+About!$B$7*O323)</f>
        <v/>
      </c>
      <c r="Q323" s="23" t="n">
        <v>31.9552</v>
      </c>
      <c r="R323" s="23" t="n">
        <v>35.945</v>
      </c>
    </row>
    <row r="324" ht="15" customHeight="1" s="12">
      <c r="A324" s="18" t="inlineStr">
        <is>
          <t>Tianjin</t>
        </is>
      </c>
      <c r="B324" s="18" t="inlineStr">
        <is>
          <t>China</t>
        </is>
      </c>
      <c r="C324" s="19" t="n">
        <v>1404890000</v>
      </c>
      <c r="D324" s="18" t="inlineStr">
        <is>
          <t>CN</t>
        </is>
      </c>
      <c r="E324" s="18" t="inlineStr">
        <is>
          <t>28</t>
        </is>
      </c>
      <c r="F324" s="20" t="n">
        <v>11090314</v>
      </c>
      <c r="G324" s="18" t="n"/>
      <c r="H324" s="18" t="inlineStr">
        <is>
          <t>TSN</t>
        </is>
      </c>
      <c r="I324" s="18" t="inlineStr">
        <is>
          <t>Tianjin Binhai International Airport</t>
        </is>
      </c>
      <c r="J324" s="21" t="n">
        <v>14.7</v>
      </c>
      <c r="K324" s="18" t="inlineStr">
        <is>
          <t>TSN</t>
        </is>
      </c>
      <c r="L324" s="18" t="inlineStr">
        <is>
          <t>100k +  pop + airport</t>
        </is>
      </c>
      <c r="M324" s="22" t="n">
        <v>0.73</v>
      </c>
      <c r="N324" s="22" t="n">
        <v>0</v>
      </c>
      <c r="O324" s="18" t="n"/>
      <c r="P324" s="22">
        <f>IF(O324="",(About!$B$5*M324+About!$B$6*N324)/(About!$B$5+About!$B$6),About!$B$5*M324+About!$B$6*N324+About!$B$7*O324)</f>
        <v/>
      </c>
      <c r="Q324" s="23" t="n">
        <v>39.1422</v>
      </c>
      <c r="R324" s="23" t="n">
        <v>117.1767</v>
      </c>
    </row>
    <row r="325" ht="15" customHeight="1" s="12">
      <c r="A325" s="18" t="inlineStr">
        <is>
          <t>Kagoshima</t>
        </is>
      </c>
      <c r="B325" s="18" t="inlineStr">
        <is>
          <t>Japan</t>
        </is>
      </c>
      <c r="C325" s="19" t="n">
        <v>122810000</v>
      </c>
      <c r="D325" s="18" t="inlineStr">
        <is>
          <t>JP</t>
        </is>
      </c>
      <c r="E325" s="18" t="inlineStr">
        <is>
          <t>18</t>
        </is>
      </c>
      <c r="F325" s="20" t="n">
        <v>555352</v>
      </c>
      <c r="G325" s="18" t="n"/>
      <c r="H325" s="18" t="inlineStr">
        <is>
          <t>KOJ</t>
        </is>
      </c>
      <c r="I325" s="18" t="inlineStr">
        <is>
          <t>Kagoshima Airport</t>
        </is>
      </c>
      <c r="J325" s="21" t="n">
        <v>30.8</v>
      </c>
      <c r="K325" s="18" t="inlineStr">
        <is>
          <t>KOJ</t>
        </is>
      </c>
      <c r="L325" s="18" t="inlineStr">
        <is>
          <t>100k +  pop + airport</t>
        </is>
      </c>
      <c r="M325" s="22" t="n">
        <v>0.73</v>
      </c>
      <c r="N325" s="22" t="n">
        <v>0</v>
      </c>
      <c r="O325" s="18" t="n"/>
      <c r="P325" s="22">
        <f>IF(O325="",(About!$B$5*M325+About!$B$6*N325)/(About!$B$5+About!$B$6),About!$B$5*M325+About!$B$6*N325+About!$B$7*O325)</f>
        <v/>
      </c>
      <c r="Q325" s="23" t="n">
        <v>31.5667</v>
      </c>
      <c r="R325" s="23" t="n">
        <v>130.55</v>
      </c>
    </row>
    <row r="326" ht="15" customHeight="1" s="12">
      <c r="A326" s="18" t="inlineStr">
        <is>
          <t>Linz</t>
        </is>
      </c>
      <c r="B326" s="18" t="inlineStr">
        <is>
          <t>Austria</t>
        </is>
      </c>
      <c r="C326" s="19" t="n">
        <v>9220882</v>
      </c>
      <c r="D326" s="18" t="inlineStr">
        <is>
          <t>AT</t>
        </is>
      </c>
      <c r="E326" s="18" t="inlineStr">
        <is>
          <t>04</t>
        </is>
      </c>
      <c r="F326" s="20" t="n">
        <v>204846</v>
      </c>
      <c r="G326" s="18" t="n"/>
      <c r="H326" s="18" t="inlineStr">
        <is>
          <t>LNZ</t>
        </is>
      </c>
      <c r="I326" s="18" t="inlineStr">
        <is>
          <t>Linz-Hörsching Airport</t>
        </is>
      </c>
      <c r="J326" s="21" t="n">
        <v>10.7</v>
      </c>
      <c r="K326" s="18" t="inlineStr">
        <is>
          <t>LNZ</t>
        </is>
      </c>
      <c r="L326" s="18" t="inlineStr">
        <is>
          <t>100k +  pop + airport</t>
        </is>
      </c>
      <c r="M326" s="22" t="n">
        <v>0.73</v>
      </c>
      <c r="N326" s="22" t="n">
        <v>0</v>
      </c>
      <c r="O326" s="18" t="n"/>
      <c r="P326" s="22">
        <f>IF(O326="",(About!$B$5*M326+About!$B$6*N326)/(About!$B$5+About!$B$6),About!$B$5*M326+About!$B$6*N326+About!$B$7*O326)</f>
        <v/>
      </c>
      <c r="Q326" s="23" t="n">
        <v>48.3064</v>
      </c>
      <c r="R326" s="23" t="n">
        <v>14.2861</v>
      </c>
    </row>
    <row r="327" ht="15" customHeight="1" s="12">
      <c r="A327" s="18" t="inlineStr">
        <is>
          <t>Harbin</t>
        </is>
      </c>
      <c r="B327" s="18" t="inlineStr">
        <is>
          <t>China</t>
        </is>
      </c>
      <c r="C327" s="19" t="n">
        <v>1404890000</v>
      </c>
      <c r="D327" s="18" t="inlineStr">
        <is>
          <t>CN</t>
        </is>
      </c>
      <c r="E327" s="18" t="inlineStr">
        <is>
          <t>08</t>
        </is>
      </c>
      <c r="F327" s="20" t="n">
        <v>5878939</v>
      </c>
      <c r="G327" s="18" t="n"/>
      <c r="H327" s="18" t="inlineStr">
        <is>
          <t>HRB</t>
        </is>
      </c>
      <c r="I327" s="18" t="inlineStr">
        <is>
          <t>Harbin Taiping International Airport</t>
        </is>
      </c>
      <c r="J327" s="21" t="n">
        <v>34.1</v>
      </c>
      <c r="K327" s="18" t="inlineStr">
        <is>
          <t>HRB</t>
        </is>
      </c>
      <c r="L327" s="18" t="inlineStr">
        <is>
          <t>100k +  pop + airport</t>
        </is>
      </c>
      <c r="M327" s="22" t="n">
        <v>0.729</v>
      </c>
      <c r="N327" s="22" t="n">
        <v>0</v>
      </c>
      <c r="O327" s="18" t="n"/>
      <c r="P327" s="22">
        <f>IF(O327="",(About!$B$5*M327+About!$B$6*N327)/(About!$B$5+About!$B$6),About!$B$5*M327+About!$B$6*N327+About!$B$7*O327)</f>
        <v/>
      </c>
      <c r="Q327" s="23" t="n">
        <v>45.75</v>
      </c>
      <c r="R327" s="23" t="n">
        <v>126.65</v>
      </c>
    </row>
    <row r="328" ht="15" customHeight="1" s="12">
      <c r="A328" s="18" t="inlineStr">
        <is>
          <t>Riga</t>
        </is>
      </c>
      <c r="B328" s="18" t="inlineStr">
        <is>
          <t>Latvia</t>
        </is>
      </c>
      <c r="C328" s="19" t="n">
        <v>1815900</v>
      </c>
      <c r="D328" s="18" t="inlineStr">
        <is>
          <t>LV</t>
        </is>
      </c>
      <c r="E328" s="18" t="inlineStr">
        <is>
          <t>25</t>
        </is>
      </c>
      <c r="F328" s="20" t="n">
        <v>742572</v>
      </c>
      <c r="G328" s="18" t="inlineStr">
        <is>
          <t>Yes</t>
        </is>
      </c>
      <c r="H328" s="18" t="inlineStr">
        <is>
          <t>RIX</t>
        </is>
      </c>
      <c r="I328" s="18" t="inlineStr">
        <is>
          <t>Riga International Airport</t>
        </is>
      </c>
      <c r="J328" s="21" t="n">
        <v>8.699999999999999</v>
      </c>
      <c r="K328" s="18" t="inlineStr">
        <is>
          <t>RIX</t>
        </is>
      </c>
      <c r="L328" s="18" t="inlineStr">
        <is>
          <t>100k +  pop + capital + airport</t>
        </is>
      </c>
      <c r="M328" s="22" t="n">
        <v>0.727</v>
      </c>
      <c r="N328" s="22" t="n">
        <v>0</v>
      </c>
      <c r="O328" s="18" t="n"/>
      <c r="P328" s="22">
        <f>IF(O328="",(About!$B$5*M328+About!$B$6*N328)/(About!$B$5+About!$B$6),About!$B$5*M328+About!$B$6*N328+About!$B$7*O328)</f>
        <v/>
      </c>
      <c r="Q328" s="23" t="n">
        <v>56.946</v>
      </c>
      <c r="R328" s="23" t="n">
        <v>24.1059</v>
      </c>
    </row>
    <row r="329" ht="15" customHeight="1" s="12">
      <c r="A329" s="18" t="inlineStr">
        <is>
          <t>Karachi</t>
        </is>
      </c>
      <c r="B329" s="18" t="inlineStr">
        <is>
          <t>Pakistan</t>
        </is>
      </c>
      <c r="C329" s="19" t="n">
        <v>241499431</v>
      </c>
      <c r="D329" s="18" t="inlineStr">
        <is>
          <t>PK</t>
        </is>
      </c>
      <c r="E329" s="18" t="inlineStr">
        <is>
          <t>05</t>
        </is>
      </c>
      <c r="F329" s="20" t="n">
        <v>11624219</v>
      </c>
      <c r="G329" s="18" t="n"/>
      <c r="H329" s="18" t="inlineStr">
        <is>
          <t>KHI</t>
        </is>
      </c>
      <c r="I329" s="18" t="inlineStr">
        <is>
          <t>Jinnah International Airport</t>
        </is>
      </c>
      <c r="J329" s="21" t="n">
        <v>16</v>
      </c>
      <c r="K329" s="18" t="inlineStr">
        <is>
          <t>KHI</t>
        </is>
      </c>
      <c r="L329" s="18" t="inlineStr">
        <is>
          <t>100k +  pop + airport</t>
        </is>
      </c>
      <c r="M329" s="22" t="n">
        <v>0.724</v>
      </c>
      <c r="N329" s="22" t="n">
        <v>0</v>
      </c>
      <c r="O329" s="18" t="n"/>
      <c r="P329" s="22">
        <f>IF(O329="",(About!$B$5*M329+About!$B$6*N329)/(About!$B$5+About!$B$6),About!$B$5*M329+About!$B$6*N329+About!$B$7*O329)</f>
        <v/>
      </c>
      <c r="Q329" s="23" t="n">
        <v>24.8608</v>
      </c>
      <c r="R329" s="23" t="n">
        <v>67.0104</v>
      </c>
    </row>
    <row r="330" ht="15" customHeight="1" s="12">
      <c r="A330" s="18" t="inlineStr">
        <is>
          <t>Almaty</t>
        </is>
      </c>
      <c r="B330" s="18" t="inlineStr">
        <is>
          <t>Kazakhstan</t>
        </is>
      </c>
      <c r="C330" s="19" t="n">
        <v>20547909</v>
      </c>
      <c r="D330" s="18" t="inlineStr">
        <is>
          <t>KZ</t>
        </is>
      </c>
      <c r="E330" s="18" t="inlineStr">
        <is>
          <t>02</t>
        </is>
      </c>
      <c r="F330" s="20" t="n">
        <v>2000900</v>
      </c>
      <c r="G330" s="18" t="n"/>
      <c r="H330" s="18" t="inlineStr">
        <is>
          <t>ALA</t>
        </is>
      </c>
      <c r="I330" s="18" t="inlineStr">
        <is>
          <t>Almaty International Airport</t>
        </is>
      </c>
      <c r="J330" s="21" t="n">
        <v>14.3</v>
      </c>
      <c r="K330" s="18" t="inlineStr">
        <is>
          <t>ALA</t>
        </is>
      </c>
      <c r="L330" s="18" t="inlineStr">
        <is>
          <t>100k +  pop + airport</t>
        </is>
      </c>
      <c r="M330" s="22" t="n">
        <v>0.724</v>
      </c>
      <c r="N330" s="22" t="n">
        <v>0</v>
      </c>
      <c r="O330" s="18" t="n"/>
      <c r="P330" s="22">
        <f>IF(O330="",(About!$B$5*M330+About!$B$6*N330)/(About!$B$5+About!$B$6),About!$B$5*M330+About!$B$6*N330+About!$B$7*O330)</f>
        <v/>
      </c>
      <c r="Q330" s="23" t="n">
        <v>43.2567</v>
      </c>
      <c r="R330" s="23" t="n">
        <v>76.9286</v>
      </c>
    </row>
    <row r="331" ht="15" customHeight="1" s="12">
      <c r="A331" s="18" t="inlineStr">
        <is>
          <t>Ottawa</t>
        </is>
      </c>
      <c r="B331" s="18" t="inlineStr">
        <is>
          <t>Canada</t>
        </is>
      </c>
      <c r="C331" s="19" t="n">
        <v>41472081</v>
      </c>
      <c r="D331" s="18" t="inlineStr">
        <is>
          <t>CA</t>
        </is>
      </c>
      <c r="E331" s="18" t="inlineStr">
        <is>
          <t>08</t>
        </is>
      </c>
      <c r="F331" s="20" t="n">
        <v>812129</v>
      </c>
      <c r="G331" s="18" t="inlineStr">
        <is>
          <t>Yes</t>
        </is>
      </c>
      <c r="H331" s="18" t="inlineStr">
        <is>
          <t>YOW</t>
        </is>
      </c>
      <c r="I331" s="18" t="inlineStr">
        <is>
          <t>Ottawa Macdonald-Cartier International Airport</t>
        </is>
      </c>
      <c r="J331" s="21" t="n">
        <v>10.1</v>
      </c>
      <c r="K331" s="18" t="inlineStr">
        <is>
          <t>YND+YOW+YRO</t>
        </is>
      </c>
      <c r="L331" s="18" t="inlineStr">
        <is>
          <t>100k +  pop + capital + airport</t>
        </is>
      </c>
      <c r="M331" s="22" t="n">
        <v>0.724</v>
      </c>
      <c r="N331" s="22" t="n">
        <v>0</v>
      </c>
      <c r="O331" s="18" t="n"/>
      <c r="P331" s="22">
        <f>IF(O331="",(About!$B$5*M331+About!$B$6*N331)/(About!$B$5+About!$B$6),About!$B$5*M331+About!$B$6*N331+About!$B$7*O331)</f>
        <v/>
      </c>
      <c r="Q331" s="23" t="n">
        <v>45.4112</v>
      </c>
      <c r="R331" s="23" t="n">
        <v>-75.6981</v>
      </c>
    </row>
    <row r="332" ht="15" customHeight="1" s="12">
      <c r="A332" s="18" t="inlineStr">
        <is>
          <t>Gatineau</t>
        </is>
      </c>
      <c r="B332" s="18" t="inlineStr">
        <is>
          <t>Canada</t>
        </is>
      </c>
      <c r="C332" s="19" t="n">
        <v>41472081</v>
      </c>
      <c r="D332" s="18" t="inlineStr">
        <is>
          <t>CA</t>
        </is>
      </c>
      <c r="E332" s="18" t="inlineStr">
        <is>
          <t>10</t>
        </is>
      </c>
      <c r="F332" s="20" t="n">
        <v>242124</v>
      </c>
      <c r="G332" s="18" t="n"/>
      <c r="H332" s="18" t="inlineStr">
        <is>
          <t>YOW</t>
        </is>
      </c>
      <c r="I332" s="18" t="inlineStr">
        <is>
          <t>Ottawa Macdonald-Cartier International Airport</t>
        </is>
      </c>
      <c r="J332" s="21" t="n">
        <v>17.4</v>
      </c>
      <c r="K332" s="18" t="inlineStr">
        <is>
          <t>YND+YOW+YRO</t>
        </is>
      </c>
      <c r="L332" s="18" t="inlineStr">
        <is>
          <t>100k +  pop + airport</t>
        </is>
      </c>
      <c r="M332" s="22" t="n">
        <v>0.724</v>
      </c>
      <c r="N332" s="22" t="n">
        <v>0</v>
      </c>
      <c r="O332" s="18" t="n"/>
      <c r="P332" s="22">
        <f>IF(O332="",(About!$B$5*M332+About!$B$6*N332)/(About!$B$5+About!$B$6),About!$B$5*M332+About!$B$6*N332+About!$B$7*O332)</f>
        <v/>
      </c>
      <c r="Q332" s="23" t="n">
        <v>45.4772</v>
      </c>
      <c r="R332" s="23" t="n">
        <v>-75.7016</v>
      </c>
    </row>
    <row r="333" ht="15" customHeight="1" s="12">
      <c r="A333" s="18" t="inlineStr">
        <is>
          <t>Nepean</t>
        </is>
      </c>
      <c r="B333" s="18" t="inlineStr">
        <is>
          <t>Canada</t>
        </is>
      </c>
      <c r="C333" s="19" t="n">
        <v>41472081</v>
      </c>
      <c r="D333" s="18" t="inlineStr">
        <is>
          <t>CA</t>
        </is>
      </c>
      <c r="E333" s="18" t="inlineStr">
        <is>
          <t>08</t>
        </is>
      </c>
      <c r="F333" s="20" t="n">
        <v>180000</v>
      </c>
      <c r="G333" s="18" t="n"/>
      <c r="H333" s="18" t="inlineStr">
        <is>
          <t>YOW</t>
        </is>
      </c>
      <c r="I333" s="18" t="inlineStr">
        <is>
          <t>Ottawa Macdonald-Cartier International Airport</t>
        </is>
      </c>
      <c r="J333" s="21" t="n">
        <v>4.4</v>
      </c>
      <c r="K333" s="18" t="inlineStr">
        <is>
          <t>YND+YOW+YRO</t>
        </is>
      </c>
      <c r="L333" s="18" t="inlineStr">
        <is>
          <t>100k +  pop + airport</t>
        </is>
      </c>
      <c r="M333" s="22" t="n">
        <v>0.724</v>
      </c>
      <c r="N333" s="22" t="n">
        <v>0</v>
      </c>
      <c r="O333" s="18" t="n"/>
      <c r="P333" s="22">
        <f>IF(O333="",(About!$B$5*M333+About!$B$6*N333)/(About!$B$5+About!$B$6),About!$B$5*M333+About!$B$6*N333+About!$B$7*O333)</f>
        <v/>
      </c>
      <c r="Q333" s="23" t="n">
        <v>45.3362</v>
      </c>
      <c r="R333" s="23" t="n">
        <v>-75.7225</v>
      </c>
    </row>
    <row r="334" ht="15" customHeight="1" s="12">
      <c r="A334" s="18" t="inlineStr">
        <is>
          <t>Maputo</t>
        </is>
      </c>
      <c r="B334" s="18" t="inlineStr">
        <is>
          <t>Mozambique</t>
        </is>
      </c>
      <c r="C334" s="19" t="n">
        <v>34090466</v>
      </c>
      <c r="D334" s="18" t="inlineStr">
        <is>
          <t>MZ</t>
        </is>
      </c>
      <c r="E334" s="18" t="inlineStr">
        <is>
          <t>11</t>
        </is>
      </c>
      <c r="F334" s="20" t="n">
        <v>1191613</v>
      </c>
      <c r="G334" s="18" t="inlineStr">
        <is>
          <t>Yes</t>
        </is>
      </c>
      <c r="H334" s="18" t="inlineStr">
        <is>
          <t>MPM</t>
        </is>
      </c>
      <c r="I334" s="18" t="inlineStr">
        <is>
          <t>Maputo Airport</t>
        </is>
      </c>
      <c r="J334" s="21" t="n">
        <v>5.1</v>
      </c>
      <c r="K334" s="18" t="inlineStr">
        <is>
          <t>MPM</t>
        </is>
      </c>
      <c r="L334" s="18" t="inlineStr">
        <is>
          <t>100k +  pop + capital + airport</t>
        </is>
      </c>
      <c r="M334" s="22" t="n">
        <v>0.722</v>
      </c>
      <c r="N334" s="22" t="n">
        <v>0</v>
      </c>
      <c r="O334" s="18" t="n"/>
      <c r="P334" s="22">
        <f>IF(O334="",(About!$B$5*M334+About!$B$6*N334)/(About!$B$5+About!$B$6),About!$B$5*M334+About!$B$6*N334+About!$B$7*O334)</f>
        <v/>
      </c>
      <c r="Q334" s="23" t="n">
        <v>-25.9655</v>
      </c>
      <c r="R334" s="23" t="n">
        <v>32.5832</v>
      </c>
    </row>
    <row r="335" ht="15" customHeight="1" s="12">
      <c r="A335" s="18" t="inlineStr">
        <is>
          <t>Guiyang</t>
        </is>
      </c>
      <c r="B335" s="18" t="inlineStr">
        <is>
          <t>China</t>
        </is>
      </c>
      <c r="C335" s="19" t="n">
        <v>1404890000</v>
      </c>
      <c r="D335" s="18" t="inlineStr">
        <is>
          <t>CN</t>
        </is>
      </c>
      <c r="E335" s="18" t="inlineStr">
        <is>
          <t>18</t>
        </is>
      </c>
      <c r="F335" s="20" t="n">
        <v>1171633</v>
      </c>
      <c r="G335" s="18" t="n"/>
      <c r="H335" s="18" t="inlineStr">
        <is>
          <t>KWE</t>
        </is>
      </c>
      <c r="I335" s="18" t="inlineStr">
        <is>
          <t>Guiyang Longdongbao International Airport</t>
        </is>
      </c>
      <c r="J335" s="21" t="n">
        <v>9.800000000000001</v>
      </c>
      <c r="K335" s="18" t="inlineStr">
        <is>
          <t>KWE</t>
        </is>
      </c>
      <c r="L335" s="18" t="inlineStr">
        <is>
          <t>100k +  pop + airport</t>
        </is>
      </c>
      <c r="M335" s="22" t="n">
        <v>0.721</v>
      </c>
      <c r="N335" s="22" t="n">
        <v>0</v>
      </c>
      <c r="O335" s="18" t="n"/>
      <c r="P335" s="22">
        <f>IF(O335="",(About!$B$5*M335+About!$B$6*N335)/(About!$B$5+About!$B$6),About!$B$5*M335+About!$B$6*N335+About!$B$7*O335)</f>
        <v/>
      </c>
      <c r="Q335" s="23" t="n">
        <v>26.5833</v>
      </c>
      <c r="R335" s="23" t="n">
        <v>106.7167</v>
      </c>
    </row>
    <row r="336" ht="15" customHeight="1" s="12">
      <c r="A336" s="18" t="inlineStr">
        <is>
          <t>Indianapolis</t>
        </is>
      </c>
      <c r="B336" s="18" t="inlineStr">
        <is>
          <t>United States</t>
        </is>
      </c>
      <c r="C336" s="19" t="n">
        <v>341784857</v>
      </c>
      <c r="D336" s="18" t="inlineStr">
        <is>
          <t>US</t>
        </is>
      </c>
      <c r="E336" s="18" t="inlineStr">
        <is>
          <t>IN</t>
        </is>
      </c>
      <c r="F336" s="20" t="n">
        <v>829718</v>
      </c>
      <c r="G336" s="18" t="n"/>
      <c r="H336" s="18" t="inlineStr">
        <is>
          <t>IND</t>
        </is>
      </c>
      <c r="I336" s="18" t="inlineStr">
        <is>
          <t>Indianapolis International Airport</t>
        </is>
      </c>
      <c r="J336" s="21" t="n">
        <v>13</v>
      </c>
      <c r="K336" s="18" t="inlineStr">
        <is>
          <t>IND</t>
        </is>
      </c>
      <c r="L336" s="18" t="inlineStr">
        <is>
          <t>100k +  pop + airport</t>
        </is>
      </c>
      <c r="M336" s="22" t="n">
        <v>0.722</v>
      </c>
      <c r="N336" s="22" t="n">
        <v>0</v>
      </c>
      <c r="O336" s="18" t="n"/>
      <c r="P336" s="22">
        <f>IF(O336="",(About!$B$5*M336+About!$B$6*N336)/(About!$B$5+About!$B$6),About!$B$5*M336+About!$B$6*N336+About!$B$7*O336)</f>
        <v/>
      </c>
      <c r="Q336" s="23" t="n">
        <v>39.7684</v>
      </c>
      <c r="R336" s="23" t="n">
        <v>-86.158</v>
      </c>
    </row>
    <row r="337" ht="15" customHeight="1" s="12">
      <c r="A337" s="18" t="inlineStr">
        <is>
          <t>Matola</t>
        </is>
      </c>
      <c r="B337" s="18" t="inlineStr">
        <is>
          <t>Mozambique</t>
        </is>
      </c>
      <c r="C337" s="19" t="n">
        <v>34090466</v>
      </c>
      <c r="D337" s="18" t="inlineStr">
        <is>
          <t>MZ</t>
        </is>
      </c>
      <c r="E337" s="18" t="inlineStr">
        <is>
          <t>04</t>
        </is>
      </c>
      <c r="F337" s="20" t="n">
        <v>675422</v>
      </c>
      <c r="G337" s="18" t="n"/>
      <c r="H337" s="18" t="inlineStr">
        <is>
          <t>MPM</t>
        </is>
      </c>
      <c r="I337" s="18" t="inlineStr">
        <is>
          <t>Maputo Airport</t>
        </is>
      </c>
      <c r="J337" s="21" t="n">
        <v>12.3</v>
      </c>
      <c r="K337" s="18" t="inlineStr">
        <is>
          <t>MPM</t>
        </is>
      </c>
      <c r="L337" s="18" t="inlineStr">
        <is>
          <t>100k +  pop</t>
        </is>
      </c>
      <c r="M337" s="22" t="n">
        <v>0.722</v>
      </c>
      <c r="N337" s="22" t="n">
        <v>0</v>
      </c>
      <c r="O337" s="18" t="n"/>
      <c r="P337" s="22">
        <f>IF(O337="",(About!$B$5*M337+About!$B$6*N337)/(About!$B$5+About!$B$6),About!$B$5*M337+About!$B$6*N337+About!$B$7*O337)</f>
        <v/>
      </c>
      <c r="Q337" s="23" t="n">
        <v>-25.9622</v>
      </c>
      <c r="R337" s="23" t="n">
        <v>32.4589</v>
      </c>
    </row>
    <row r="338" ht="15" customHeight="1" s="12">
      <c r="A338" s="18" t="inlineStr">
        <is>
          <t>Cleveland</t>
        </is>
      </c>
      <c r="B338" s="18" t="inlineStr">
        <is>
          <t>United States</t>
        </is>
      </c>
      <c r="C338" s="19" t="n">
        <v>341784857</v>
      </c>
      <c r="D338" s="18" t="inlineStr">
        <is>
          <t>US</t>
        </is>
      </c>
      <c r="E338" s="18" t="inlineStr">
        <is>
          <t>OH</t>
        </is>
      </c>
      <c r="F338" s="20" t="n">
        <v>388072</v>
      </c>
      <c r="G338" s="18" t="n"/>
      <c r="H338" s="18" t="inlineStr">
        <is>
          <t>CLE</t>
        </is>
      </c>
      <c r="I338" s="18" t="inlineStr">
        <is>
          <t>Cleveland Hopkins International Airport</t>
        </is>
      </c>
      <c r="J338" s="21" t="n">
        <v>16.2</v>
      </c>
      <c r="K338" s="18" t="inlineStr">
        <is>
          <t>CLE</t>
        </is>
      </c>
      <c r="L338" s="18" t="inlineStr">
        <is>
          <t>100k +  pop + airport</t>
        </is>
      </c>
      <c r="M338" s="22" t="n">
        <v>0.722</v>
      </c>
      <c r="N338" s="22" t="n">
        <v>0</v>
      </c>
      <c r="O338" s="18" t="n"/>
      <c r="P338" s="22">
        <f>IF(O338="",(About!$B$5*M338+About!$B$6*N338)/(About!$B$5+About!$B$6),About!$B$5*M338+About!$B$6*N338+About!$B$7*O338)</f>
        <v/>
      </c>
      <c r="Q338" s="23" t="n">
        <v>41.4995</v>
      </c>
      <c r="R338" s="23" t="n">
        <v>-81.69540000000001</v>
      </c>
    </row>
    <row r="339" ht="15" customHeight="1" s="12">
      <c r="A339" s="18" t="inlineStr">
        <is>
          <t>Sunderland</t>
        </is>
      </c>
      <c r="B339" s="18" t="inlineStr">
        <is>
          <t>United Kingdom</t>
        </is>
      </c>
      <c r="C339" s="19" t="n">
        <v>69487000</v>
      </c>
      <c r="D339" s="18" t="inlineStr">
        <is>
          <t>GB</t>
        </is>
      </c>
      <c r="E339" s="18" t="inlineStr">
        <is>
          <t>ENG</t>
        </is>
      </c>
      <c r="F339" s="20" t="n">
        <v>335415</v>
      </c>
      <c r="G339" s="18" t="n"/>
      <c r="H339" s="18" t="inlineStr">
        <is>
          <t>NCL</t>
        </is>
      </c>
      <c r="I339" s="18" t="inlineStr">
        <is>
          <t>Newcastle International Airport</t>
        </is>
      </c>
      <c r="J339" s="21" t="n">
        <v>24.6</v>
      </c>
      <c r="K339" s="18" t="inlineStr">
        <is>
          <t>NCL</t>
        </is>
      </c>
      <c r="L339" s="18" t="inlineStr">
        <is>
          <t>100k +  pop</t>
        </is>
      </c>
      <c r="M339" s="22" t="n">
        <v>0.721</v>
      </c>
      <c r="N339" s="22" t="n">
        <v>0</v>
      </c>
      <c r="O339" s="18" t="n"/>
      <c r="P339" s="22">
        <f>IF(O339="",(About!$B$5*M339+About!$B$6*N339)/(About!$B$5+About!$B$6),About!$B$5*M339+About!$B$6*N339+About!$B$7*O339)</f>
        <v/>
      </c>
      <c r="Q339" s="23" t="n">
        <v>54.9046</v>
      </c>
      <c r="R339" s="23" t="n">
        <v>-1.3822</v>
      </c>
    </row>
    <row r="340" ht="15" customHeight="1" s="12">
      <c r="A340" s="18" t="inlineStr">
        <is>
          <t>Newcastle upon Tyne</t>
        </is>
      </c>
      <c r="B340" s="18" t="inlineStr">
        <is>
          <t>United Kingdom</t>
        </is>
      </c>
      <c r="C340" s="19" t="n">
        <v>69487000</v>
      </c>
      <c r="D340" s="18" t="inlineStr">
        <is>
          <t>GB</t>
        </is>
      </c>
      <c r="E340" s="18" t="inlineStr">
        <is>
          <t>ENG</t>
        </is>
      </c>
      <c r="F340" s="20" t="n">
        <v>192382</v>
      </c>
      <c r="G340" s="18" t="n"/>
      <c r="H340" s="18" t="inlineStr">
        <is>
          <t>NCL</t>
        </is>
      </c>
      <c r="I340" s="18" t="inlineStr">
        <is>
          <t>Newcastle International Airport</t>
        </is>
      </c>
      <c r="J340" s="21" t="n">
        <v>8.699999999999999</v>
      </c>
      <c r="K340" s="18" t="inlineStr">
        <is>
          <t>NCL</t>
        </is>
      </c>
      <c r="L340" s="18" t="inlineStr">
        <is>
          <t>100k +  pop + airport</t>
        </is>
      </c>
      <c r="M340" s="22" t="n">
        <v>0.721</v>
      </c>
      <c r="N340" s="22" t="n">
        <v>0</v>
      </c>
      <c r="O340" s="18" t="n"/>
      <c r="P340" s="22">
        <f>IF(O340="",(About!$B$5*M340+About!$B$6*N340)/(About!$B$5+About!$B$6),About!$B$5*M340+About!$B$6*N340+About!$B$7*O340)</f>
        <v/>
      </c>
      <c r="Q340" s="23" t="n">
        <v>54.9733</v>
      </c>
      <c r="R340" s="23" t="n">
        <v>-1.614</v>
      </c>
    </row>
    <row r="341" ht="15" customHeight="1" s="12">
      <c r="A341" s="18" t="inlineStr">
        <is>
          <t>Taiyuan</t>
        </is>
      </c>
      <c r="B341" s="18" t="inlineStr">
        <is>
          <t>China</t>
        </is>
      </c>
      <c r="C341" s="19" t="n">
        <v>1404890000</v>
      </c>
      <c r="D341" s="18" t="inlineStr">
        <is>
          <t>CN</t>
        </is>
      </c>
      <c r="E341" s="18" t="inlineStr">
        <is>
          <t>24</t>
        </is>
      </c>
      <c r="F341" s="20" t="n">
        <v>3426519</v>
      </c>
      <c r="G341" s="18" t="n"/>
      <c r="H341" s="18" t="inlineStr">
        <is>
          <t>TYN</t>
        </is>
      </c>
      <c r="I341" s="18" t="inlineStr">
        <is>
          <t>Taiyuan Wusu International Airport</t>
        </is>
      </c>
      <c r="J341" s="21" t="n">
        <v>14.9</v>
      </c>
      <c r="K341" s="18" t="inlineStr">
        <is>
          <t>TYN</t>
        </is>
      </c>
      <c r="L341" s="18" t="inlineStr">
        <is>
          <t>100k +  pop + airport</t>
        </is>
      </c>
      <c r="M341" s="22" t="n">
        <v>0.717</v>
      </c>
      <c r="N341" s="22" t="n">
        <v>0</v>
      </c>
      <c r="O341" s="18" t="n"/>
      <c r="P341" s="22">
        <f>IF(O341="",(About!$B$5*M341+About!$B$6*N341)/(About!$B$5+About!$B$6),About!$B$5*M341+About!$B$6*N341+About!$B$7*O341)</f>
        <v/>
      </c>
      <c r="Q341" s="23" t="n">
        <v>37.8694</v>
      </c>
      <c r="R341" s="23" t="n">
        <v>112.5603</v>
      </c>
    </row>
    <row r="342" ht="15" customHeight="1" s="12">
      <c r="A342" s="18" t="inlineStr">
        <is>
          <t>Salvador</t>
        </is>
      </c>
      <c r="B342" s="18" t="inlineStr">
        <is>
          <t>Brazil</t>
        </is>
      </c>
      <c r="C342" s="19" t="n">
        <v>213421037</v>
      </c>
      <c r="D342" s="18" t="inlineStr">
        <is>
          <t>BR</t>
        </is>
      </c>
      <c r="E342" s="18" t="inlineStr">
        <is>
          <t>05</t>
        </is>
      </c>
      <c r="F342" s="20" t="n">
        <v>2969782</v>
      </c>
      <c r="G342" s="18" t="n"/>
      <c r="H342" s="18" t="inlineStr">
        <is>
          <t>SSA</t>
        </is>
      </c>
      <c r="I342" s="18" t="inlineStr">
        <is>
          <t>Deputado Luiz Eduardo Magalhães International Airport</t>
        </is>
      </c>
      <c r="J342" s="21" t="n">
        <v>21.6</v>
      </c>
      <c r="K342" s="18" t="inlineStr">
        <is>
          <t>SSA</t>
        </is>
      </c>
      <c r="L342" s="18" t="inlineStr">
        <is>
          <t>100k +  pop + airport</t>
        </is>
      </c>
      <c r="M342" s="22" t="n">
        <v>0.718</v>
      </c>
      <c r="N342" s="22" t="n">
        <v>0</v>
      </c>
      <c r="O342" s="18" t="n"/>
      <c r="P342" s="22">
        <f>IF(O342="",(About!$B$5*M342+About!$B$6*N342)/(About!$B$5+About!$B$6),About!$B$5*M342+About!$B$6*N342+About!$B$7*O342)</f>
        <v/>
      </c>
      <c r="Q342" s="23" t="n">
        <v>-12.9711</v>
      </c>
      <c r="R342" s="23" t="n">
        <v>-38.5108</v>
      </c>
    </row>
    <row r="343" ht="15" customHeight="1" s="12">
      <c r="A343" s="18" t="inlineStr">
        <is>
          <t>Kota Kinabalu</t>
        </is>
      </c>
      <c r="B343" s="18" t="inlineStr">
        <is>
          <t>Malaysia</t>
        </is>
      </c>
      <c r="C343" s="19" t="n">
        <v>34374300</v>
      </c>
      <c r="D343" s="18" t="inlineStr">
        <is>
          <t>MY</t>
        </is>
      </c>
      <c r="E343" s="18" t="inlineStr">
        <is>
          <t>16</t>
        </is>
      </c>
      <c r="F343" s="20" t="n">
        <v>457326</v>
      </c>
      <c r="G343" s="18" t="n"/>
      <c r="H343" s="18" t="inlineStr">
        <is>
          <t>BKI</t>
        </is>
      </c>
      <c r="I343" s="18" t="inlineStr">
        <is>
          <t>Kota Kinabalu International Airport</t>
        </is>
      </c>
      <c r="J343" s="21" t="n">
        <v>5.3</v>
      </c>
      <c r="K343" s="18" t="inlineStr">
        <is>
          <t>BKI</t>
        </is>
      </c>
      <c r="L343" s="18" t="inlineStr">
        <is>
          <t>100k +  pop + airport</t>
        </is>
      </c>
      <c r="M343" s="22" t="n">
        <v>0.718</v>
      </c>
      <c r="N343" s="22" t="n">
        <v>0</v>
      </c>
      <c r="O343" s="18" t="n"/>
      <c r="P343" s="22">
        <f>IF(O343="",(About!$B$5*M343+About!$B$6*N343)/(About!$B$5+About!$B$6),About!$B$5*M343+About!$B$6*N343+About!$B$7*O343)</f>
        <v/>
      </c>
      <c r="Q343" s="23" t="n">
        <v>5.9749</v>
      </c>
      <c r="R343" s="23" t="n">
        <v>116.0724</v>
      </c>
    </row>
    <row r="344" ht="15" customHeight="1" s="12">
      <c r="A344" s="18" t="inlineStr">
        <is>
          <t>New Orleans</t>
        </is>
      </c>
      <c r="B344" s="18" t="inlineStr">
        <is>
          <t>United States</t>
        </is>
      </c>
      <c r="C344" s="19" t="n">
        <v>341784857</v>
      </c>
      <c r="D344" s="18" t="inlineStr">
        <is>
          <t>US</t>
        </is>
      </c>
      <c r="E344" s="18" t="inlineStr">
        <is>
          <t>LA</t>
        </is>
      </c>
      <c r="F344" s="20" t="n">
        <v>389617</v>
      </c>
      <c r="G344" s="18" t="n"/>
      <c r="H344" s="18" t="inlineStr">
        <is>
          <t>MSY</t>
        </is>
      </c>
      <c r="I344" s="18" t="inlineStr">
        <is>
          <t>Louis Armstrong New Orleans International Airport</t>
        </is>
      </c>
      <c r="J344" s="21" t="n">
        <v>18.8</v>
      </c>
      <c r="K344" s="18" t="inlineStr">
        <is>
          <t>MSY</t>
        </is>
      </c>
      <c r="L344" s="18" t="inlineStr">
        <is>
          <t>100k +  pop + airport</t>
        </is>
      </c>
      <c r="M344" s="22" t="n">
        <v>0.719</v>
      </c>
      <c r="N344" s="22" t="n">
        <v>0</v>
      </c>
      <c r="O344" s="18" t="n"/>
      <c r="P344" s="22">
        <f>IF(O344="",(About!$B$5*M344+About!$B$6*N344)/(About!$B$5+About!$B$6),About!$B$5*M344+About!$B$6*N344+About!$B$7*O344)</f>
        <v/>
      </c>
      <c r="Q344" s="23" t="n">
        <v>29.9547</v>
      </c>
      <c r="R344" s="23" t="n">
        <v>-90.07510000000001</v>
      </c>
    </row>
    <row r="345" ht="15" customHeight="1" s="12">
      <c r="A345" s="18" t="inlineStr">
        <is>
          <t>Trondheim</t>
        </is>
      </c>
      <c r="B345" s="18" t="inlineStr">
        <is>
          <t>Norway</t>
        </is>
      </c>
      <c r="C345" s="19" t="n">
        <v>5633770</v>
      </c>
      <c r="D345" s="18" t="inlineStr">
        <is>
          <t>NO</t>
        </is>
      </c>
      <c r="E345" s="18" t="inlineStr">
        <is>
          <t>21</t>
        </is>
      </c>
      <c r="F345" s="20" t="n">
        <v>147139</v>
      </c>
      <c r="G345" s="18" t="n"/>
      <c r="H345" s="18" t="inlineStr">
        <is>
          <t>TRD</t>
        </is>
      </c>
      <c r="I345" s="18" t="inlineStr">
        <is>
          <t>Trondheim Airport, Værnes</t>
        </is>
      </c>
      <c r="J345" s="21" t="n">
        <v>26.5</v>
      </c>
      <c r="K345" s="18" t="inlineStr">
        <is>
          <t>TRD</t>
        </is>
      </c>
      <c r="L345" s="18" t="inlineStr">
        <is>
          <t>100k +  pop + airport</t>
        </is>
      </c>
      <c r="M345" s="22" t="n">
        <v>0.717</v>
      </c>
      <c r="N345" s="22" t="n">
        <v>0</v>
      </c>
      <c r="O345" s="18" t="n"/>
      <c r="P345" s="22">
        <f>IF(O345="",(About!$B$5*M345+About!$B$6*N345)/(About!$B$5+About!$B$6),About!$B$5*M345+About!$B$6*N345+About!$B$7*O345)</f>
        <v/>
      </c>
      <c r="Q345" s="23" t="n">
        <v>63.4305</v>
      </c>
      <c r="R345" s="23" t="n">
        <v>10.3951</v>
      </c>
    </row>
    <row r="346" ht="15" customHeight="1" s="12">
      <c r="A346" s="18" t="inlineStr">
        <is>
          <t>Antananarivo</t>
        </is>
      </c>
      <c r="B346" s="18" t="inlineStr">
        <is>
          <t>Madagascar</t>
        </is>
      </c>
      <c r="C346" s="19" t="n">
        <v>31727042</v>
      </c>
      <c r="D346" s="18" t="inlineStr">
        <is>
          <t>MG</t>
        </is>
      </c>
      <c r="E346" s="18" t="inlineStr">
        <is>
          <t>11</t>
        </is>
      </c>
      <c r="F346" s="20" t="n">
        <v>1391433</v>
      </c>
      <c r="G346" s="18" t="inlineStr">
        <is>
          <t>Yes</t>
        </is>
      </c>
      <c r="H346" s="18" t="inlineStr">
        <is>
          <t>TNR</t>
        </is>
      </c>
      <c r="I346" s="18" t="inlineStr">
        <is>
          <t>Ivato International Airport</t>
        </is>
      </c>
      <c r="J346" s="21" t="n">
        <v>14.3</v>
      </c>
      <c r="K346" s="18" t="inlineStr">
        <is>
          <t>TNR</t>
        </is>
      </c>
      <c r="L346" s="18" t="inlineStr">
        <is>
          <t>100k +  pop + capital + airport</t>
        </is>
      </c>
      <c r="M346" s="22" t="n">
        <v>0.715</v>
      </c>
      <c r="N346" s="22" t="n">
        <v>0</v>
      </c>
      <c r="O346" s="18" t="n"/>
      <c r="P346" s="22">
        <f>IF(O346="",(About!$B$5*M346+About!$B$6*N346)/(About!$B$5+About!$B$6),About!$B$5*M346+About!$B$6*N346+About!$B$7*O346)</f>
        <v/>
      </c>
      <c r="Q346" s="23" t="n">
        <v>-18.9137</v>
      </c>
      <c r="R346" s="23" t="n">
        <v>47.5361</v>
      </c>
    </row>
    <row r="347" ht="15" customHeight="1" s="12">
      <c r="A347" s="18" t="inlineStr">
        <is>
          <t>Santa Cruz de la Sierra</t>
        </is>
      </c>
      <c r="B347" s="18" t="inlineStr">
        <is>
          <t>Bolivia</t>
        </is>
      </c>
      <c r="C347" s="19" t="n">
        <v>11365333</v>
      </c>
      <c r="D347" s="18" t="inlineStr">
        <is>
          <t>BO</t>
        </is>
      </c>
      <c r="E347" s="18" t="inlineStr">
        <is>
          <t>08</t>
        </is>
      </c>
      <c r="F347" s="20" t="n">
        <v>1364389</v>
      </c>
      <c r="G347" s="18" t="n"/>
      <c r="H347" s="18" t="inlineStr">
        <is>
          <t>VVI</t>
        </is>
      </c>
      <c r="I347" s="18" t="inlineStr">
        <is>
          <t>Viru Viru International Airport</t>
        </is>
      </c>
      <c r="J347" s="21" t="n">
        <v>16.5</v>
      </c>
      <c r="K347" s="18" t="inlineStr">
        <is>
          <t>SRZ+VVI</t>
        </is>
      </c>
      <c r="L347" s="18" t="inlineStr">
        <is>
          <t>100k +  pop + airport</t>
        </is>
      </c>
      <c r="M347" s="22" t="n">
        <v>0.717</v>
      </c>
      <c r="N347" s="22" t="n">
        <v>0</v>
      </c>
      <c r="O347" s="18" t="n"/>
      <c r="P347" s="22">
        <f>IF(O347="",(About!$B$5*M347+About!$B$6*N347)/(About!$B$5+About!$B$6),About!$B$5*M347+About!$B$6*N347+About!$B$7*O347)</f>
        <v/>
      </c>
      <c r="Q347" s="23" t="n">
        <v>-17.7863</v>
      </c>
      <c r="R347" s="23" t="n">
        <v>-63.1812</v>
      </c>
    </row>
    <row r="348" ht="15" customHeight="1" s="12">
      <c r="A348" s="18" t="inlineStr">
        <is>
          <t>Hohhot</t>
        </is>
      </c>
      <c r="B348" s="18" t="inlineStr">
        <is>
          <t>China</t>
        </is>
      </c>
      <c r="C348" s="19" t="n">
        <v>1404890000</v>
      </c>
      <c r="D348" s="18" t="inlineStr">
        <is>
          <t>CN</t>
        </is>
      </c>
      <c r="E348" s="18" t="inlineStr">
        <is>
          <t>20</t>
        </is>
      </c>
      <c r="F348" s="20" t="n">
        <v>774477</v>
      </c>
      <c r="G348" s="18" t="n"/>
      <c r="H348" s="18" t="inlineStr">
        <is>
          <t>HET</t>
        </is>
      </c>
      <c r="I348" s="18" t="inlineStr">
        <is>
          <t>Hohhot Baita International Airport</t>
        </is>
      </c>
      <c r="J348" s="21" t="n">
        <v>15.1</v>
      </c>
      <c r="K348" s="18" t="inlineStr">
        <is>
          <t>HET</t>
        </is>
      </c>
      <c r="L348" s="18" t="inlineStr">
        <is>
          <t>100k +  pop + airport</t>
        </is>
      </c>
      <c r="M348" s="22" t="n">
        <v>0.716</v>
      </c>
      <c r="N348" s="22" t="n">
        <v>0</v>
      </c>
      <c r="O348" s="18" t="n"/>
      <c r="P348" s="22">
        <f>IF(O348="",(About!$B$5*M348+About!$B$6*N348)/(About!$B$5+About!$B$6),About!$B$5*M348+About!$B$6*N348+About!$B$7*O348)</f>
        <v/>
      </c>
      <c r="Q348" s="23" t="n">
        <v>40.8106</v>
      </c>
      <c r="R348" s="23" t="n">
        <v>111.6522</v>
      </c>
    </row>
    <row r="349" ht="15" customHeight="1" s="12">
      <c r="A349" s="18" t="inlineStr">
        <is>
          <t>Tunis</t>
        </is>
      </c>
      <c r="B349" s="18" t="inlineStr">
        <is>
          <t>Tunisia</t>
        </is>
      </c>
      <c r="C349" s="19" t="n">
        <v>11972169</v>
      </c>
      <c r="D349" s="18" t="inlineStr">
        <is>
          <t>TN</t>
        </is>
      </c>
      <c r="E349" s="18" t="inlineStr">
        <is>
          <t>36</t>
        </is>
      </c>
      <c r="F349" s="20" t="n">
        <v>693210</v>
      </c>
      <c r="G349" s="18" t="inlineStr">
        <is>
          <t>Yes</t>
        </is>
      </c>
      <c r="H349" s="18" t="inlineStr">
        <is>
          <t>TUN</t>
        </is>
      </c>
      <c r="I349" s="18" t="inlineStr">
        <is>
          <t>Tunis Carthage International Airport</t>
        </is>
      </c>
      <c r="J349" s="21" t="n">
        <v>6.5</v>
      </c>
      <c r="K349" s="18" t="inlineStr">
        <is>
          <t>TUN</t>
        </is>
      </c>
      <c r="L349" s="18" t="inlineStr">
        <is>
          <t>100k +  pop + capital + airport</t>
        </is>
      </c>
      <c r="M349" s="22" t="n">
        <v>0.717</v>
      </c>
      <c r="N349" s="22" t="n">
        <v>0</v>
      </c>
      <c r="O349" s="18" t="n"/>
      <c r="P349" s="22">
        <f>IF(O349="",(About!$B$5*M349+About!$B$6*N349)/(About!$B$5+About!$B$6),About!$B$5*M349+About!$B$6*N349+About!$B$7*O349)</f>
        <v/>
      </c>
      <c r="Q349" s="23" t="n">
        <v>36.819</v>
      </c>
      <c r="R349" s="23" t="n">
        <v>10.1658</v>
      </c>
    </row>
    <row r="350" ht="15" customHeight="1" s="12">
      <c r="A350" s="18" t="inlineStr">
        <is>
          <t>Antwerpen</t>
        </is>
      </c>
      <c r="B350" s="18" t="inlineStr">
        <is>
          <t>Belgium</t>
        </is>
      </c>
      <c r="C350" s="19" t="n">
        <v>11933850</v>
      </c>
      <c r="D350" s="18" t="inlineStr">
        <is>
          <t>BE</t>
        </is>
      </c>
      <c r="E350" s="18" t="inlineStr">
        <is>
          <t>VLG</t>
        </is>
      </c>
      <c r="F350" s="20" t="n">
        <v>459805</v>
      </c>
      <c r="G350" s="18" t="n"/>
      <c r="H350" s="18" t="inlineStr">
        <is>
          <t>ANR</t>
        </is>
      </c>
      <c r="I350" s="18" t="inlineStr">
        <is>
          <t>Antwerp International Airport (Deurne)</t>
        </is>
      </c>
      <c r="J350" s="21" t="n">
        <v>5.5</v>
      </c>
      <c r="K350" s="18" t="inlineStr">
        <is>
          <t>ANR</t>
        </is>
      </c>
      <c r="L350" s="18" t="inlineStr">
        <is>
          <t>100k +  pop + airport</t>
        </is>
      </c>
      <c r="M350" s="22" t="n">
        <v>0.717</v>
      </c>
      <c r="N350" s="22" t="n">
        <v>0</v>
      </c>
      <c r="O350" s="18" t="n"/>
      <c r="P350" s="22">
        <f>IF(O350="",(About!$B$5*M350+About!$B$6*N350)/(About!$B$5+About!$B$6),About!$B$5*M350+About!$B$6*N350+About!$B$7*O350)</f>
        <v/>
      </c>
      <c r="Q350" s="23" t="n">
        <v>51.2205</v>
      </c>
      <c r="R350" s="23" t="n">
        <v>4.4003</v>
      </c>
    </row>
    <row r="351" ht="15" customHeight="1" s="12">
      <c r="A351" s="18" t="inlineStr">
        <is>
          <t>Xiamen</t>
        </is>
      </c>
      <c r="B351" s="18" t="inlineStr">
        <is>
          <t>China</t>
        </is>
      </c>
      <c r="C351" s="19" t="n">
        <v>1404890000</v>
      </c>
      <c r="D351" s="18" t="inlineStr">
        <is>
          <t>CN</t>
        </is>
      </c>
      <c r="E351" s="18" t="inlineStr">
        <is>
          <t>07</t>
        </is>
      </c>
      <c r="F351" s="20" t="n">
        <v>3531347</v>
      </c>
      <c r="G351" s="18" t="n"/>
      <c r="H351" s="18" t="inlineStr">
        <is>
          <t>XMN</t>
        </is>
      </c>
      <c r="I351" s="18" t="inlineStr">
        <is>
          <t>Xiamen Gaoqi International Airport</t>
        </is>
      </c>
      <c r="J351" s="21" t="n">
        <v>8.5</v>
      </c>
      <c r="K351" s="18" t="inlineStr">
        <is>
          <t>XMN</t>
        </is>
      </c>
      <c r="L351" s="18" t="inlineStr">
        <is>
          <t>100k +  pop + airport</t>
        </is>
      </c>
      <c r="M351" s="22" t="n">
        <v>0.714</v>
      </c>
      <c r="N351" s="22" t="n">
        <v>0</v>
      </c>
      <c r="O351" s="18" t="n"/>
      <c r="P351" s="22">
        <f>IF(O351="",(About!$B$5*M351+About!$B$6*N351)/(About!$B$5+About!$B$6),About!$B$5*M351+About!$B$6*N351+About!$B$7*O351)</f>
        <v/>
      </c>
      <c r="Q351" s="23" t="n">
        <v>24.4798</v>
      </c>
      <c r="R351" s="23" t="n">
        <v>118.0819</v>
      </c>
    </row>
    <row r="352" ht="15" customHeight="1" s="12">
      <c r="A352" s="18" t="inlineStr">
        <is>
          <t>Beirut</t>
        </is>
      </c>
      <c r="B352" s="18" t="inlineStr">
        <is>
          <t>Lebanon</t>
        </is>
      </c>
      <c r="C352" s="19" t="n">
        <v>5490000</v>
      </c>
      <c r="D352" s="18" t="inlineStr">
        <is>
          <t>LB</t>
        </is>
      </c>
      <c r="E352" s="18" t="inlineStr">
        <is>
          <t>04</t>
        </is>
      </c>
      <c r="F352" s="20" t="n">
        <v>1916100</v>
      </c>
      <c r="G352" s="18" t="inlineStr">
        <is>
          <t>Yes</t>
        </is>
      </c>
      <c r="H352" s="18" t="inlineStr">
        <is>
          <t>BEY</t>
        </is>
      </c>
      <c r="I352" s="18" t="inlineStr">
        <is>
          <t>Beirut Rafic Hariri International Airport</t>
        </is>
      </c>
      <c r="J352" s="21" t="n">
        <v>8.300000000000001</v>
      </c>
      <c r="K352" s="18" t="inlineStr">
        <is>
          <t>BEY</t>
        </is>
      </c>
      <c r="L352" s="18" t="inlineStr">
        <is>
          <t>100k +  pop + capital + airport</t>
        </is>
      </c>
      <c r="M352" s="22" t="n">
        <v>0.713</v>
      </c>
      <c r="N352" s="22" t="n">
        <v>0</v>
      </c>
      <c r="O352" s="18" t="n"/>
      <c r="P352" s="22">
        <f>IF(O352="",(About!$B$5*M352+About!$B$6*N352)/(About!$B$5+About!$B$6),About!$B$5*M352+About!$B$6*N352+About!$B$7*O352)</f>
        <v/>
      </c>
      <c r="Q352" s="23" t="n">
        <v>33.8933</v>
      </c>
      <c r="R352" s="23" t="n">
        <v>35.5016</v>
      </c>
    </row>
    <row r="353" ht="15" customHeight="1" s="12">
      <c r="A353" s="18" t="inlineStr">
        <is>
          <t>Yogyakarta</t>
        </is>
      </c>
      <c r="B353" s="18" t="inlineStr">
        <is>
          <t>Indonesia</t>
        </is>
      </c>
      <c r="C353" s="19" t="n">
        <v>288315089</v>
      </c>
      <c r="D353" s="18" t="inlineStr">
        <is>
          <t>ID</t>
        </is>
      </c>
      <c r="E353" s="18" t="inlineStr">
        <is>
          <t>10</t>
        </is>
      </c>
      <c r="F353" s="20" t="n">
        <v>636660</v>
      </c>
      <c r="G353" s="18" t="n"/>
      <c r="H353" s="18" t="inlineStr">
        <is>
          <t>JOG</t>
        </is>
      </c>
      <c r="I353" s="18" t="inlineStr">
        <is>
          <t>Adisutjipto International Airport</t>
        </is>
      </c>
      <c r="J353" s="21" t="n">
        <v>7.6</v>
      </c>
      <c r="K353" s="18" t="inlineStr">
        <is>
          <t>JOG+YIA</t>
        </is>
      </c>
      <c r="L353" s="18" t="inlineStr">
        <is>
          <t>100k +  pop + airport</t>
        </is>
      </c>
      <c r="M353" s="22" t="n">
        <v>0.714</v>
      </c>
      <c r="N353" s="22" t="n">
        <v>0</v>
      </c>
      <c r="O353" s="18" t="n"/>
      <c r="P353" s="22">
        <f>IF(O353="",(About!$B$5*M353+About!$B$6*N353)/(About!$B$5+About!$B$6),About!$B$5*M353+About!$B$6*N353+About!$B$7*O353)</f>
        <v/>
      </c>
      <c r="Q353" s="23" t="n">
        <v>-7.8014</v>
      </c>
      <c r="R353" s="23" t="n">
        <v>110.3647</v>
      </c>
    </row>
    <row r="354" ht="15" customHeight="1" s="12">
      <c r="A354" s="18" t="inlineStr">
        <is>
          <t>Toulouse</t>
        </is>
      </c>
      <c r="B354" s="18" t="inlineStr">
        <is>
          <t>France</t>
        </is>
      </c>
      <c r="C354" s="19" t="n">
        <v>69081996</v>
      </c>
      <c r="D354" s="18" t="inlineStr">
        <is>
          <t>FR</t>
        </is>
      </c>
      <c r="E354" s="18" t="inlineStr">
        <is>
          <t>76</t>
        </is>
      </c>
      <c r="F354" s="20" t="n">
        <v>433055</v>
      </c>
      <c r="G354" s="18" t="n"/>
      <c r="H354" s="18" t="inlineStr">
        <is>
          <t>TLS</t>
        </is>
      </c>
      <c r="I354" s="18" t="inlineStr">
        <is>
          <t>Toulouse-Blagnac Airport</t>
        </is>
      </c>
      <c r="J354" s="21" t="n">
        <v>7</v>
      </c>
      <c r="K354" s="18" t="inlineStr">
        <is>
          <t>TLS</t>
        </is>
      </c>
      <c r="L354" s="18" t="inlineStr">
        <is>
          <t>100k +  pop + airport</t>
        </is>
      </c>
      <c r="M354" s="22" t="n">
        <v>0.715</v>
      </c>
      <c r="N354" s="22" t="n">
        <v>0</v>
      </c>
      <c r="O354" s="18" t="n"/>
      <c r="P354" s="22">
        <f>IF(O354="",(About!$B$5*M354+About!$B$6*N354)/(About!$B$5+About!$B$6),About!$B$5*M354+About!$B$6*N354+About!$B$7*O354)</f>
        <v/>
      </c>
      <c r="Q354" s="23" t="n">
        <v>43.6043</v>
      </c>
      <c r="R354" s="23" t="n">
        <v>1.4437</v>
      </c>
    </row>
    <row r="355" ht="15" customHeight="1" s="12">
      <c r="A355" s="18" t="inlineStr">
        <is>
          <t>Alicante</t>
        </is>
      </c>
      <c r="B355" s="18" t="inlineStr">
        <is>
          <t>Spain</t>
        </is>
      </c>
      <c r="C355" s="19" t="n">
        <v>49687120</v>
      </c>
      <c r="D355" s="18" t="inlineStr">
        <is>
          <t>ES</t>
        </is>
      </c>
      <c r="E355" s="18" t="inlineStr">
        <is>
          <t>60</t>
        </is>
      </c>
      <c r="F355" s="20" t="n">
        <v>334757</v>
      </c>
      <c r="G355" s="18" t="n"/>
      <c r="H355" s="18" t="inlineStr">
        <is>
          <t>ALC</t>
        </is>
      </c>
      <c r="I355" s="18" t="inlineStr">
        <is>
          <t>Alicante-Elche Miguel Hernández Airport</t>
        </is>
      </c>
      <c r="J355" s="21" t="n">
        <v>9.699999999999999</v>
      </c>
      <c r="K355" s="18" t="inlineStr">
        <is>
          <t>ALC</t>
        </is>
      </c>
      <c r="L355" s="18" t="inlineStr">
        <is>
          <t>100k +  pop + airport</t>
        </is>
      </c>
      <c r="M355" s="22" t="n">
        <v>0.714</v>
      </c>
      <c r="N355" s="22" t="n">
        <v>0</v>
      </c>
      <c r="O355" s="18" t="n"/>
      <c r="P355" s="22">
        <f>IF(O355="",(About!$B$5*M355+About!$B$6*N355)/(About!$B$5+About!$B$6),About!$B$5*M355+About!$B$6*N355+About!$B$7*O355)</f>
        <v/>
      </c>
      <c r="Q355" s="23" t="n">
        <v>38.3452</v>
      </c>
      <c r="R355" s="23" t="n">
        <v>-0.4815</v>
      </c>
    </row>
    <row r="356" ht="15" customHeight="1" s="12">
      <c r="A356" s="18" t="inlineStr">
        <is>
          <t>Louisville</t>
        </is>
      </c>
      <c r="B356" s="18" t="inlineStr">
        <is>
          <t>United States</t>
        </is>
      </c>
      <c r="C356" s="19" t="n">
        <v>341784857</v>
      </c>
      <c r="D356" s="18" t="inlineStr">
        <is>
          <t>US</t>
        </is>
      </c>
      <c r="E356" s="18" t="inlineStr">
        <is>
          <t>KY</t>
        </is>
      </c>
      <c r="F356" s="20" t="n">
        <v>243639</v>
      </c>
      <c r="G356" s="18" t="n"/>
      <c r="H356" s="18" t="inlineStr">
        <is>
          <t>SDF</t>
        </is>
      </c>
      <c r="I356" s="18" t="inlineStr">
        <is>
          <t>Louisville Muhammad Ali International Airport</t>
        </is>
      </c>
      <c r="J356" s="21" t="n">
        <v>9.5</v>
      </c>
      <c r="K356" s="18" t="inlineStr">
        <is>
          <t>SDF</t>
        </is>
      </c>
      <c r="L356" s="18" t="inlineStr">
        <is>
          <t>100k +  pop + airport</t>
        </is>
      </c>
      <c r="M356" s="22" t="n">
        <v>0.714</v>
      </c>
      <c r="N356" s="22" t="n">
        <v>0</v>
      </c>
      <c r="O356" s="18" t="n"/>
      <c r="P356" s="22">
        <f>IF(O356="",(About!$B$5*M356+About!$B$6*N356)/(About!$B$5+About!$B$6),About!$B$5*M356+About!$B$6*N356+About!$B$7*O356)</f>
        <v/>
      </c>
      <c r="Q356" s="23" t="n">
        <v>38.2542</v>
      </c>
      <c r="R356" s="23" t="n">
        <v>-85.7594</v>
      </c>
    </row>
    <row r="357" ht="15" customHeight="1" s="12">
      <c r="A357" s="18" t="inlineStr">
        <is>
          <t>Elche</t>
        </is>
      </c>
      <c r="B357" s="18" t="inlineStr">
        <is>
          <t>Spain</t>
        </is>
      </c>
      <c r="C357" s="19" t="n">
        <v>49687120</v>
      </c>
      <c r="D357" s="18" t="inlineStr">
        <is>
          <t>ES</t>
        </is>
      </c>
      <c r="E357" s="18" t="inlineStr">
        <is>
          <t>60</t>
        </is>
      </c>
      <c r="F357" s="20" t="n">
        <v>230112</v>
      </c>
      <c r="G357" s="18" t="n"/>
      <c r="H357" s="18" t="inlineStr">
        <is>
          <t>ALC</t>
        </is>
      </c>
      <c r="I357" s="18" t="inlineStr">
        <is>
          <t>Alicante-Elche Miguel Hernández Airport</t>
        </is>
      </c>
      <c r="J357" s="21" t="n">
        <v>12.7</v>
      </c>
      <c r="K357" s="18" t="inlineStr">
        <is>
          <t>ALC</t>
        </is>
      </c>
      <c r="L357" s="18" t="inlineStr">
        <is>
          <t>100k +  pop</t>
        </is>
      </c>
      <c r="M357" s="22" t="n">
        <v>0.714</v>
      </c>
      <c r="N357" s="22" t="n">
        <v>0</v>
      </c>
      <c r="O357" s="18" t="n"/>
      <c r="P357" s="22">
        <f>IF(O357="",(About!$B$5*M357+About!$B$6*N357)/(About!$B$5+About!$B$6),About!$B$5*M357+About!$B$6*N357+About!$B$7*O357)</f>
        <v/>
      </c>
      <c r="Q357" s="23" t="n">
        <v>38.2622</v>
      </c>
      <c r="R357" s="23" t="n">
        <v>-0.7010999999999999</v>
      </c>
    </row>
    <row r="358" ht="15" customHeight="1" s="12">
      <c r="A358" s="18" t="inlineStr">
        <is>
          <t>Ürümqi</t>
        </is>
      </c>
      <c r="B358" s="18" t="inlineStr">
        <is>
          <t>China</t>
        </is>
      </c>
      <c r="C358" s="19" t="n">
        <v>1404890000</v>
      </c>
      <c r="D358" s="18" t="inlineStr">
        <is>
          <t>CN</t>
        </is>
      </c>
      <c r="E358" s="18" t="inlineStr">
        <is>
          <t>13</t>
        </is>
      </c>
      <c r="F358" s="20" t="n">
        <v>3029372</v>
      </c>
      <c r="G358" s="18" t="n"/>
      <c r="H358" s="18" t="inlineStr">
        <is>
          <t>URC</t>
        </is>
      </c>
      <c r="I358" s="18" t="inlineStr">
        <is>
          <t>Ürümqi Tianshan International Airport</t>
        </is>
      </c>
      <c r="J358" s="21" t="n">
        <v>15.8</v>
      </c>
      <c r="K358" s="18" t="inlineStr">
        <is>
          <t>URC</t>
        </is>
      </c>
      <c r="L358" s="18" t="inlineStr">
        <is>
          <t>100k +  pop + airport</t>
        </is>
      </c>
      <c r="M358" s="22" t="n">
        <v>0.713</v>
      </c>
      <c r="N358" s="22" t="n">
        <v>0</v>
      </c>
      <c r="O358" s="18" t="n"/>
      <c r="P358" s="22">
        <f>IF(O358="",(About!$B$5*M358+About!$B$6*N358)/(About!$B$5+About!$B$6),About!$B$5*M358+About!$B$6*N358+About!$B$7*O358)</f>
        <v/>
      </c>
      <c r="Q358" s="23" t="n">
        <v>43.801</v>
      </c>
      <c r="R358" s="23" t="n">
        <v>87.6005</v>
      </c>
    </row>
    <row r="359" ht="15" customHeight="1" s="12">
      <c r="A359" s="18" t="inlineStr">
        <is>
          <t>Belém</t>
        </is>
      </c>
      <c r="B359" s="18" t="inlineStr">
        <is>
          <t>Brazil</t>
        </is>
      </c>
      <c r="C359" s="19" t="n">
        <v>213421037</v>
      </c>
      <c r="D359" s="18" t="inlineStr">
        <is>
          <t>BR</t>
        </is>
      </c>
      <c r="E359" s="18" t="inlineStr">
        <is>
          <t>16</t>
        </is>
      </c>
      <c r="F359" s="20" t="n">
        <v>1407737</v>
      </c>
      <c r="G359" s="18" t="n"/>
      <c r="H359" s="18" t="inlineStr">
        <is>
          <t>BEL</t>
        </is>
      </c>
      <c r="I359" s="18" t="inlineStr">
        <is>
          <t>Val de Cans/Júlio Cezar Ribeiro International Airport</t>
        </is>
      </c>
      <c r="J359" s="21" t="n">
        <v>9.1</v>
      </c>
      <c r="K359" s="18" t="inlineStr">
        <is>
          <t>BEL</t>
        </is>
      </c>
      <c r="L359" s="18" t="inlineStr">
        <is>
          <t>100k +  pop + airport</t>
        </is>
      </c>
      <c r="M359" s="22" t="n">
        <v>0.711</v>
      </c>
      <c r="N359" s="22" t="n">
        <v>0</v>
      </c>
      <c r="O359" s="18" t="n"/>
      <c r="P359" s="22">
        <f>IF(O359="",(About!$B$5*M359+About!$B$6*N359)/(About!$B$5+About!$B$6),About!$B$5*M359+About!$B$6*N359+About!$B$7*O359)</f>
        <v/>
      </c>
      <c r="Q359" s="23" t="n">
        <v>-1.4558</v>
      </c>
      <c r="R359" s="23" t="n">
        <v>-48.5044</v>
      </c>
    </row>
    <row r="360" ht="15" customHeight="1" s="12">
      <c r="A360" s="18" t="inlineStr">
        <is>
          <t>Rotterdam</t>
        </is>
      </c>
      <c r="B360" s="18" t="inlineStr">
        <is>
          <t>Netherlands</t>
        </is>
      </c>
      <c r="C360" s="19" t="n">
        <v>18147273</v>
      </c>
      <c r="D360" s="18" t="inlineStr">
        <is>
          <t>NL</t>
        </is>
      </c>
      <c r="E360" s="18" t="inlineStr">
        <is>
          <t>11</t>
        </is>
      </c>
      <c r="F360" s="20" t="n">
        <v>598199</v>
      </c>
      <c r="G360" s="18" t="n"/>
      <c r="H360" s="18" t="inlineStr">
        <is>
          <t>RTM</t>
        </is>
      </c>
      <c r="I360" s="18" t="inlineStr">
        <is>
          <t>Rotterdam The Hague Airport</t>
        </is>
      </c>
      <c r="J360" s="21" t="n">
        <v>4.8</v>
      </c>
      <c r="K360" s="18" t="inlineStr">
        <is>
          <t>RTM</t>
        </is>
      </c>
      <c r="L360" s="18" t="inlineStr">
        <is>
          <t>100k +  pop + airport</t>
        </is>
      </c>
      <c r="M360" s="22" t="n">
        <v>0.711</v>
      </c>
      <c r="N360" s="22" t="n">
        <v>0</v>
      </c>
      <c r="O360" s="18" t="n"/>
      <c r="P360" s="22">
        <f>IF(O360="",(About!$B$5*M360+About!$B$6*N360)/(About!$B$5+About!$B$6),About!$B$5*M360+About!$B$6*N360+About!$B$7*O360)</f>
        <v/>
      </c>
      <c r="Q360" s="23" t="n">
        <v>51.9225</v>
      </c>
      <c r="R360" s="23" t="n">
        <v>4.4792</v>
      </c>
    </row>
    <row r="361" ht="15" customHeight="1" s="12">
      <c r="A361" s="18" t="inlineStr">
        <is>
          <t>The Hague</t>
        </is>
      </c>
      <c r="B361" s="18" t="inlineStr">
        <is>
          <t>Netherlands</t>
        </is>
      </c>
      <c r="C361" s="19" t="n">
        <v>18147273</v>
      </c>
      <c r="D361" s="18" t="inlineStr">
        <is>
          <t>NL</t>
        </is>
      </c>
      <c r="E361" s="18" t="inlineStr">
        <is>
          <t>11</t>
        </is>
      </c>
      <c r="F361" s="20" t="n">
        <v>474292</v>
      </c>
      <c r="G361" s="18" t="inlineStr">
        <is>
          <t>Yes</t>
        </is>
      </c>
      <c r="H361" s="18" t="inlineStr">
        <is>
          <t>RTM</t>
        </is>
      </c>
      <c r="I361" s="18" t="inlineStr">
        <is>
          <t>Rotterdam The Hague Airport</t>
        </is>
      </c>
      <c r="J361" s="21" t="n">
        <v>16.4</v>
      </c>
      <c r="K361" s="18" t="inlineStr">
        <is>
          <t>RTM</t>
        </is>
      </c>
      <c r="L361" s="18" t="inlineStr">
        <is>
          <t>100k +  pop + capital</t>
        </is>
      </c>
      <c r="M361" s="22" t="n">
        <v>0.711</v>
      </c>
      <c r="N361" s="22" t="n">
        <v>0</v>
      </c>
      <c r="O361" s="18" t="n"/>
      <c r="P361" s="22">
        <f>IF(O361="",(About!$B$5*M361+About!$B$6*N361)/(About!$B$5+About!$B$6),About!$B$5*M361+About!$B$6*N361+About!$B$7*O361)</f>
        <v/>
      </c>
      <c r="Q361" s="23" t="n">
        <v>52.0767</v>
      </c>
      <c r="R361" s="23" t="n">
        <v>4.2986</v>
      </c>
    </row>
    <row r="362" ht="15" customHeight="1" s="12">
      <c r="A362" s="18" t="inlineStr">
        <is>
          <t>Manama</t>
        </is>
      </c>
      <c r="B362" s="18" t="inlineStr">
        <is>
          <t>Bahrain</t>
        </is>
      </c>
      <c r="C362" s="19" t="n">
        <v>1594654</v>
      </c>
      <c r="D362" s="18" t="inlineStr">
        <is>
          <t>BH</t>
        </is>
      </c>
      <c r="E362" s="18" t="inlineStr">
        <is>
          <t>16</t>
        </is>
      </c>
      <c r="F362" s="20" t="n">
        <v>147074</v>
      </c>
      <c r="G362" s="18" t="inlineStr">
        <is>
          <t>Yes</t>
        </is>
      </c>
      <c r="H362" s="18" t="inlineStr">
        <is>
          <t>BAH</t>
        </is>
      </c>
      <c r="I362" s="18" t="inlineStr">
        <is>
          <t>Bahrain International Airport</t>
        </is>
      </c>
      <c r="J362" s="21" t="n">
        <v>6.8</v>
      </c>
      <c r="K362" s="18" t="inlineStr">
        <is>
          <t>BAH</t>
        </is>
      </c>
      <c r="L362" s="18" t="inlineStr">
        <is>
          <t>100k +  pop + capital + airport</t>
        </is>
      </c>
      <c r="M362" s="22" t="n">
        <v>0.712</v>
      </c>
      <c r="N362" s="22" t="n">
        <v>0</v>
      </c>
      <c r="O362" s="18" t="n"/>
      <c r="P362" s="22">
        <f>IF(O362="",(About!$B$5*M362+About!$B$6*N362)/(About!$B$5+About!$B$6),About!$B$5*M362+About!$B$6*N362+About!$B$7*O362)</f>
        <v/>
      </c>
      <c r="Q362" s="23" t="n">
        <v>26.2279</v>
      </c>
      <c r="R362" s="23" t="n">
        <v>50.5857</v>
      </c>
    </row>
    <row r="363" ht="15" customHeight="1" s="12">
      <c r="A363" s="18" t="inlineStr">
        <is>
          <t>Male</t>
        </is>
      </c>
      <c r="B363" s="18" t="inlineStr">
        <is>
          <t>Maldives</t>
        </is>
      </c>
      <c r="C363" s="19" t="n">
        <v>515132</v>
      </c>
      <c r="D363" s="18" t="inlineStr">
        <is>
          <t>MV</t>
        </is>
      </c>
      <c r="E363" s="18" t="inlineStr">
        <is>
          <t>38</t>
        </is>
      </c>
      <c r="F363" s="20" t="n">
        <v>103693</v>
      </c>
      <c r="G363" s="18" t="inlineStr">
        <is>
          <t>Yes</t>
        </is>
      </c>
      <c r="H363" s="18" t="inlineStr">
        <is>
          <t>MLE</t>
        </is>
      </c>
      <c r="I363" s="18" t="inlineStr">
        <is>
          <t>Velana International Airport</t>
        </is>
      </c>
      <c r="J363" s="21" t="n">
        <v>2.9</v>
      </c>
      <c r="K363" s="18" t="inlineStr">
        <is>
          <t>MLE</t>
        </is>
      </c>
      <c r="L363" s="18" t="inlineStr">
        <is>
          <t>100k +  pop + capital + airport</t>
        </is>
      </c>
      <c r="M363" s="22" t="n">
        <v>0.712</v>
      </c>
      <c r="N363" s="22" t="n">
        <v>0</v>
      </c>
      <c r="O363" s="18" t="n"/>
      <c r="P363" s="22">
        <f>IF(O363="",(About!$B$5*M363+About!$B$6*N363)/(About!$B$5+About!$B$6),About!$B$5*M363+About!$B$6*N363+About!$B$7*O363)</f>
        <v/>
      </c>
      <c r="Q363" s="23" t="n">
        <v>4.1752</v>
      </c>
      <c r="R363" s="23" t="n">
        <v>73.50920000000001</v>
      </c>
    </row>
    <row r="364" ht="15" customHeight="1" s="12">
      <c r="A364" s="18" t="inlineStr">
        <is>
          <t>Al Muharraq</t>
        </is>
      </c>
      <c r="B364" s="18" t="inlineStr">
        <is>
          <t>Bahrain</t>
        </is>
      </c>
      <c r="C364" s="19" t="n">
        <v>1594654</v>
      </c>
      <c r="D364" s="18" t="inlineStr">
        <is>
          <t>BH</t>
        </is>
      </c>
      <c r="E364" s="18" t="inlineStr">
        <is>
          <t>15</t>
        </is>
      </c>
      <c r="F364" s="20" t="n">
        <v>97458</v>
      </c>
      <c r="G364" s="18" t="n"/>
      <c r="H364" s="18" t="inlineStr">
        <is>
          <t>BAH</t>
        </is>
      </c>
      <c r="I364" s="18" t="inlineStr">
        <is>
          <t>Bahrain International Airport</t>
        </is>
      </c>
      <c r="J364" s="21" t="n">
        <v>2.8</v>
      </c>
      <c r="K364" s="18" t="inlineStr">
        <is>
          <t>BAH</t>
        </is>
      </c>
      <c r="L364" s="18" t="inlineStr">
        <is>
          <t>airport</t>
        </is>
      </c>
      <c r="M364" s="22" t="n">
        <v>0.712</v>
      </c>
      <c r="N364" s="22" t="n">
        <v>0</v>
      </c>
      <c r="O364" s="18" t="n"/>
      <c r="P364" s="22">
        <f>IF(O364="",(About!$B$5*M364+About!$B$6*N364)/(About!$B$5+About!$B$6),About!$B$5*M364+About!$B$6*N364+About!$B$7*O364)</f>
        <v/>
      </c>
      <c r="Q364" s="23" t="n">
        <v>26.2572</v>
      </c>
      <c r="R364" s="23" t="n">
        <v>50.6119</v>
      </c>
    </row>
    <row r="365" ht="15" customHeight="1" s="12">
      <c r="A365" s="18" t="inlineStr">
        <is>
          <t>Delft</t>
        </is>
      </c>
      <c r="B365" s="18" t="inlineStr">
        <is>
          <t>Netherlands</t>
        </is>
      </c>
      <c r="C365" s="19" t="n">
        <v>18147273</v>
      </c>
      <c r="D365" s="18" t="inlineStr">
        <is>
          <t>NL</t>
        </is>
      </c>
      <c r="E365" s="18" t="inlineStr">
        <is>
          <t>11</t>
        </is>
      </c>
      <c r="F365" s="20" t="n">
        <v>95060</v>
      </c>
      <c r="G365" s="18" t="n"/>
      <c r="H365" s="18" t="inlineStr">
        <is>
          <t>RTM</t>
        </is>
      </c>
      <c r="I365" s="18" t="inlineStr">
        <is>
          <t>Rotterdam The Hague Airport</t>
        </is>
      </c>
      <c r="J365" s="21" t="n">
        <v>7.9</v>
      </c>
      <c r="K365" s="18" t="inlineStr">
        <is>
          <t>RTM</t>
        </is>
      </c>
      <c r="L365" s="18" t="inlineStr">
        <is>
          <t>airport</t>
        </is>
      </c>
      <c r="M365" s="22" t="n">
        <v>0.711</v>
      </c>
      <c r="N365" s="22" t="n">
        <v>0</v>
      </c>
      <c r="O365" s="18" t="n"/>
      <c r="P365" s="22">
        <f>IF(O365="",(About!$B$5*M365+About!$B$6*N365)/(About!$B$5+About!$B$6),About!$B$5*M365+About!$B$6*N365+About!$B$7*O365)</f>
        <v/>
      </c>
      <c r="Q365" s="23" t="n">
        <v>52.0067</v>
      </c>
      <c r="R365" s="23" t="n">
        <v>4.3556</v>
      </c>
    </row>
    <row r="366" ht="15" customHeight="1" s="12">
      <c r="A366" s="18" t="inlineStr">
        <is>
          <t>Wuxi</t>
        </is>
      </c>
      <c r="B366" s="18" t="inlineStr">
        <is>
          <t>China</t>
        </is>
      </c>
      <c r="C366" s="19" t="n">
        <v>1404890000</v>
      </c>
      <c r="D366" s="18" t="inlineStr">
        <is>
          <t>CN</t>
        </is>
      </c>
      <c r="E366" s="18" t="inlineStr">
        <is>
          <t>04</t>
        </is>
      </c>
      <c r="F366" s="20" t="n">
        <v>3543719</v>
      </c>
      <c r="G366" s="18" t="n"/>
      <c r="H366" s="18" t="inlineStr">
        <is>
          <t>WUX</t>
        </is>
      </c>
      <c r="I366" s="18" t="inlineStr">
        <is>
          <t>Sunan Shuofang International Airport</t>
        </is>
      </c>
      <c r="J366" s="21" t="n">
        <v>15.6</v>
      </c>
      <c r="K366" s="18" t="inlineStr">
        <is>
          <t>WUX</t>
        </is>
      </c>
      <c r="L366" s="18" t="inlineStr">
        <is>
          <t>100k +  pop + airport</t>
        </is>
      </c>
      <c r="M366" s="22" t="n">
        <v>0.71</v>
      </c>
      <c r="N366" s="22" t="n">
        <v>0</v>
      </c>
      <c r="O366" s="18" t="n"/>
      <c r="P366" s="22">
        <f>IF(O366="",(About!$B$5*M366+About!$B$6*N366)/(About!$B$5+About!$B$6),About!$B$5*M366+About!$B$6*N366+About!$B$7*O366)</f>
        <v/>
      </c>
      <c r="Q366" s="23" t="n">
        <v>31.5689</v>
      </c>
      <c r="R366" s="23" t="n">
        <v>120.2886</v>
      </c>
    </row>
    <row r="367" ht="15" customHeight="1" s="12">
      <c r="A367" s="18" t="inlineStr">
        <is>
          <t>Quito</t>
        </is>
      </c>
      <c r="B367" s="18" t="inlineStr">
        <is>
          <t>Ecuador</t>
        </is>
      </c>
      <c r="C367" s="19" t="n">
        <v>18103660</v>
      </c>
      <c r="D367" s="18" t="inlineStr">
        <is>
          <t>EC</t>
        </is>
      </c>
      <c r="E367" s="18" t="inlineStr">
        <is>
          <t>18</t>
        </is>
      </c>
      <c r="F367" s="20" t="n">
        <v>1399814</v>
      </c>
      <c r="G367" s="18" t="inlineStr">
        <is>
          <t>Yes</t>
        </is>
      </c>
      <c r="H367" s="18" t="inlineStr">
        <is>
          <t>UIO</t>
        </is>
      </c>
      <c r="I367" s="18" t="inlineStr">
        <is>
          <t>Mariscal Sucre International Airport</t>
        </is>
      </c>
      <c r="J367" s="21" t="n">
        <v>22.2</v>
      </c>
      <c r="K367" s="18" t="inlineStr">
        <is>
          <t>UIO</t>
        </is>
      </c>
      <c r="L367" s="18" t="inlineStr">
        <is>
          <t>100k +  pop + capital + airport</t>
        </is>
      </c>
      <c r="M367" s="22" t="n">
        <v>0.711</v>
      </c>
      <c r="N367" s="22" t="n">
        <v>0</v>
      </c>
      <c r="O367" s="18" t="n"/>
      <c r="P367" s="22">
        <f>IF(O367="",(About!$B$5*M367+About!$B$6*N367)/(About!$B$5+About!$B$6),About!$B$5*M367+About!$B$6*N367+About!$B$7*O367)</f>
        <v/>
      </c>
      <c r="Q367" s="23" t="n">
        <v>-0.2298</v>
      </c>
      <c r="R367" s="23" t="n">
        <v>-78.52500000000001</v>
      </c>
    </row>
    <row r="368" ht="15" customHeight="1" s="12">
      <c r="A368" s="18" t="inlineStr">
        <is>
          <t>Changwon</t>
        </is>
      </c>
      <c r="B368" s="18" t="inlineStr">
        <is>
          <t>South Korea</t>
        </is>
      </c>
      <c r="C368" s="19" t="n">
        <v>51111158</v>
      </c>
      <c r="D368" s="18" t="inlineStr">
        <is>
          <t>KR</t>
        </is>
      </c>
      <c r="E368" s="18" t="inlineStr">
        <is>
          <t>20</t>
        </is>
      </c>
      <c r="F368" s="20" t="n">
        <v>550000</v>
      </c>
      <c r="G368" s="18" t="n"/>
      <c r="H368" s="18" t="inlineStr">
        <is>
          <t>PUS</t>
        </is>
      </c>
      <c r="I368" s="18" t="inlineStr">
        <is>
          <t>Gimhae International Airport</t>
        </is>
      </c>
      <c r="J368" s="21" t="n">
        <v>24</v>
      </c>
      <c r="K368" s="18" t="inlineStr">
        <is>
          <t>PUS</t>
        </is>
      </c>
      <c r="L368" s="18" t="inlineStr">
        <is>
          <t>100k +  pop</t>
        </is>
      </c>
      <c r="M368" s="22" t="n">
        <v>0.711</v>
      </c>
      <c r="N368" s="22" t="n">
        <v>0</v>
      </c>
      <c r="O368" s="18" t="n"/>
      <c r="P368" s="22">
        <f>IF(O368="",(About!$B$5*M368+About!$B$6*N368)/(About!$B$5+About!$B$6),About!$B$5*M368+About!$B$6*N368+About!$B$7*O368)</f>
        <v/>
      </c>
      <c r="Q368" s="23" t="n">
        <v>35.2281</v>
      </c>
      <c r="R368" s="23" t="n">
        <v>128.6811</v>
      </c>
    </row>
    <row r="369" ht="15" customHeight="1" s="12">
      <c r="A369" s="18" t="inlineStr">
        <is>
          <t>Nürnberg</t>
        </is>
      </c>
      <c r="B369" s="18" t="inlineStr">
        <is>
          <t>Germany</t>
        </is>
      </c>
      <c r="C369" s="19" t="n">
        <v>83497147</v>
      </c>
      <c r="D369" s="18" t="inlineStr">
        <is>
          <t>DE</t>
        </is>
      </c>
      <c r="E369" s="18" t="inlineStr">
        <is>
          <t>02</t>
        </is>
      </c>
      <c r="F369" s="20" t="n">
        <v>499237</v>
      </c>
      <c r="G369" s="18" t="n"/>
      <c r="H369" s="18" t="inlineStr">
        <is>
          <t>NUE</t>
        </is>
      </c>
      <c r="I369" s="18" t="inlineStr">
        <is>
          <t>Nuremberg Airport</t>
        </is>
      </c>
      <c r="J369" s="21" t="n">
        <v>4.9</v>
      </c>
      <c r="K369" s="18" t="inlineStr">
        <is>
          <t>NUE</t>
        </is>
      </c>
      <c r="L369" s="18" t="inlineStr">
        <is>
          <t>100k +  pop + airport</t>
        </is>
      </c>
      <c r="M369" s="22" t="n">
        <v>0.709</v>
      </c>
      <c r="N369" s="22" t="n">
        <v>0</v>
      </c>
      <c r="O369" s="18" t="n"/>
      <c r="P369" s="22">
        <f>IF(O369="",(About!$B$5*M369+About!$B$6*N369)/(About!$B$5+About!$B$6),About!$B$5*M369+About!$B$6*N369+About!$B$7*O369)</f>
        <v/>
      </c>
      <c r="Q369" s="23" t="n">
        <v>49.4542</v>
      </c>
      <c r="R369" s="23" t="n">
        <v>11.0775</v>
      </c>
    </row>
    <row r="370" ht="15" customHeight="1" s="12">
      <c r="A370" s="18" t="inlineStr">
        <is>
          <t>Kansas City</t>
        </is>
      </c>
      <c r="B370" s="18" t="inlineStr">
        <is>
          <t>United States</t>
        </is>
      </c>
      <c r="C370" s="19" t="n">
        <v>341784857</v>
      </c>
      <c r="D370" s="18" t="inlineStr">
        <is>
          <t>US</t>
        </is>
      </c>
      <c r="E370" s="18" t="inlineStr">
        <is>
          <t>MO</t>
        </is>
      </c>
      <c r="F370" s="20" t="n">
        <v>475378</v>
      </c>
      <c r="G370" s="18" t="n"/>
      <c r="H370" s="18" t="inlineStr">
        <is>
          <t>MCI</t>
        </is>
      </c>
      <c r="I370" s="18" t="inlineStr">
        <is>
          <t>Kansas City International Airport</t>
        </is>
      </c>
      <c r="J370" s="21" t="n">
        <v>25.3</v>
      </c>
      <c r="K370" s="18" t="inlineStr">
        <is>
          <t>MCI</t>
        </is>
      </c>
      <c r="L370" s="18" t="inlineStr">
        <is>
          <t>100k +  pop + airport</t>
        </is>
      </c>
      <c r="M370" s="22" t="n">
        <v>0.71</v>
      </c>
      <c r="N370" s="22" t="n">
        <v>0</v>
      </c>
      <c r="O370" s="18" t="n"/>
      <c r="P370" s="22">
        <f>IF(O370="",(About!$B$5*M370+About!$B$6*N370)/(About!$B$5+About!$B$6),About!$B$5*M370+About!$B$6*N370+About!$B$7*O370)</f>
        <v/>
      </c>
      <c r="Q370" s="23" t="n">
        <v>39.0997</v>
      </c>
      <c r="R370" s="23" t="n">
        <v>-94.57859999999999</v>
      </c>
    </row>
    <row r="371" ht="15" customHeight="1" s="12">
      <c r="A371" s="18" t="inlineStr">
        <is>
          <t>Kimhae</t>
        </is>
      </c>
      <c r="B371" s="18" t="inlineStr">
        <is>
          <t>South Korea</t>
        </is>
      </c>
      <c r="C371" s="19" t="n">
        <v>51111158</v>
      </c>
      <c r="D371" s="18" t="inlineStr">
        <is>
          <t>KR</t>
        </is>
      </c>
      <c r="E371" s="18" t="inlineStr">
        <is>
          <t>20</t>
        </is>
      </c>
      <c r="F371" s="20" t="n">
        <v>356242</v>
      </c>
      <c r="G371" s="18" t="n"/>
      <c r="H371" s="18" t="inlineStr">
        <is>
          <t>PUS</t>
        </is>
      </c>
      <c r="I371" s="18" t="inlineStr">
        <is>
          <t>Gimhae International Airport</t>
        </is>
      </c>
      <c r="J371" s="21" t="n">
        <v>8</v>
      </c>
      <c r="K371" s="18" t="inlineStr">
        <is>
          <t>PUS</t>
        </is>
      </c>
      <c r="L371" s="18" t="inlineStr">
        <is>
          <t>100k +  pop + airport</t>
        </is>
      </c>
      <c r="M371" s="22" t="n">
        <v>0.711</v>
      </c>
      <c r="N371" s="22" t="n">
        <v>0</v>
      </c>
      <c r="O371" s="18" t="n"/>
      <c r="P371" s="22">
        <f>IF(O371="",(About!$B$5*M371+About!$B$6*N371)/(About!$B$5+About!$B$6),About!$B$5*M371+About!$B$6*N371+About!$B$7*O371)</f>
        <v/>
      </c>
      <c r="Q371" s="23" t="n">
        <v>35.2342</v>
      </c>
      <c r="R371" s="23" t="n">
        <v>128.8811</v>
      </c>
    </row>
    <row r="372" ht="15" customHeight="1" s="12">
      <c r="A372" s="18" t="inlineStr">
        <is>
          <t>Fürth</t>
        </is>
      </c>
      <c r="B372" s="18" t="inlineStr">
        <is>
          <t>Germany</t>
        </is>
      </c>
      <c r="C372" s="19" t="n">
        <v>83497147</v>
      </c>
      <c r="D372" s="18" t="inlineStr">
        <is>
          <t>DE</t>
        </is>
      </c>
      <c r="E372" s="18" t="inlineStr">
        <is>
          <t>02</t>
        </is>
      </c>
      <c r="F372" s="20" t="n">
        <v>112025</v>
      </c>
      <c r="G372" s="18" t="n"/>
      <c r="H372" s="18" t="inlineStr">
        <is>
          <t>NUE</t>
        </is>
      </c>
      <c r="I372" s="18" t="inlineStr">
        <is>
          <t>Nuremberg Airport</t>
        </is>
      </c>
      <c r="J372" s="21" t="n">
        <v>6.9</v>
      </c>
      <c r="K372" s="18" t="inlineStr">
        <is>
          <t>NUE</t>
        </is>
      </c>
      <c r="L372" s="18" t="inlineStr">
        <is>
          <t>100k +  pop + airport</t>
        </is>
      </c>
      <c r="M372" s="22" t="n">
        <v>0.709</v>
      </c>
      <c r="N372" s="22" t="n">
        <v>0</v>
      </c>
      <c r="O372" s="18" t="n"/>
      <c r="P372" s="22">
        <f>IF(O372="",(About!$B$5*M372+About!$B$6*N372)/(About!$B$5+About!$B$6),About!$B$5*M372+About!$B$6*N372+About!$B$7*O372)</f>
        <v/>
      </c>
      <c r="Q372" s="23" t="n">
        <v>49.4759</v>
      </c>
      <c r="R372" s="23" t="n">
        <v>10.9886</v>
      </c>
    </row>
    <row r="373" ht="15" customHeight="1" s="12">
      <c r="A373" s="18" t="inlineStr">
        <is>
          <t>Erlangen</t>
        </is>
      </c>
      <c r="B373" s="18" t="inlineStr">
        <is>
          <t>Germany</t>
        </is>
      </c>
      <c r="C373" s="19" t="n">
        <v>83497147</v>
      </c>
      <c r="D373" s="18" t="inlineStr">
        <is>
          <t>DE</t>
        </is>
      </c>
      <c r="E373" s="18" t="inlineStr">
        <is>
          <t>02</t>
        </is>
      </c>
      <c r="F373" s="20" t="n">
        <v>102675</v>
      </c>
      <c r="G373" s="18" t="n"/>
      <c r="H373" s="18" t="inlineStr">
        <is>
          <t>NUE</t>
        </is>
      </c>
      <c r="I373" s="18" t="inlineStr">
        <is>
          <t>Nuremberg Airport</t>
        </is>
      </c>
      <c r="J373" s="21" t="n">
        <v>11.4</v>
      </c>
      <c r="K373" s="18" t="inlineStr">
        <is>
          <t>NUE</t>
        </is>
      </c>
      <c r="L373" s="18" t="inlineStr">
        <is>
          <t>100k +  pop</t>
        </is>
      </c>
      <c r="M373" s="22" t="n">
        <v>0.709</v>
      </c>
      <c r="N373" s="22" t="n">
        <v>0</v>
      </c>
      <c r="O373" s="18" t="n"/>
      <c r="P373" s="22">
        <f>IF(O373="",(About!$B$5*M373+About!$B$6*N373)/(About!$B$5+About!$B$6),About!$B$5*M373+About!$B$6*N373+About!$B$7*O373)</f>
        <v/>
      </c>
      <c r="Q373" s="23" t="n">
        <v>49.591</v>
      </c>
      <c r="R373" s="23" t="n">
        <v>11.0078</v>
      </c>
    </row>
    <row r="374" ht="15" customHeight="1" s="12">
      <c r="A374" s="18" t="inlineStr">
        <is>
          <t>Abidjan</t>
        </is>
      </c>
      <c r="B374" s="18" t="inlineStr">
        <is>
          <t>Côte d'Ivoire</t>
        </is>
      </c>
      <c r="C374" s="19" t="n">
        <v>31719275</v>
      </c>
      <c r="D374" s="18" t="inlineStr">
        <is>
          <t>CI</t>
        </is>
      </c>
      <c r="E374" s="18" t="inlineStr">
        <is>
          <t>93</t>
        </is>
      </c>
      <c r="F374" s="20" t="n">
        <v>3677115</v>
      </c>
      <c r="G374" s="18" t="n"/>
      <c r="H374" s="18" t="inlineStr">
        <is>
          <t>ABJ</t>
        </is>
      </c>
      <c r="I374" s="18" t="inlineStr">
        <is>
          <t>Félix-Houphouët-Boigny International Airport</t>
        </is>
      </c>
      <c r="J374" s="21" t="n">
        <v>13.3</v>
      </c>
      <c r="K374" s="18" t="inlineStr">
        <is>
          <t>ABJ</t>
        </is>
      </c>
      <c r="L374" s="18" t="inlineStr">
        <is>
          <t>100k +  pop + airport</t>
        </is>
      </c>
      <c r="M374" s="22" t="n">
        <v>0.709</v>
      </c>
      <c r="N374" s="22" t="n">
        <v>0</v>
      </c>
      <c r="O374" s="18" t="n"/>
      <c r="P374" s="22">
        <f>IF(O374="",(About!$B$5*M374+About!$B$6*N374)/(About!$B$5+About!$B$6),About!$B$5*M374+About!$B$6*N374+About!$B$7*O374)</f>
        <v/>
      </c>
      <c r="Q374" s="23" t="n">
        <v>5.3544</v>
      </c>
      <c r="R374" s="23" t="n">
        <v>-4.0017</v>
      </c>
    </row>
    <row r="375" ht="15" customHeight="1" s="12">
      <c r="A375" s="18" t="inlineStr">
        <is>
          <t>Daegu</t>
        </is>
      </c>
      <c r="B375" s="18" t="inlineStr">
        <is>
          <t>South Korea</t>
        </is>
      </c>
      <c r="C375" s="19" t="n">
        <v>51111158</v>
      </c>
      <c r="D375" s="18" t="inlineStr">
        <is>
          <t>KR</t>
        </is>
      </c>
      <c r="E375" s="18" t="inlineStr">
        <is>
          <t>15</t>
        </is>
      </c>
      <c r="F375" s="20" t="n">
        <v>2566540</v>
      </c>
      <c r="G375" s="18" t="n"/>
      <c r="H375" s="18" t="inlineStr">
        <is>
          <t>TAE</t>
        </is>
      </c>
      <c r="I375" s="18" t="inlineStr">
        <is>
          <t>Daegu International Airport</t>
        </is>
      </c>
      <c r="J375" s="21" t="n">
        <v>6.5</v>
      </c>
      <c r="K375" s="18" t="inlineStr">
        <is>
          <t>TAE</t>
        </is>
      </c>
      <c r="L375" s="18" t="inlineStr">
        <is>
          <t>100k +  pop + airport</t>
        </is>
      </c>
      <c r="M375" s="22" t="n">
        <v>0.707</v>
      </c>
      <c r="N375" s="22" t="n">
        <v>0</v>
      </c>
      <c r="O375" s="18" t="n"/>
      <c r="P375" s="22">
        <f>IF(O375="",(About!$B$5*M375+About!$B$6*N375)/(About!$B$5+About!$B$6),About!$B$5*M375+About!$B$6*N375+About!$B$7*O375)</f>
        <v/>
      </c>
      <c r="Q375" s="23" t="n">
        <v>35.8703</v>
      </c>
      <c r="R375" s="23" t="n">
        <v>128.5911</v>
      </c>
    </row>
    <row r="376" ht="15" customHeight="1" s="12">
      <c r="A376" s="18" t="inlineStr">
        <is>
          <t>Abobo</t>
        </is>
      </c>
      <c r="B376" s="18" t="inlineStr">
        <is>
          <t>Côte d'Ivoire</t>
        </is>
      </c>
      <c r="C376" s="19" t="n">
        <v>31719275</v>
      </c>
      <c r="D376" s="18" t="inlineStr">
        <is>
          <t>CI</t>
        </is>
      </c>
      <c r="E376" s="18" t="inlineStr">
        <is>
          <t>93</t>
        </is>
      </c>
      <c r="F376" s="20" t="n">
        <v>900000</v>
      </c>
      <c r="G376" s="18" t="n"/>
      <c r="H376" s="18" t="inlineStr">
        <is>
          <t>ABJ</t>
        </is>
      </c>
      <c r="I376" s="18" t="inlineStr">
        <is>
          <t>Félix-Houphouët-Boigny International Airport</t>
        </is>
      </c>
      <c r="J376" s="21" t="n">
        <v>19.9</v>
      </c>
      <c r="K376" s="18" t="inlineStr">
        <is>
          <t>ABJ</t>
        </is>
      </c>
      <c r="L376" s="18" t="inlineStr">
        <is>
          <t>100k +  pop</t>
        </is>
      </c>
      <c r="M376" s="22" t="n">
        <v>0.709</v>
      </c>
      <c r="N376" s="22" t="n">
        <v>0</v>
      </c>
      <c r="O376" s="18" t="n"/>
      <c r="P376" s="22">
        <f>IF(O376="",(About!$B$5*M376+About!$B$6*N376)/(About!$B$5+About!$B$6),About!$B$5*M376+About!$B$6*N376+About!$B$7*O376)</f>
        <v/>
      </c>
      <c r="Q376" s="23" t="n">
        <v>5.4161</v>
      </c>
      <c r="R376" s="23" t="n">
        <v>-4.0159</v>
      </c>
    </row>
    <row r="377" ht="15" customHeight="1" s="12">
      <c r="A377" s="18" t="inlineStr">
        <is>
          <t>Gyeongsan-si</t>
        </is>
      </c>
      <c r="B377" s="18" t="inlineStr">
        <is>
          <t>South Korea</t>
        </is>
      </c>
      <c r="C377" s="19" t="n">
        <v>51111158</v>
      </c>
      <c r="D377" s="18" t="inlineStr">
        <is>
          <t>KR</t>
        </is>
      </c>
      <c r="E377" s="18" t="inlineStr">
        <is>
          <t>14</t>
        </is>
      </c>
      <c r="F377" s="20" t="n">
        <v>129903</v>
      </c>
      <c r="G377" s="18" t="n"/>
      <c r="H377" s="18" t="inlineStr">
        <is>
          <t>TAE</t>
        </is>
      </c>
      <c r="I377" s="18" t="inlineStr">
        <is>
          <t>Daegu International Airport</t>
        </is>
      </c>
      <c r="J377" s="21" t="n">
        <v>10.7</v>
      </c>
      <c r="K377" s="18" t="inlineStr">
        <is>
          <t>TAE</t>
        </is>
      </c>
      <c r="L377" s="18" t="inlineStr">
        <is>
          <t>100k +  pop</t>
        </is>
      </c>
      <c r="M377" s="22" t="n">
        <v>0.707</v>
      </c>
      <c r="N377" s="22" t="n">
        <v>0</v>
      </c>
      <c r="O377" s="18" t="n"/>
      <c r="P377" s="22">
        <f>IF(O377="",(About!$B$5*M377+About!$B$6*N377)/(About!$B$5+About!$B$6),About!$B$5*M377+About!$B$6*N377+About!$B$7*O377)</f>
        <v/>
      </c>
      <c r="Q377" s="23" t="n">
        <v>35.8233</v>
      </c>
      <c r="R377" s="23" t="n">
        <v>128.7378</v>
      </c>
    </row>
    <row r="378" ht="15" customHeight="1" s="12">
      <c r="A378" s="18" t="inlineStr">
        <is>
          <t>Irkutsk</t>
        </is>
      </c>
      <c r="B378" s="18" t="inlineStr">
        <is>
          <t>Russia</t>
        </is>
      </c>
      <c r="C378" s="19" t="n">
        <v>146028325</v>
      </c>
      <c r="D378" s="18" t="inlineStr">
        <is>
          <t>RU</t>
        </is>
      </c>
      <c r="E378" s="18" t="inlineStr">
        <is>
          <t>20</t>
        </is>
      </c>
      <c r="F378" s="20" t="n">
        <v>586695</v>
      </c>
      <c r="G378" s="18" t="n"/>
      <c r="H378" s="18" t="inlineStr">
        <is>
          <t>IKT</t>
        </is>
      </c>
      <c r="I378" s="18" t="inlineStr">
        <is>
          <t>Irkutsk International Airport</t>
        </is>
      </c>
      <c r="J378" s="21" t="n">
        <v>7.6</v>
      </c>
      <c r="K378" s="18" t="inlineStr">
        <is>
          <t>IKT</t>
        </is>
      </c>
      <c r="L378" s="18" t="inlineStr">
        <is>
          <t>100k +  pop + airport</t>
        </is>
      </c>
      <c r="M378" s="22" t="n">
        <v>0.703</v>
      </c>
      <c r="N378" s="22" t="n">
        <v>0</v>
      </c>
      <c r="O378" s="18" t="n"/>
      <c r="P378" s="22">
        <f>IF(O378="",(About!$B$5*M378+About!$B$6*N378)/(About!$B$5+About!$B$6),About!$B$5*M378+About!$B$6*N378+About!$B$7*O378)</f>
        <v/>
      </c>
      <c r="Q378" s="23" t="n">
        <v>52.2978</v>
      </c>
      <c r="R378" s="23" t="n">
        <v>104.2964</v>
      </c>
    </row>
    <row r="379" ht="15" customHeight="1" s="12">
      <c r="A379" s="18" t="inlineStr">
        <is>
          <t>Sochi</t>
        </is>
      </c>
      <c r="B379" s="18" t="inlineStr">
        <is>
          <t>Russia</t>
        </is>
      </c>
      <c r="C379" s="19" t="n">
        <v>146028325</v>
      </c>
      <c r="D379" s="18" t="inlineStr">
        <is>
          <t>RU</t>
        </is>
      </c>
      <c r="E379" s="18" t="inlineStr">
        <is>
          <t>38</t>
        </is>
      </c>
      <c r="F379" s="20" t="n">
        <v>327608</v>
      </c>
      <c r="G379" s="18" t="n"/>
      <c r="H379" s="18" t="inlineStr">
        <is>
          <t>AER</t>
        </is>
      </c>
      <c r="I379" s="18" t="inlineStr">
        <is>
          <t>Sochi International Airport</t>
        </is>
      </c>
      <c r="J379" s="21" t="n">
        <v>24.9</v>
      </c>
      <c r="K379" s="18" t="inlineStr">
        <is>
          <t>AER</t>
        </is>
      </c>
      <c r="L379" s="18" t="inlineStr">
        <is>
          <t>100k +  pop + airport</t>
        </is>
      </c>
      <c r="M379" s="22" t="n">
        <v>0.704</v>
      </c>
      <c r="N379" s="22" t="n">
        <v>0</v>
      </c>
      <c r="O379" s="18" t="n"/>
      <c r="P379" s="22">
        <f>IF(O379="",(About!$B$5*M379+About!$B$6*N379)/(About!$B$5+About!$B$6),About!$B$5*M379+About!$B$6*N379+About!$B$7*O379)</f>
        <v/>
      </c>
      <c r="Q379" s="23" t="n">
        <v>43.5992</v>
      </c>
      <c r="R379" s="23" t="n">
        <v>39.7257</v>
      </c>
    </row>
    <row r="380" ht="15" customHeight="1" s="12">
      <c r="A380" s="18" t="inlineStr">
        <is>
          <t>Charleston</t>
        </is>
      </c>
      <c r="B380" s="18" t="inlineStr">
        <is>
          <t>United States</t>
        </is>
      </c>
      <c r="C380" s="19" t="n">
        <v>341784857</v>
      </c>
      <c r="D380" s="18" t="inlineStr">
        <is>
          <t>US</t>
        </is>
      </c>
      <c r="E380" s="18" t="inlineStr">
        <is>
          <t>SC</t>
        </is>
      </c>
      <c r="F380" s="20" t="n">
        <v>132609</v>
      </c>
      <c r="G380" s="18" t="n"/>
      <c r="H380" s="18" t="inlineStr">
        <is>
          <t>CHS</t>
        </is>
      </c>
      <c r="I380" s="18" t="inlineStr">
        <is>
          <t>Charleston International Airport</t>
        </is>
      </c>
      <c r="J380" s="21" t="n">
        <v>16.6</v>
      </c>
      <c r="K380" s="18" t="inlineStr">
        <is>
          <t>CHS</t>
        </is>
      </c>
      <c r="L380" s="18" t="inlineStr">
        <is>
          <t>100k +  pop + airport</t>
        </is>
      </c>
      <c r="M380" s="22" t="n">
        <v>0.704</v>
      </c>
      <c r="N380" s="22" t="n">
        <v>0</v>
      </c>
      <c r="O380" s="18" t="n"/>
      <c r="P380" s="22">
        <f>IF(O380="",(About!$B$5*M380+About!$B$6*N380)/(About!$B$5+About!$B$6),About!$B$5*M380+About!$B$6*N380+About!$B$7*O380)</f>
        <v/>
      </c>
      <c r="Q380" s="23" t="n">
        <v>32.7766</v>
      </c>
      <c r="R380" s="23" t="n">
        <v>-79.93089999999999</v>
      </c>
    </row>
    <row r="381" ht="15" customHeight="1" s="12">
      <c r="A381" s="18" t="inlineStr">
        <is>
          <t>Chelmsford</t>
        </is>
      </c>
      <c r="B381" s="18" t="inlineStr">
        <is>
          <t>United Kingdom</t>
        </is>
      </c>
      <c r="C381" s="19" t="n">
        <v>69487000</v>
      </c>
      <c r="D381" s="18" t="inlineStr">
        <is>
          <t>GB</t>
        </is>
      </c>
      <c r="E381" s="18" t="inlineStr">
        <is>
          <t>ENG</t>
        </is>
      </c>
      <c r="F381" s="20" t="n">
        <v>111511</v>
      </c>
      <c r="G381" s="18" t="n"/>
      <c r="H381" s="18" t="inlineStr">
        <is>
          <t>STN</t>
        </is>
      </c>
      <c r="I381" s="18" t="inlineStr">
        <is>
          <t>London Stansted Airport</t>
        </is>
      </c>
      <c r="J381" s="21" t="n">
        <v>23.1</v>
      </c>
      <c r="K381" s="18" t="inlineStr">
        <is>
          <t>SEN+STN</t>
        </is>
      </c>
      <c r="L381" s="18" t="inlineStr">
        <is>
          <t>100k +  pop</t>
        </is>
      </c>
      <c r="M381" s="22" t="n">
        <v>0.704</v>
      </c>
      <c r="N381" s="22" t="n">
        <v>0</v>
      </c>
      <c r="O381" s="18" t="n"/>
      <c r="P381" s="22">
        <f>IF(O381="",(About!$B$5*M381+About!$B$6*N381)/(About!$B$5+About!$B$6),About!$B$5*M381+About!$B$6*N381+About!$B$7*O381)</f>
        <v/>
      </c>
      <c r="Q381" s="23" t="n">
        <v>51.7358</v>
      </c>
      <c r="R381" s="23" t="n">
        <v>0.4696</v>
      </c>
    </row>
    <row r="382" ht="15" customHeight="1" s="12">
      <c r="A382" s="18" t="inlineStr">
        <is>
          <t>Nouméa</t>
        </is>
      </c>
      <c r="B382" s="18" t="inlineStr">
        <is>
          <t>New Caledonia</t>
        </is>
      </c>
      <c r="C382" s="19" t="n">
        <v>264596</v>
      </c>
      <c r="D382" s="18" t="inlineStr">
        <is>
          <t>NC</t>
        </is>
      </c>
      <c r="E382" s="18" t="inlineStr">
        <is>
          <t>02</t>
        </is>
      </c>
      <c r="F382" s="20" t="n">
        <v>93060</v>
      </c>
      <c r="G382" s="18" t="inlineStr">
        <is>
          <t>Yes</t>
        </is>
      </c>
      <c r="H382" s="18" t="inlineStr">
        <is>
          <t>GEA</t>
        </is>
      </c>
      <c r="I382" s="18" t="inlineStr">
        <is>
          <t>Nouméa Magenta Airport</t>
        </is>
      </c>
      <c r="J382" s="21" t="n">
        <v>3.1</v>
      </c>
      <c r="K382" s="18" t="inlineStr">
        <is>
          <t>GEA</t>
        </is>
      </c>
      <c r="L382" s="18" t="inlineStr">
        <is>
          <t>capital + airport</t>
        </is>
      </c>
      <c r="M382" s="22" t="n">
        <v>0.704</v>
      </c>
      <c r="N382" s="22" t="n">
        <v>0</v>
      </c>
      <c r="O382" s="18" t="n"/>
      <c r="P382" s="22">
        <f>IF(O382="",(About!$B$5*M382+About!$B$6*N382)/(About!$B$5+About!$B$6),About!$B$5*M382+About!$B$6*N382+About!$B$7*O382)</f>
        <v/>
      </c>
      <c r="Q382" s="23" t="n">
        <v>-22.2741</v>
      </c>
      <c r="R382" s="23" t="n">
        <v>166.4488</v>
      </c>
    </row>
    <row r="383" ht="15" customHeight="1" s="12">
      <c r="A383" s="18" t="inlineStr">
        <is>
          <t>Lae</t>
        </is>
      </c>
      <c r="B383" s="18" t="inlineStr">
        <is>
          <t>Papua New Guinea</t>
        </is>
      </c>
      <c r="C383" s="19" t="n">
        <v>10185363</v>
      </c>
      <c r="D383" s="18" t="inlineStr">
        <is>
          <t>PG</t>
        </is>
      </c>
      <c r="E383" s="18" t="inlineStr">
        <is>
          <t>14</t>
        </is>
      </c>
      <c r="F383" s="20" t="n">
        <v>76255</v>
      </c>
      <c r="G383" s="18" t="n"/>
      <c r="H383" s="18" t="inlineStr">
        <is>
          <t>LAE</t>
        </is>
      </c>
      <c r="I383" s="18" t="inlineStr">
        <is>
          <t>Nadzab Tomodachi International Airport</t>
        </is>
      </c>
      <c r="J383" s="21" t="n">
        <v>34.4</v>
      </c>
      <c r="K383" s="18" t="inlineStr">
        <is>
          <t>LAE</t>
        </is>
      </c>
      <c r="L383" s="18" t="inlineStr">
        <is>
          <t>airport</t>
        </is>
      </c>
      <c r="M383" s="22" t="n">
        <v>0.704</v>
      </c>
      <c r="N383" s="22" t="n">
        <v>0</v>
      </c>
      <c r="O383" s="18" t="n"/>
      <c r="P383" s="22">
        <f>IF(O383="",(About!$B$5*M383+About!$B$6*N383)/(About!$B$5+About!$B$6),About!$B$5*M383+About!$B$6*N383+About!$B$7*O383)</f>
        <v/>
      </c>
      <c r="Q383" s="23" t="n">
        <v>-6.7233</v>
      </c>
      <c r="R383" s="23" t="n">
        <v>146.9961</v>
      </c>
    </row>
    <row r="384" ht="15" customHeight="1" s="12">
      <c r="A384" s="18" t="inlineStr">
        <is>
          <t>Mont-Dore</t>
        </is>
      </c>
      <c r="B384" s="18" t="inlineStr">
        <is>
          <t>New Caledonia</t>
        </is>
      </c>
      <c r="C384" s="19" t="n">
        <v>264596</v>
      </c>
      <c r="D384" s="18" t="inlineStr">
        <is>
          <t>NC</t>
        </is>
      </c>
      <c r="E384" s="18" t="inlineStr">
        <is>
          <t>02</t>
        </is>
      </c>
      <c r="F384" s="20" t="n">
        <v>24680</v>
      </c>
      <c r="G384" s="18" t="n"/>
      <c r="H384" s="18" t="inlineStr">
        <is>
          <t>GEA</t>
        </is>
      </c>
      <c r="I384" s="18" t="inlineStr">
        <is>
          <t>Nouméa Magenta Airport</t>
        </is>
      </c>
      <c r="J384" s="21" t="n">
        <v>9.6</v>
      </c>
      <c r="K384" s="18" t="inlineStr">
        <is>
          <t>GEA</t>
        </is>
      </c>
      <c r="L384" s="18" t="inlineStr">
        <is>
          <t>airport</t>
        </is>
      </c>
      <c r="M384" s="22" t="n">
        <v>0.704</v>
      </c>
      <c r="N384" s="22" t="n">
        <v>0</v>
      </c>
      <c r="O384" s="18" t="n"/>
      <c r="P384" s="22">
        <f>IF(O384="",(About!$B$5*M384+About!$B$6*N384)/(About!$B$5+About!$B$6),About!$B$5*M384+About!$B$6*N384+About!$B$7*O384)</f>
        <v/>
      </c>
      <c r="Q384" s="23" t="n">
        <v>-22.2626</v>
      </c>
      <c r="R384" s="23" t="n">
        <v>166.5662</v>
      </c>
    </row>
    <row r="385" ht="15" customHeight="1" s="12">
      <c r="A385" s="18" t="inlineStr">
        <is>
          <t>Charlotte Amalie</t>
        </is>
      </c>
      <c r="B385" s="18" t="inlineStr">
        <is>
          <t>Virgin Islands, U.S.</t>
        </is>
      </c>
      <c r="C385" s="19" t="n">
        <v>87146</v>
      </c>
      <c r="D385" s="18" t="inlineStr">
        <is>
          <t>VI</t>
        </is>
      </c>
      <c r="E385" s="18" t="inlineStr">
        <is>
          <t>030</t>
        </is>
      </c>
      <c r="F385" s="20" t="n">
        <v>20000</v>
      </c>
      <c r="G385" s="18" t="inlineStr">
        <is>
          <t>Yes</t>
        </is>
      </c>
      <c r="H385" s="18" t="inlineStr">
        <is>
          <t>STT</t>
        </is>
      </c>
      <c r="I385" s="18" t="inlineStr">
        <is>
          <t>Cyril E. King Airport</t>
        </is>
      </c>
      <c r="J385" s="21" t="n">
        <v>4.9</v>
      </c>
      <c r="K385" s="18" t="inlineStr">
        <is>
          <t>SPB+STT</t>
        </is>
      </c>
      <c r="L385" s="18" t="inlineStr">
        <is>
          <t>capital + airport</t>
        </is>
      </c>
      <c r="M385" s="22" t="n">
        <v>0.703</v>
      </c>
      <c r="N385" s="22" t="n">
        <v>0</v>
      </c>
      <c r="O385" s="18" t="n"/>
      <c r="P385" s="22">
        <f>IF(O385="",(About!$B$5*M385+About!$B$6*N385)/(About!$B$5+About!$B$6),About!$B$5*M385+About!$B$6*N385+About!$B$7*O385)</f>
        <v/>
      </c>
      <c r="Q385" s="23" t="n">
        <v>18.3419</v>
      </c>
      <c r="R385" s="23" t="n">
        <v>-64.9307</v>
      </c>
    </row>
    <row r="386" ht="15" customHeight="1" s="12">
      <c r="A386" s="18" t="inlineStr">
        <is>
          <t>Naples</t>
        </is>
      </c>
      <c r="B386" s="18" t="inlineStr">
        <is>
          <t>Italy</t>
        </is>
      </c>
      <c r="C386" s="19" t="n">
        <v>58932330</v>
      </c>
      <c r="D386" s="18" t="inlineStr">
        <is>
          <t>IT</t>
        </is>
      </c>
      <c r="E386" s="18" t="inlineStr">
        <is>
          <t>04</t>
        </is>
      </c>
      <c r="F386" s="20" t="n">
        <v>2118002</v>
      </c>
      <c r="G386" s="18" t="n"/>
      <c r="H386" s="18" t="inlineStr">
        <is>
          <t>NAP</t>
        </is>
      </c>
      <c r="I386" s="18" t="inlineStr">
        <is>
          <t>Naples International Airport</t>
        </is>
      </c>
      <c r="J386" s="21" t="n">
        <v>4.2</v>
      </c>
      <c r="K386" s="18" t="inlineStr">
        <is>
          <t>NAP</t>
        </is>
      </c>
      <c r="L386" s="18" t="inlineStr">
        <is>
          <t>100k +  pop + airport</t>
        </is>
      </c>
      <c r="M386" s="22" t="n">
        <v>0.701</v>
      </c>
      <c r="N386" s="22" t="n">
        <v>0</v>
      </c>
      <c r="O386" s="18" t="n"/>
      <c r="P386" s="22">
        <f>IF(O386="",(About!$B$5*M386+About!$B$6*N386)/(About!$B$5+About!$B$6),About!$B$5*M386+About!$B$6*N386+About!$B$7*O386)</f>
        <v/>
      </c>
      <c r="Q386" s="23" t="n">
        <v>40.8522</v>
      </c>
      <c r="R386" s="23" t="n">
        <v>14.2681</v>
      </c>
    </row>
    <row r="387" ht="15" customHeight="1" s="12">
      <c r="A387" s="18" t="inlineStr">
        <is>
          <t>Haikou</t>
        </is>
      </c>
      <c r="B387" s="18" t="inlineStr">
        <is>
          <t>China</t>
        </is>
      </c>
      <c r="C387" s="19" t="n">
        <v>1404890000</v>
      </c>
      <c r="D387" s="18" t="inlineStr">
        <is>
          <t>CN</t>
        </is>
      </c>
      <c r="E387" s="18" t="inlineStr">
        <is>
          <t>31</t>
        </is>
      </c>
      <c r="F387" s="20" t="n">
        <v>615835</v>
      </c>
      <c r="G387" s="18" t="n"/>
      <c r="H387" s="18" t="inlineStr">
        <is>
          <t>HAK</t>
        </is>
      </c>
      <c r="I387" s="18" t="inlineStr">
        <is>
          <t>Haikou Meilan International Airport</t>
        </is>
      </c>
      <c r="J387" s="21" t="n">
        <v>17.4</v>
      </c>
      <c r="K387" s="18" t="inlineStr">
        <is>
          <t>HAK</t>
        </is>
      </c>
      <c r="L387" s="18" t="inlineStr">
        <is>
          <t>100k +  pop</t>
        </is>
      </c>
      <c r="M387" s="22" t="n">
        <v>0.703</v>
      </c>
      <c r="N387" s="22" t="n">
        <v>0</v>
      </c>
      <c r="O387" s="18" t="n"/>
      <c r="P387" s="22">
        <f>IF(O387="",(About!$B$5*M387+About!$B$6*N387)/(About!$B$5+About!$B$6),About!$B$5*M387+About!$B$6*N387+About!$B$7*O387)</f>
        <v/>
      </c>
      <c r="Q387" s="23" t="n">
        <v>20.0458</v>
      </c>
      <c r="R387" s="23" t="n">
        <v>110.3417</v>
      </c>
    </row>
    <row r="388" ht="15" customHeight="1" s="12">
      <c r="A388" s="18" t="inlineStr">
        <is>
          <t>Halifax</t>
        </is>
      </c>
      <c r="B388" s="18" t="inlineStr">
        <is>
          <t>Canada</t>
        </is>
      </c>
      <c r="C388" s="19" t="n">
        <v>41472081</v>
      </c>
      <c r="D388" s="18" t="inlineStr">
        <is>
          <t>CA</t>
        </is>
      </c>
      <c r="E388" s="18" t="inlineStr">
        <is>
          <t>07</t>
        </is>
      </c>
      <c r="F388" s="20" t="n">
        <v>359111</v>
      </c>
      <c r="G388" s="18" t="n"/>
      <c r="H388" s="18" t="inlineStr">
        <is>
          <t>YHZ</t>
        </is>
      </c>
      <c r="I388" s="18" t="inlineStr">
        <is>
          <t>Halifax / Stanfield International Airport</t>
        </is>
      </c>
      <c r="J388" s="21" t="n">
        <v>26.6</v>
      </c>
      <c r="K388" s="18" t="inlineStr">
        <is>
          <t>YHZ</t>
        </is>
      </c>
      <c r="L388" s="18" t="inlineStr">
        <is>
          <t>100k +  pop + airport</t>
        </is>
      </c>
      <c r="M388" s="22" t="n">
        <v>0.701</v>
      </c>
      <c r="N388" s="22" t="n">
        <v>0</v>
      </c>
      <c r="O388" s="18" t="n"/>
      <c r="P388" s="22">
        <f>IF(O388="",(About!$B$5*M388+About!$B$6*N388)/(About!$B$5+About!$B$6),About!$B$5*M388+About!$B$6*N388+About!$B$7*O388)</f>
        <v/>
      </c>
      <c r="Q388" s="23" t="n">
        <v>44.6464</v>
      </c>
      <c r="R388" s="23" t="n">
        <v>-63.5729</v>
      </c>
    </row>
    <row r="389" ht="15" customHeight="1" s="12">
      <c r="A389" s="18" t="inlineStr">
        <is>
          <t>San José</t>
        </is>
      </c>
      <c r="B389" s="18" t="inlineStr">
        <is>
          <t>Costa Rica</t>
        </is>
      </c>
      <c r="C389" s="19" t="n">
        <v>5191824</v>
      </c>
      <c r="D389" s="18" t="inlineStr">
        <is>
          <t>CR</t>
        </is>
      </c>
      <c r="E389" s="18" t="inlineStr">
        <is>
          <t>08</t>
        </is>
      </c>
      <c r="F389" s="20" t="n">
        <v>335007</v>
      </c>
      <c r="G389" s="18" t="inlineStr">
        <is>
          <t>Yes</t>
        </is>
      </c>
      <c r="H389" s="18" t="inlineStr">
        <is>
          <t>SJO</t>
        </is>
      </c>
      <c r="I389" s="18" t="inlineStr">
        <is>
          <t>Juan Santamaría International Airport</t>
        </is>
      </c>
      <c r="J389" s="21" t="n">
        <v>15.3</v>
      </c>
      <c r="K389" s="18" t="inlineStr">
        <is>
          <t>SJO+SYQ</t>
        </is>
      </c>
      <c r="L389" s="18" t="inlineStr">
        <is>
          <t>100k +  pop + capital + airport</t>
        </is>
      </c>
      <c r="M389" s="22" t="n">
        <v>0.703</v>
      </c>
      <c r="N389" s="22" t="n">
        <v>0</v>
      </c>
      <c r="O389" s="18" t="n"/>
      <c r="P389" s="22">
        <f>IF(O389="",(About!$B$5*M389+About!$B$6*N389)/(About!$B$5+About!$B$6),About!$B$5*M389+About!$B$6*N389+About!$B$7*O389)</f>
        <v/>
      </c>
      <c r="Q389" s="23" t="n">
        <v>9.933299999999999</v>
      </c>
      <c r="R389" s="23" t="n">
        <v>-84.08329999999999</v>
      </c>
    </row>
    <row r="390" ht="15" customHeight="1" s="12">
      <c r="A390" s="18" t="inlineStr">
        <is>
          <t>Dartmouth</t>
        </is>
      </c>
      <c r="B390" s="18" t="inlineStr">
        <is>
          <t>Canada</t>
        </is>
      </c>
      <c r="C390" s="19" t="n">
        <v>41472081</v>
      </c>
      <c r="D390" s="18" t="inlineStr">
        <is>
          <t>CA</t>
        </is>
      </c>
      <c r="E390" s="18" t="inlineStr">
        <is>
          <t>07</t>
        </is>
      </c>
      <c r="F390" s="20" t="n">
        <v>101343</v>
      </c>
      <c r="G390" s="18" t="n"/>
      <c r="H390" s="18" t="inlineStr">
        <is>
          <t>YHZ</t>
        </is>
      </c>
      <c r="I390" s="18" t="inlineStr">
        <is>
          <t>Halifax / Stanfield International Airport</t>
        </is>
      </c>
      <c r="J390" s="21" t="n">
        <v>23.9</v>
      </c>
      <c r="K390" s="18" t="inlineStr">
        <is>
          <t>YHZ</t>
        </is>
      </c>
      <c r="L390" s="18" t="inlineStr">
        <is>
          <t>100k +  pop</t>
        </is>
      </c>
      <c r="M390" s="22" t="n">
        <v>0.701</v>
      </c>
      <c r="N390" s="22" t="n">
        <v>0</v>
      </c>
      <c r="O390" s="18" t="n"/>
      <c r="P390" s="22">
        <f>IF(O390="",(About!$B$5*M390+About!$B$6*N390)/(About!$B$5+About!$B$6),About!$B$5*M390+About!$B$6*N390+About!$B$7*O390)</f>
        <v/>
      </c>
      <c r="Q390" s="23" t="n">
        <v>44.6713</v>
      </c>
      <c r="R390" s="23" t="n">
        <v>-63.5772</v>
      </c>
    </row>
    <row r="391" ht="15" customHeight="1" s="12">
      <c r="A391" s="18" t="inlineStr">
        <is>
          <t>San Francisco</t>
        </is>
      </c>
      <c r="B391" s="18" t="inlineStr">
        <is>
          <t>Costa Rica</t>
        </is>
      </c>
      <c r="C391" s="19" t="n">
        <v>5191824</v>
      </c>
      <c r="D391" s="18" t="inlineStr">
        <is>
          <t>CR</t>
        </is>
      </c>
      <c r="E391" s="18" t="inlineStr">
        <is>
          <t>04</t>
        </is>
      </c>
      <c r="F391" s="20" t="n">
        <v>55923</v>
      </c>
      <c r="G391" s="18" t="n"/>
      <c r="H391" s="18" t="inlineStr">
        <is>
          <t>SJO</t>
        </is>
      </c>
      <c r="I391" s="18" t="inlineStr">
        <is>
          <t>Juan Santamaría International Airport</t>
        </is>
      </c>
      <c r="J391" s="21" t="n">
        <v>8.699999999999999</v>
      </c>
      <c r="K391" s="18" t="inlineStr">
        <is>
          <t>SJO+SYQ</t>
        </is>
      </c>
      <c r="L391" s="18" t="inlineStr">
        <is>
          <t>airport</t>
        </is>
      </c>
      <c r="M391" s="22" t="n">
        <v>0.703</v>
      </c>
      <c r="N391" s="22" t="n">
        <v>0</v>
      </c>
      <c r="O391" s="18" t="n"/>
      <c r="P391" s="22">
        <f>IF(O391="",(About!$B$5*M391+About!$B$6*N391)/(About!$B$5+About!$B$6),About!$B$5*M391+About!$B$6*N391+About!$B$7*O391)</f>
        <v/>
      </c>
      <c r="Q391" s="23" t="n">
        <v>9.993</v>
      </c>
      <c r="R391" s="23" t="n">
        <v>-84.1293</v>
      </c>
    </row>
    <row r="392" ht="15" customHeight="1" s="12">
      <c r="A392" s="18" t="inlineStr">
        <is>
          <t>Kabul</t>
        </is>
      </c>
      <c r="B392" s="18" t="inlineStr">
        <is>
          <t>Afghanistan</t>
        </is>
      </c>
      <c r="C392" s="19" t="n">
        <v>43844000</v>
      </c>
      <c r="D392" s="18" t="inlineStr">
        <is>
          <t>AF</t>
        </is>
      </c>
      <c r="E392" s="18" t="inlineStr">
        <is>
          <t>13</t>
        </is>
      </c>
      <c r="F392" s="20" t="n">
        <v>3043532</v>
      </c>
      <c r="G392" s="18" t="inlineStr">
        <is>
          <t>Yes</t>
        </is>
      </c>
      <c r="H392" s="18" t="inlineStr">
        <is>
          <t>KBL</t>
        </is>
      </c>
      <c r="I392" s="18" t="inlineStr">
        <is>
          <t>Kabul International Airport</t>
        </is>
      </c>
      <c r="J392" s="21" t="n">
        <v>5.6</v>
      </c>
      <c r="K392" s="18" t="inlineStr">
        <is>
          <t>KBL</t>
        </is>
      </c>
      <c r="L392" s="18" t="inlineStr">
        <is>
          <t>100k +  pop + capital + airport</t>
        </is>
      </c>
      <c r="M392" s="22" t="n">
        <v>0.699</v>
      </c>
      <c r="N392" s="22" t="n">
        <v>0</v>
      </c>
      <c r="O392" s="18" t="n"/>
      <c r="P392" s="22">
        <f>IF(O392="",(About!$B$5*M392+About!$B$6*N392)/(About!$B$5+About!$B$6),About!$B$5*M392+About!$B$6*N392+About!$B$7*O392)</f>
        <v/>
      </c>
      <c r="Q392" s="23" t="n">
        <v>34.5281</v>
      </c>
      <c r="R392" s="23" t="n">
        <v>69.17230000000001</v>
      </c>
    </row>
    <row r="393" ht="15" customHeight="1" s="12">
      <c r="A393" s="18" t="inlineStr">
        <is>
          <t>Accra</t>
        </is>
      </c>
      <c r="B393" s="18" t="inlineStr">
        <is>
          <t>Ghana</t>
        </is>
      </c>
      <c r="C393" s="19" t="n">
        <v>33742380</v>
      </c>
      <c r="D393" s="18" t="inlineStr">
        <is>
          <t>GH</t>
        </is>
      </c>
      <c r="E393" s="18" t="inlineStr">
        <is>
          <t>01</t>
        </is>
      </c>
      <c r="F393" s="20" t="n">
        <v>1963264</v>
      </c>
      <c r="G393" s="18" t="inlineStr">
        <is>
          <t>Yes</t>
        </is>
      </c>
      <c r="H393" s="18" t="inlineStr">
        <is>
          <t>ACC</t>
        </is>
      </c>
      <c r="I393" s="18" t="inlineStr">
        <is>
          <t>Kotoka International Airport</t>
        </is>
      </c>
      <c r="J393" s="21" t="n">
        <v>6.4</v>
      </c>
      <c r="K393" s="18" t="inlineStr">
        <is>
          <t>ACC</t>
        </is>
      </c>
      <c r="L393" s="18" t="inlineStr">
        <is>
          <t>100k +  pop + capital + airport</t>
        </is>
      </c>
      <c r="M393" s="22" t="n">
        <v>0.699</v>
      </c>
      <c r="N393" s="22" t="n">
        <v>0</v>
      </c>
      <c r="O393" s="18" t="n"/>
      <c r="P393" s="22">
        <f>IF(O393="",(About!$B$5*M393+About!$B$6*N393)/(About!$B$5+About!$B$6),About!$B$5*M393+About!$B$6*N393+About!$B$7*O393)</f>
        <v/>
      </c>
      <c r="Q393" s="23" t="n">
        <v>5.556</v>
      </c>
      <c r="R393" s="23" t="n">
        <v>-0.1969</v>
      </c>
    </row>
    <row r="394" ht="15" customHeight="1" s="12">
      <c r="A394" s="18" t="inlineStr">
        <is>
          <t>La Paz</t>
        </is>
      </c>
      <c r="B394" s="18" t="inlineStr">
        <is>
          <t>Bolivia</t>
        </is>
      </c>
      <c r="C394" s="19" t="n">
        <v>11365333</v>
      </c>
      <c r="D394" s="18" t="inlineStr">
        <is>
          <t>BO</t>
        </is>
      </c>
      <c r="E394" s="18" t="inlineStr">
        <is>
          <t>04</t>
        </is>
      </c>
      <c r="F394" s="20" t="n">
        <v>812799</v>
      </c>
      <c r="G394" s="18" t="inlineStr">
        <is>
          <t>Yes</t>
        </is>
      </c>
      <c r="H394" s="18" t="inlineStr">
        <is>
          <t>LPB</t>
        </is>
      </c>
      <c r="I394" s="18" t="inlineStr">
        <is>
          <t>El Alto International Airport</t>
        </is>
      </c>
      <c r="J394" s="21" t="n">
        <v>4.4</v>
      </c>
      <c r="K394" s="18" t="inlineStr">
        <is>
          <t>LPB</t>
        </is>
      </c>
      <c r="L394" s="18" t="inlineStr">
        <is>
          <t>100k +  pop + capital + airport</t>
        </is>
      </c>
      <c r="M394" s="22" t="n">
        <v>0.7</v>
      </c>
      <c r="N394" s="22" t="n">
        <v>0</v>
      </c>
      <c r="O394" s="18" t="n"/>
      <c r="P394" s="22">
        <f>IF(O394="",(About!$B$5*M394+About!$B$6*N394)/(About!$B$5+About!$B$6),About!$B$5*M394+About!$B$6*N394+About!$B$7*O394)</f>
        <v/>
      </c>
      <c r="Q394" s="23" t="n">
        <v>-16.5</v>
      </c>
      <c r="R394" s="23" t="n">
        <v>-68.15000000000001</v>
      </c>
    </row>
    <row r="395" ht="15" customHeight="1" s="12">
      <c r="A395" s="18" t="inlineStr">
        <is>
          <t>Zanzibar</t>
        </is>
      </c>
      <c r="B395" s="18" t="inlineStr">
        <is>
          <t>Tanzania</t>
        </is>
      </c>
      <c r="C395" s="19" t="n">
        <v>68153004</v>
      </c>
      <c r="D395" s="18" t="inlineStr">
        <is>
          <t>TZ</t>
        </is>
      </c>
      <c r="E395" s="18" t="inlineStr">
        <is>
          <t>25</t>
        </is>
      </c>
      <c r="F395" s="20" t="n">
        <v>403658</v>
      </c>
      <c r="G395" s="18" t="n"/>
      <c r="H395" s="18" t="inlineStr">
        <is>
          <t>ZNZ</t>
        </is>
      </c>
      <c r="I395" s="18" t="inlineStr">
        <is>
          <t>Abeid Amani Karume International Airport</t>
        </is>
      </c>
      <c r="J395" s="21" t="n">
        <v>7.1</v>
      </c>
      <c r="K395" s="18" t="inlineStr">
        <is>
          <t>ZNZ</t>
        </is>
      </c>
      <c r="L395" s="18" t="inlineStr">
        <is>
          <t>100k +  pop + airport</t>
        </is>
      </c>
      <c r="M395" s="22" t="n">
        <v>0.7</v>
      </c>
      <c r="N395" s="22" t="n">
        <v>0</v>
      </c>
      <c r="O395" s="18" t="n"/>
      <c r="P395" s="22">
        <f>IF(O395="",(About!$B$5*M395+About!$B$6*N395)/(About!$B$5+About!$B$6),About!$B$5*M395+About!$B$6*N395+About!$B$7*O395)</f>
        <v/>
      </c>
      <c r="Q395" s="23" t="n">
        <v>-6.1639</v>
      </c>
      <c r="R395" s="23" t="n">
        <v>39.1979</v>
      </c>
    </row>
    <row r="396" ht="15" customHeight="1" s="12">
      <c r="A396" s="18" t="inlineStr">
        <is>
          <t>Belfast</t>
        </is>
      </c>
      <c r="B396" s="18" t="inlineStr">
        <is>
          <t>United Kingdom</t>
        </is>
      </c>
      <c r="C396" s="19" t="n">
        <v>69487000</v>
      </c>
      <c r="D396" s="18" t="inlineStr">
        <is>
          <t>GB</t>
        </is>
      </c>
      <c r="E396" s="18" t="inlineStr">
        <is>
          <t>NIR</t>
        </is>
      </c>
      <c r="F396" s="20" t="n">
        <v>274770</v>
      </c>
      <c r="G396" s="18" t="n"/>
      <c r="H396" s="18" t="inlineStr">
        <is>
          <t>BFS</t>
        </is>
      </c>
      <c r="I396" s="18" t="inlineStr">
        <is>
          <t>Belfast International Airport</t>
        </is>
      </c>
      <c r="J396" s="21" t="n">
        <v>19.9</v>
      </c>
      <c r="K396" s="18" t="inlineStr">
        <is>
          <t>BFS+BHD</t>
        </is>
      </c>
      <c r="L396" s="18" t="inlineStr">
        <is>
          <t>100k +  pop + airport</t>
        </is>
      </c>
      <c r="M396" s="22" t="n">
        <v>0.701</v>
      </c>
      <c r="N396" s="22" t="n">
        <v>0</v>
      </c>
      <c r="O396" s="18" t="n"/>
      <c r="P396" s="22">
        <f>IF(O396="",(About!$B$5*M396+About!$B$6*N396)/(About!$B$5+About!$B$6),About!$B$5*M396+About!$B$6*N396+About!$B$7*O396)</f>
        <v/>
      </c>
      <c r="Q396" s="23" t="n">
        <v>54.5968</v>
      </c>
      <c r="R396" s="23" t="n">
        <v>-5.9254</v>
      </c>
    </row>
    <row r="397" ht="15" customHeight="1" s="12">
      <c r="A397" s="18" t="inlineStr">
        <is>
          <t>Guatemala City</t>
        </is>
      </c>
      <c r="B397" s="18" t="inlineStr">
        <is>
          <t>Guatemala</t>
        </is>
      </c>
      <c r="C397" s="19" t="n">
        <v>18312373</v>
      </c>
      <c r="D397" s="18" t="inlineStr">
        <is>
          <t>GT</t>
        </is>
      </c>
      <c r="E397" s="18" t="inlineStr">
        <is>
          <t>07</t>
        </is>
      </c>
      <c r="F397" s="20" t="n">
        <v>994938</v>
      </c>
      <c r="G397" s="18" t="inlineStr">
        <is>
          <t>Yes</t>
        </is>
      </c>
      <c r="H397" s="18" t="inlineStr">
        <is>
          <t>GUA</t>
        </is>
      </c>
      <c r="I397" s="18" t="inlineStr">
        <is>
          <t>La Aurora International Airport</t>
        </is>
      </c>
      <c r="J397" s="21" t="n">
        <v>6.6</v>
      </c>
      <c r="K397" s="18" t="inlineStr">
        <is>
          <t>GUA</t>
        </is>
      </c>
      <c r="L397" s="18" t="inlineStr">
        <is>
          <t>100k +  pop + capital + airport</t>
        </is>
      </c>
      <c r="M397" s="22" t="n">
        <v>0.698</v>
      </c>
      <c r="N397" s="22" t="n">
        <v>0</v>
      </c>
      <c r="O397" s="18" t="n"/>
      <c r="P397" s="22">
        <f>IF(O397="",(About!$B$5*M397+About!$B$6*N397)/(About!$B$5+About!$B$6),About!$B$5*M397+About!$B$6*N397+About!$B$7*O397)</f>
        <v/>
      </c>
      <c r="Q397" s="23" t="n">
        <v>14.6407</v>
      </c>
      <c r="R397" s="23" t="n">
        <v>-90.5133</v>
      </c>
    </row>
    <row r="398" ht="15" customHeight="1" s="12">
      <c r="A398" s="18" t="inlineStr">
        <is>
          <t>Cochabamba</t>
        </is>
      </c>
      <c r="B398" s="18" t="inlineStr">
        <is>
          <t>Bolivia</t>
        </is>
      </c>
      <c r="C398" s="19" t="n">
        <v>11365333</v>
      </c>
      <c r="D398" s="18" t="inlineStr">
        <is>
          <t>BO</t>
        </is>
      </c>
      <c r="E398" s="18" t="inlineStr">
        <is>
          <t>02</t>
        </is>
      </c>
      <c r="F398" s="20" t="n">
        <v>900414</v>
      </c>
      <c r="G398" s="18" t="n"/>
      <c r="H398" s="18" t="inlineStr">
        <is>
          <t>CBB</t>
        </is>
      </c>
      <c r="I398" s="18" t="inlineStr">
        <is>
          <t>Jorge Wilsterman International Airport</t>
        </is>
      </c>
      <c r="J398" s="21" t="n">
        <v>4.1</v>
      </c>
      <c r="K398" s="18" t="inlineStr">
        <is>
          <t>CBB</t>
        </is>
      </c>
      <c r="L398" s="18" t="inlineStr">
        <is>
          <t>100k +  pop + airport</t>
        </is>
      </c>
      <c r="M398" s="22" t="n">
        <v>0.697</v>
      </c>
      <c r="N398" s="22" t="n">
        <v>0</v>
      </c>
      <c r="O398" s="18" t="n"/>
      <c r="P398" s="22">
        <f>IF(O398="",(About!$B$5*M398+About!$B$6*N398)/(About!$B$5+About!$B$6),About!$B$5*M398+About!$B$6*N398+About!$B$7*O398)</f>
        <v/>
      </c>
      <c r="Q398" s="23" t="n">
        <v>-17.3895</v>
      </c>
      <c r="R398" s="23" t="n">
        <v>-66.1568</v>
      </c>
    </row>
    <row r="399" ht="15" customHeight="1" s="12">
      <c r="A399" s="18" t="inlineStr">
        <is>
          <t>Kigali</t>
        </is>
      </c>
      <c r="B399" s="18" t="inlineStr">
        <is>
          <t>Rwanda</t>
        </is>
      </c>
      <c r="C399" s="19" t="n">
        <v>14104969</v>
      </c>
      <c r="D399" s="18" t="inlineStr">
        <is>
          <t>RW</t>
        </is>
      </c>
      <c r="E399" s="18" t="inlineStr">
        <is>
          <t>12</t>
        </is>
      </c>
      <c r="F399" s="20" t="n">
        <v>745261</v>
      </c>
      <c r="G399" s="18" t="inlineStr">
        <is>
          <t>Yes</t>
        </is>
      </c>
      <c r="H399" s="18" t="inlineStr">
        <is>
          <t>KGL</t>
        </is>
      </c>
      <c r="I399" s="18" t="inlineStr">
        <is>
          <t>Kigali International Airport</t>
        </is>
      </c>
      <c r="J399" s="21" t="n">
        <v>9.199999999999999</v>
      </c>
      <c r="K399" s="18" t="inlineStr">
        <is>
          <t>KGL</t>
        </is>
      </c>
      <c r="L399" s="18" t="inlineStr">
        <is>
          <t>100k +  pop + capital + airport</t>
        </is>
      </c>
      <c r="M399" s="22" t="n">
        <v>0.698</v>
      </c>
      <c r="N399" s="22" t="n">
        <v>0</v>
      </c>
      <c r="O399" s="18" t="n"/>
      <c r="P399" s="22">
        <f>IF(O399="",(About!$B$5*M399+About!$B$6*N399)/(About!$B$5+About!$B$6),About!$B$5*M399+About!$B$6*N399+About!$B$7*O399)</f>
        <v/>
      </c>
      <c r="Q399" s="23" t="n">
        <v>-1.95</v>
      </c>
      <c r="R399" s="23" t="n">
        <v>30.0588</v>
      </c>
    </row>
    <row r="400" ht="15" customHeight="1" s="12">
      <c r="A400" s="18" t="inlineStr">
        <is>
          <t>Kuching</t>
        </is>
      </c>
      <c r="B400" s="18" t="inlineStr">
        <is>
          <t>Malaysia</t>
        </is>
      </c>
      <c r="C400" s="19" t="n">
        <v>34374300</v>
      </c>
      <c r="D400" s="18" t="inlineStr">
        <is>
          <t>MY</t>
        </is>
      </c>
      <c r="E400" s="18" t="inlineStr">
        <is>
          <t>11</t>
        </is>
      </c>
      <c r="F400" s="20" t="n">
        <v>570407</v>
      </c>
      <c r="G400" s="18" t="n"/>
      <c r="H400" s="18" t="inlineStr">
        <is>
          <t>KCH</t>
        </is>
      </c>
      <c r="I400" s="18" t="inlineStr">
        <is>
          <t>Kuching International Airport</t>
        </is>
      </c>
      <c r="J400" s="21" t="n">
        <v>7.3</v>
      </c>
      <c r="K400" s="18" t="inlineStr">
        <is>
          <t>KCH</t>
        </is>
      </c>
      <c r="L400" s="18" t="inlineStr">
        <is>
          <t>100k +  pop + airport</t>
        </is>
      </c>
      <c r="M400" s="22" t="n">
        <v>0.698</v>
      </c>
      <c r="N400" s="22" t="n">
        <v>0</v>
      </c>
      <c r="O400" s="18" t="n"/>
      <c r="P400" s="22">
        <f>IF(O400="",(About!$B$5*M400+About!$B$6*N400)/(About!$B$5+About!$B$6),About!$B$5*M400+About!$B$6*N400+About!$B$7*O400)</f>
        <v/>
      </c>
      <c r="Q400" s="23" t="n">
        <v>1.55</v>
      </c>
      <c r="R400" s="23" t="n">
        <v>110.3333</v>
      </c>
    </row>
    <row r="401" ht="15" customHeight="1" s="12">
      <c r="A401" s="18" t="inlineStr">
        <is>
          <t>Mixco</t>
        </is>
      </c>
      <c r="B401" s="18" t="inlineStr">
        <is>
          <t>Guatemala</t>
        </is>
      </c>
      <c r="C401" s="19" t="n">
        <v>18312373</v>
      </c>
      <c r="D401" s="18" t="inlineStr">
        <is>
          <t>GT</t>
        </is>
      </c>
      <c r="E401" s="18" t="inlineStr">
        <is>
          <t>07</t>
        </is>
      </c>
      <c r="F401" s="20" t="n">
        <v>473080</v>
      </c>
      <c r="G401" s="18" t="n"/>
      <c r="H401" s="18" t="inlineStr">
        <is>
          <t>GUA</t>
        </is>
      </c>
      <c r="I401" s="18" t="inlineStr">
        <is>
          <t>La Aurora International Airport</t>
        </is>
      </c>
      <c r="J401" s="21" t="n">
        <v>10.1</v>
      </c>
      <c r="K401" s="18" t="inlineStr">
        <is>
          <t>GUA</t>
        </is>
      </c>
      <c r="L401" s="18" t="inlineStr">
        <is>
          <t>100k +  pop</t>
        </is>
      </c>
      <c r="M401" s="22" t="n">
        <v>0.698</v>
      </c>
      <c r="N401" s="22" t="n">
        <v>0</v>
      </c>
      <c r="O401" s="18" t="n"/>
      <c r="P401" s="22">
        <f>IF(O401="",(About!$B$5*M401+About!$B$6*N401)/(About!$B$5+About!$B$6),About!$B$5*M401+About!$B$6*N401+About!$B$7*O401)</f>
        <v/>
      </c>
      <c r="Q401" s="23" t="n">
        <v>14.6308</v>
      </c>
      <c r="R401" s="23" t="n">
        <v>-90.6071</v>
      </c>
    </row>
    <row r="402" ht="15" customHeight="1" s="12">
      <c r="A402" s="18" t="inlineStr">
        <is>
          <t>Villa Nueva</t>
        </is>
      </c>
      <c r="B402" s="18" t="inlineStr">
        <is>
          <t>Guatemala</t>
        </is>
      </c>
      <c r="C402" s="19" t="n">
        <v>18312373</v>
      </c>
      <c r="D402" s="18" t="inlineStr">
        <is>
          <t>GT</t>
        </is>
      </c>
      <c r="E402" s="18" t="inlineStr">
        <is>
          <t>07</t>
        </is>
      </c>
      <c r="F402" s="20" t="n">
        <v>406830</v>
      </c>
      <c r="G402" s="18" t="n"/>
      <c r="H402" s="18" t="inlineStr">
        <is>
          <t>GUA</t>
        </is>
      </c>
      <c r="I402" s="18" t="inlineStr">
        <is>
          <t>La Aurora International Airport</t>
        </is>
      </c>
      <c r="J402" s="21" t="n">
        <v>9</v>
      </c>
      <c r="K402" s="18" t="inlineStr">
        <is>
          <t>GUA</t>
        </is>
      </c>
      <c r="L402" s="18" t="inlineStr">
        <is>
          <t>100k +  pop + airport</t>
        </is>
      </c>
      <c r="M402" s="22" t="n">
        <v>0.698</v>
      </c>
      <c r="N402" s="22" t="n">
        <v>0</v>
      </c>
      <c r="O402" s="18" t="n"/>
      <c r="P402" s="22">
        <f>IF(O402="",(About!$B$5*M402+About!$B$6*N402)/(About!$B$5+About!$B$6),About!$B$5*M402+About!$B$6*N402+About!$B$7*O402)</f>
        <v/>
      </c>
      <c r="Q402" s="23" t="n">
        <v>14.5251</v>
      </c>
      <c r="R402" s="23" t="n">
        <v>-90.58540000000001</v>
      </c>
    </row>
    <row r="403" ht="15" customHeight="1" s="12">
      <c r="A403" s="18" t="inlineStr">
        <is>
          <t>Nantes</t>
        </is>
      </c>
      <c r="B403" s="18" t="inlineStr">
        <is>
          <t>France</t>
        </is>
      </c>
      <c r="C403" s="19" t="n">
        <v>69081996</v>
      </c>
      <c r="D403" s="18" t="inlineStr">
        <is>
          <t>FR</t>
        </is>
      </c>
      <c r="E403" s="18" t="inlineStr">
        <is>
          <t>52</t>
        </is>
      </c>
      <c r="F403" s="20" t="n">
        <v>277269</v>
      </c>
      <c r="G403" s="18" t="n"/>
      <c r="H403" s="18" t="inlineStr">
        <is>
          <t>NTE</t>
        </is>
      </c>
      <c r="I403" s="18" t="inlineStr">
        <is>
          <t>Nantes Atlantique Airport</t>
        </is>
      </c>
      <c r="J403" s="21" t="n">
        <v>8.300000000000001</v>
      </c>
      <c r="K403" s="18" t="inlineStr">
        <is>
          <t>NTE</t>
        </is>
      </c>
      <c r="L403" s="18" t="inlineStr">
        <is>
          <t>100k +  pop + airport</t>
        </is>
      </c>
      <c r="M403" s="22" t="n">
        <v>0.698</v>
      </c>
      <c r="N403" s="22" t="n">
        <v>0</v>
      </c>
      <c r="O403" s="18" t="n"/>
      <c r="P403" s="22">
        <f>IF(O403="",(About!$B$5*M403+About!$B$6*N403)/(About!$B$5+About!$B$6),About!$B$5*M403+About!$B$6*N403+About!$B$7*O403)</f>
        <v/>
      </c>
      <c r="Q403" s="23" t="n">
        <v>47.2172</v>
      </c>
      <c r="R403" s="23" t="n">
        <v>-1.5534</v>
      </c>
    </row>
    <row r="404" ht="15" customHeight="1" s="12">
      <c r="A404" s="18" t="inlineStr">
        <is>
          <t>Nuuk</t>
        </is>
      </c>
      <c r="B404" s="18" t="inlineStr">
        <is>
          <t>Greenland</t>
        </is>
      </c>
      <c r="C404" s="19" t="n">
        <v>56740</v>
      </c>
      <c r="D404" s="18" t="inlineStr">
        <is>
          <t>GL</t>
        </is>
      </c>
      <c r="E404" s="18" t="inlineStr">
        <is>
          <t>07</t>
        </is>
      </c>
      <c r="F404" s="20" t="n">
        <v>14798</v>
      </c>
      <c r="G404" s="18" t="inlineStr">
        <is>
          <t>Yes</t>
        </is>
      </c>
      <c r="H404" s="18" t="inlineStr">
        <is>
          <t>GOH</t>
        </is>
      </c>
      <c r="I404" s="18" t="inlineStr">
        <is>
          <t>Nuuk International Airport</t>
        </is>
      </c>
      <c r="J404" s="21" t="n">
        <v>2.2</v>
      </c>
      <c r="K404" s="18" t="inlineStr">
        <is>
          <t>GOH</t>
        </is>
      </c>
      <c r="L404" s="18" t="inlineStr">
        <is>
          <t>capital</t>
        </is>
      </c>
      <c r="M404" s="22" t="n">
        <v>0.699</v>
      </c>
      <c r="N404" s="22" t="n">
        <v>0</v>
      </c>
      <c r="O404" s="18" t="n"/>
      <c r="P404" s="22">
        <f>IF(O404="",(About!$B$5*M404+About!$B$6*N404)/(About!$B$5+About!$B$6),About!$B$5*M404+About!$B$6*N404+About!$B$7*O404)</f>
        <v/>
      </c>
      <c r="Q404" s="23" t="n">
        <v>64.1835</v>
      </c>
      <c r="R404" s="23" t="n">
        <v>-51.7216</v>
      </c>
    </row>
    <row r="405" ht="15" customHeight="1" s="12">
      <c r="A405" s="18" t="inlineStr">
        <is>
          <t>Nanchang</t>
        </is>
      </c>
      <c r="B405" s="18" t="inlineStr">
        <is>
          <t>China</t>
        </is>
      </c>
      <c r="C405" s="19" t="n">
        <v>1404890000</v>
      </c>
      <c r="D405" s="18" t="inlineStr">
        <is>
          <t>CN</t>
        </is>
      </c>
      <c r="E405" s="18" t="inlineStr">
        <is>
          <t>03</t>
        </is>
      </c>
      <c r="F405" s="20" t="n">
        <v>2357839</v>
      </c>
      <c r="G405" s="18" t="n"/>
      <c r="H405" s="18" t="inlineStr">
        <is>
          <t>KHN</t>
        </is>
      </c>
      <c r="I405" s="18" t="inlineStr">
        <is>
          <t>Nanchang Changbei International Airport</t>
        </is>
      </c>
      <c r="J405" s="21" t="n">
        <v>20.7</v>
      </c>
      <c r="K405" s="18" t="inlineStr">
        <is>
          <t>KHN</t>
        </is>
      </c>
      <c r="L405" s="18" t="inlineStr">
        <is>
          <t>100k +  pop + airport</t>
        </is>
      </c>
      <c r="M405" s="22" t="n">
        <v>0.697</v>
      </c>
      <c r="N405" s="22" t="n">
        <v>0</v>
      </c>
      <c r="O405" s="18" t="n"/>
      <c r="P405" s="22">
        <f>IF(O405="",(About!$B$5*M405+About!$B$6*N405)/(About!$B$5+About!$B$6),About!$B$5*M405+About!$B$6*N405+About!$B$7*O405)</f>
        <v/>
      </c>
      <c r="Q405" s="23" t="n">
        <v>28.684</v>
      </c>
      <c r="R405" s="23" t="n">
        <v>115.8531</v>
      </c>
    </row>
    <row r="406" ht="15" customHeight="1" s="12">
      <c r="A406" s="18" t="inlineStr">
        <is>
          <t>Mashhad</t>
        </is>
      </c>
      <c r="B406" s="18" t="inlineStr">
        <is>
          <t>Iran</t>
        </is>
      </c>
      <c r="C406" s="19" t="n">
        <v>87134000</v>
      </c>
      <c r="D406" s="18" t="inlineStr">
        <is>
          <t>IR</t>
        </is>
      </c>
      <c r="E406" s="18" t="inlineStr">
        <is>
          <t>42</t>
        </is>
      </c>
      <c r="F406" s="20" t="n">
        <v>2307177</v>
      </c>
      <c r="G406" s="18" t="n"/>
      <c r="H406" s="18" t="inlineStr">
        <is>
          <t>MHD</t>
        </is>
      </c>
      <c r="I406" s="18" t="inlineStr">
        <is>
          <t>Mashhad International Airport</t>
        </is>
      </c>
      <c r="J406" s="21" t="n">
        <v>11.2</v>
      </c>
      <c r="K406" s="18" t="inlineStr">
        <is>
          <t>MHD</t>
        </is>
      </c>
      <c r="L406" s="18" t="inlineStr">
        <is>
          <t>100k +  pop + airport</t>
        </is>
      </c>
      <c r="M406" s="22" t="n">
        <v>0.697</v>
      </c>
      <c r="N406" s="22" t="n">
        <v>0</v>
      </c>
      <c r="O406" s="18" t="n"/>
      <c r="P406" s="22">
        <f>IF(O406="",(About!$B$5*M406+About!$B$6*N406)/(About!$B$5+About!$B$6),About!$B$5*M406+About!$B$6*N406+About!$B$7*O406)</f>
        <v/>
      </c>
      <c r="Q406" s="23" t="n">
        <v>36.3156</v>
      </c>
      <c r="R406" s="23" t="n">
        <v>59.568</v>
      </c>
    </row>
    <row r="407" ht="15" customHeight="1" s="12">
      <c r="A407" s="18" t="inlineStr">
        <is>
          <t>Rawalpindi</t>
        </is>
      </c>
      <c r="B407" s="18" t="inlineStr">
        <is>
          <t>Pakistan</t>
        </is>
      </c>
      <c r="C407" s="19" t="n">
        <v>241499431</v>
      </c>
      <c r="D407" s="18" t="inlineStr">
        <is>
          <t>PK</t>
        </is>
      </c>
      <c r="E407" s="18" t="inlineStr">
        <is>
          <t>04</t>
        </is>
      </c>
      <c r="F407" s="20" t="n">
        <v>1743101</v>
      </c>
      <c r="G407" s="18" t="n"/>
      <c r="H407" s="18" t="inlineStr">
        <is>
          <t>ISB</t>
        </is>
      </c>
      <c r="I407" s="18" t="inlineStr">
        <is>
          <t>Islamabad International Airport</t>
        </is>
      </c>
      <c r="J407" s="21" t="n">
        <v>21.3</v>
      </c>
      <c r="K407" s="18" t="inlineStr">
        <is>
          <t>ISB</t>
        </is>
      </c>
      <c r="L407" s="18" t="inlineStr">
        <is>
          <t>100k +  pop</t>
        </is>
      </c>
      <c r="M407" s="22" t="n">
        <v>0.697</v>
      </c>
      <c r="N407" s="22" t="n">
        <v>0</v>
      </c>
      <c r="O407" s="18" t="n"/>
      <c r="P407" s="22">
        <f>IF(O407="",(About!$B$5*M407+About!$B$6*N407)/(About!$B$5+About!$B$6),About!$B$5*M407+About!$B$6*N407+About!$B$7*O407)</f>
        <v/>
      </c>
      <c r="Q407" s="23" t="n">
        <v>33.5973</v>
      </c>
      <c r="R407" s="23" t="n">
        <v>73.0479</v>
      </c>
    </row>
    <row r="408" ht="15" customHeight="1" s="12">
      <c r="A408" s="18" t="inlineStr">
        <is>
          <t>Cincinnati</t>
        </is>
      </c>
      <c r="B408" s="18" t="inlineStr">
        <is>
          <t>United States</t>
        </is>
      </c>
      <c r="C408" s="19" t="n">
        <v>341784857</v>
      </c>
      <c r="D408" s="18" t="inlineStr">
        <is>
          <t>US</t>
        </is>
      </c>
      <c r="E408" s="18" t="inlineStr">
        <is>
          <t>OH</t>
        </is>
      </c>
      <c r="F408" s="20" t="n">
        <v>296943</v>
      </c>
      <c r="G408" s="18" t="n"/>
      <c r="H408" s="18" t="inlineStr">
        <is>
          <t>CVG</t>
        </is>
      </c>
      <c r="I408" s="18" t="inlineStr">
        <is>
          <t>Cincinnati Northern Kentucky International Airport</t>
        </is>
      </c>
      <c r="J408" s="21" t="n">
        <v>15.8</v>
      </c>
      <c r="K408" s="18" t="inlineStr">
        <is>
          <t>CVG+LUK</t>
        </is>
      </c>
      <c r="L408" s="18" t="inlineStr">
        <is>
          <t>100k +  pop + airport</t>
        </is>
      </c>
      <c r="M408" s="22" t="n">
        <v>0.696</v>
      </c>
      <c r="N408" s="22" t="n">
        <v>0</v>
      </c>
      <c r="O408" s="18" t="n"/>
      <c r="P408" s="22">
        <f>IF(O408="",(About!$B$5*M408+About!$B$6*N408)/(About!$B$5+About!$B$6),About!$B$5*M408+About!$B$6*N408+About!$B$7*O408)</f>
        <v/>
      </c>
      <c r="Q408" s="23" t="n">
        <v>39.1271</v>
      </c>
      <c r="R408" s="23" t="n">
        <v>-84.51439999999999</v>
      </c>
    </row>
    <row r="409" ht="15" customHeight="1" s="12">
      <c r="A409" s="18" t="inlineStr">
        <is>
          <t>Ningbo</t>
        </is>
      </c>
      <c r="B409" s="18" t="inlineStr">
        <is>
          <t>China</t>
        </is>
      </c>
      <c r="C409" s="19" t="n">
        <v>1404890000</v>
      </c>
      <c r="D409" s="18" t="inlineStr">
        <is>
          <t>CN</t>
        </is>
      </c>
      <c r="E409" s="18" t="inlineStr">
        <is>
          <t>02</t>
        </is>
      </c>
      <c r="F409" s="20" t="n">
        <v>3491597</v>
      </c>
      <c r="G409" s="18" t="n"/>
      <c r="H409" s="18" t="inlineStr">
        <is>
          <t>NGB</t>
        </is>
      </c>
      <c r="I409" s="18" t="inlineStr">
        <is>
          <t>Ningbo Lishe International Airport</t>
        </is>
      </c>
      <c r="J409" s="21" t="n">
        <v>10.2</v>
      </c>
      <c r="K409" s="18" t="inlineStr">
        <is>
          <t>NGB</t>
        </is>
      </c>
      <c r="L409" s="18" t="inlineStr">
        <is>
          <t>100k +  pop + airport</t>
        </is>
      </c>
      <c r="M409" s="22" t="n">
        <v>0.694</v>
      </c>
      <c r="N409" s="22" t="n">
        <v>0</v>
      </c>
      <c r="O409" s="18" t="n"/>
      <c r="P409" s="22">
        <f>IF(O409="",(About!$B$5*M409+About!$B$6*N409)/(About!$B$5+About!$B$6),About!$B$5*M409+About!$B$6*N409+About!$B$7*O409)</f>
        <v/>
      </c>
      <c r="Q409" s="23" t="n">
        <v>29.8782</v>
      </c>
      <c r="R409" s="23" t="n">
        <v>121.5494</v>
      </c>
    </row>
    <row r="410" ht="15" customHeight="1" s="12">
      <c r="A410" s="18" t="inlineStr">
        <is>
          <t>Hefei</t>
        </is>
      </c>
      <c r="B410" s="18" t="inlineStr">
        <is>
          <t>China</t>
        </is>
      </c>
      <c r="C410" s="19" t="n">
        <v>1404890000</v>
      </c>
      <c r="D410" s="18" t="inlineStr">
        <is>
          <t>CN</t>
        </is>
      </c>
      <c r="E410" s="18" t="inlineStr">
        <is>
          <t>01</t>
        </is>
      </c>
      <c r="F410" s="20" t="n">
        <v>3310268</v>
      </c>
      <c r="G410" s="18" t="n"/>
      <c r="H410" s="18" t="inlineStr">
        <is>
          <t>HFE</t>
        </is>
      </c>
      <c r="I410" s="18" t="inlineStr">
        <is>
          <t>Hefei Xinqiao International Airport</t>
        </is>
      </c>
      <c r="J410" s="21" t="n">
        <v>31.8</v>
      </c>
      <c r="K410" s="18" t="inlineStr">
        <is>
          <t>HFE</t>
        </is>
      </c>
      <c r="L410" s="18" t="inlineStr">
        <is>
          <t>100k +  pop + airport</t>
        </is>
      </c>
      <c r="M410" s="22" t="n">
        <v>0.6929999999999999</v>
      </c>
      <c r="N410" s="22" t="n">
        <v>0</v>
      </c>
      <c r="O410" s="18" t="n"/>
      <c r="P410" s="22">
        <f>IF(O410="",(About!$B$5*M410+About!$B$6*N410)/(About!$B$5+About!$B$6),About!$B$5*M410+About!$B$6*N410+About!$B$7*O410)</f>
        <v/>
      </c>
      <c r="Q410" s="23" t="n">
        <v>31.8639</v>
      </c>
      <c r="R410" s="23" t="n">
        <v>117.2808</v>
      </c>
    </row>
    <row r="411" ht="15" customHeight="1" s="12">
      <c r="A411" s="18" t="inlineStr">
        <is>
          <t>Cali</t>
        </is>
      </c>
      <c r="B411" s="18" t="inlineStr">
        <is>
          <t>Colombia</t>
        </is>
      </c>
      <c r="C411" s="19" t="n">
        <v>53057212</v>
      </c>
      <c r="D411" s="18" t="inlineStr">
        <is>
          <t>CO</t>
        </is>
      </c>
      <c r="E411" s="18" t="inlineStr">
        <is>
          <t>29</t>
        </is>
      </c>
      <c r="F411" s="20" t="n">
        <v>2392877</v>
      </c>
      <c r="G411" s="18" t="n"/>
      <c r="H411" s="18" t="inlineStr">
        <is>
          <t>CLO</t>
        </is>
      </c>
      <c r="I411" s="18" t="inlineStr">
        <is>
          <t>Alfonso Bonilla Aragon International Airport</t>
        </is>
      </c>
      <c r="J411" s="21" t="n">
        <v>19.5</v>
      </c>
      <c r="K411" s="18" t="inlineStr">
        <is>
          <t>CLO</t>
        </is>
      </c>
      <c r="L411" s="18" t="inlineStr">
        <is>
          <t>100k +  pop + airport</t>
        </is>
      </c>
      <c r="M411" s="22" t="n">
        <v>0.6929999999999999</v>
      </c>
      <c r="N411" s="22" t="n">
        <v>0</v>
      </c>
      <c r="O411" s="18" t="n"/>
      <c r="P411" s="22">
        <f>IF(O411="",(About!$B$5*M411+About!$B$6*N411)/(About!$B$5+About!$B$6),About!$B$5*M411+About!$B$6*N411+About!$B$7*O411)</f>
        <v/>
      </c>
      <c r="Q411" s="23" t="n">
        <v>3.4372</v>
      </c>
      <c r="R411" s="23" t="n">
        <v>-76.52249999999999</v>
      </c>
    </row>
    <row r="412" ht="15" customHeight="1" s="12">
      <c r="A412" s="18" t="inlineStr">
        <is>
          <t>Hannover</t>
        </is>
      </c>
      <c r="B412" s="18" t="inlineStr">
        <is>
          <t>Germany</t>
        </is>
      </c>
      <c r="C412" s="19" t="n">
        <v>83497147</v>
      </c>
      <c r="D412" s="18" t="inlineStr">
        <is>
          <t>DE</t>
        </is>
      </c>
      <c r="E412" s="18" t="inlineStr">
        <is>
          <t>06</t>
        </is>
      </c>
      <c r="F412" s="20" t="n">
        <v>515140</v>
      </c>
      <c r="G412" s="18" t="n"/>
      <c r="H412" s="18" t="inlineStr">
        <is>
          <t>HAJ</t>
        </is>
      </c>
      <c r="I412" s="18" t="inlineStr">
        <is>
          <t>Hannover Airport</t>
        </is>
      </c>
      <c r="J412" s="21" t="n">
        <v>10.6</v>
      </c>
      <c r="K412" s="18" t="inlineStr">
        <is>
          <t>HAJ</t>
        </is>
      </c>
      <c r="L412" s="18" t="inlineStr">
        <is>
          <t>100k +  pop + airport</t>
        </is>
      </c>
      <c r="M412" s="22" t="n">
        <v>0.694</v>
      </c>
      <c r="N412" s="22" t="n">
        <v>0</v>
      </c>
      <c r="O412" s="18" t="n"/>
      <c r="P412" s="22">
        <f>IF(O412="",(About!$B$5*M412+About!$B$6*N412)/(About!$B$5+About!$B$6),About!$B$5*M412+About!$B$6*N412+About!$B$7*O412)</f>
        <v/>
      </c>
      <c r="Q412" s="23" t="n">
        <v>52.3705</v>
      </c>
      <c r="R412" s="23" t="n">
        <v>9.7332</v>
      </c>
    </row>
    <row r="413" ht="15" customHeight="1" s="12">
      <c r="A413" s="18" t="inlineStr">
        <is>
          <t>Palmira</t>
        </is>
      </c>
      <c r="B413" s="18" t="inlineStr">
        <is>
          <t>Colombia</t>
        </is>
      </c>
      <c r="C413" s="19" t="n">
        <v>53057212</v>
      </c>
      <c r="D413" s="18" t="inlineStr">
        <is>
          <t>CO</t>
        </is>
      </c>
      <c r="E413" s="18" t="inlineStr">
        <is>
          <t>29</t>
        </is>
      </c>
      <c r="F413" s="20" t="n">
        <v>247986</v>
      </c>
      <c r="G413" s="18" t="n"/>
      <c r="H413" s="18" t="inlineStr">
        <is>
          <t>CLO</t>
        </is>
      </c>
      <c r="I413" s="18" t="inlineStr">
        <is>
          <t>Alfonso Bonilla Aragon International Airport</t>
        </is>
      </c>
      <c r="J413" s="21" t="n">
        <v>8.699999999999999</v>
      </c>
      <c r="K413" s="18" t="inlineStr">
        <is>
          <t>CLO</t>
        </is>
      </c>
      <c r="L413" s="18" t="inlineStr">
        <is>
          <t>100k +  pop + airport</t>
        </is>
      </c>
      <c r="M413" s="22" t="n">
        <v>0.6929999999999999</v>
      </c>
      <c r="N413" s="22" t="n">
        <v>0</v>
      </c>
      <c r="O413" s="18" t="n"/>
      <c r="P413" s="22">
        <f>IF(O413="",(About!$B$5*M413+About!$B$6*N413)/(About!$B$5+About!$B$6),About!$B$5*M413+About!$B$6*N413+About!$B$7*O413)</f>
        <v/>
      </c>
      <c r="Q413" s="23" t="n">
        <v>3.5394</v>
      </c>
      <c r="R413" s="23" t="n">
        <v>-76.3036</v>
      </c>
    </row>
    <row r="414" ht="15" customHeight="1" s="12">
      <c r="A414" s="18" t="inlineStr">
        <is>
          <t>Bordeaux</t>
        </is>
      </c>
      <c r="B414" s="18" t="inlineStr">
        <is>
          <t>France</t>
        </is>
      </c>
      <c r="C414" s="19" t="n">
        <v>69081996</v>
      </c>
      <c r="D414" s="18" t="inlineStr">
        <is>
          <t>FR</t>
        </is>
      </c>
      <c r="E414" s="18" t="inlineStr">
        <is>
          <t>75</t>
        </is>
      </c>
      <c r="F414" s="20" t="n">
        <v>231844</v>
      </c>
      <c r="G414" s="18" t="n"/>
      <c r="H414" s="18" t="inlineStr">
        <is>
          <t>BOD</t>
        </is>
      </c>
      <c r="I414" s="18" t="inlineStr">
        <is>
          <t>Bordeaux–Mérignac Airport</t>
        </is>
      </c>
      <c r="J414" s="21" t="n">
        <v>10.7</v>
      </c>
      <c r="K414" s="18" t="inlineStr">
        <is>
          <t>BOD</t>
        </is>
      </c>
      <c r="L414" s="18" t="inlineStr">
        <is>
          <t>100k +  pop + airport</t>
        </is>
      </c>
      <c r="M414" s="22" t="n">
        <v>0.6929999999999999</v>
      </c>
      <c r="N414" s="22" t="n">
        <v>0</v>
      </c>
      <c r="O414" s="18" t="n"/>
      <c r="P414" s="22">
        <f>IF(O414="",(About!$B$5*M414+About!$B$6*N414)/(About!$B$5+About!$B$6),About!$B$5*M414+About!$B$6*N414+About!$B$7*O414)</f>
        <v/>
      </c>
      <c r="Q414" s="23" t="n">
        <v>44.8404</v>
      </c>
      <c r="R414" s="23" t="n">
        <v>-0.5805</v>
      </c>
    </row>
    <row r="415" ht="15" customHeight="1" s="12">
      <c r="A415" s="18" t="inlineStr">
        <is>
          <t>Innsbruck</t>
        </is>
      </c>
      <c r="B415" s="18" t="inlineStr">
        <is>
          <t>Austria</t>
        </is>
      </c>
      <c r="C415" s="19" t="n">
        <v>9220882</v>
      </c>
      <c r="D415" s="18" t="inlineStr">
        <is>
          <t>AT</t>
        </is>
      </c>
      <c r="E415" s="18" t="inlineStr">
        <is>
          <t>07</t>
        </is>
      </c>
      <c r="F415" s="20" t="n">
        <v>132493</v>
      </c>
      <c r="G415" s="18" t="n"/>
      <c r="H415" s="18" t="inlineStr">
        <is>
          <t>INN</t>
        </is>
      </c>
      <c r="I415" s="18" t="inlineStr">
        <is>
          <t>Innsbruck Airport</t>
        </is>
      </c>
      <c r="J415" s="21" t="n">
        <v>3.8</v>
      </c>
      <c r="K415" s="18" t="inlineStr">
        <is>
          <t>INN</t>
        </is>
      </c>
      <c r="L415" s="18" t="inlineStr">
        <is>
          <t>100k +  pop + airport</t>
        </is>
      </c>
      <c r="M415" s="22" t="n">
        <v>0.694</v>
      </c>
      <c r="N415" s="22" t="n">
        <v>0</v>
      </c>
      <c r="O415" s="18" t="n"/>
      <c r="P415" s="22">
        <f>IF(O415="",(About!$B$5*M415+About!$B$6*N415)/(About!$B$5+About!$B$6),About!$B$5*M415+About!$B$6*N415+About!$B$7*O415)</f>
        <v/>
      </c>
      <c r="Q415" s="23" t="n">
        <v>47.2627</v>
      </c>
      <c r="R415" s="23" t="n">
        <v>11.3945</v>
      </c>
    </row>
    <row r="416" ht="15" customHeight="1" s="12">
      <c r="A416" s="18" t="inlineStr">
        <is>
          <t>Port of Spain</t>
        </is>
      </c>
      <c r="B416" s="18" t="inlineStr">
        <is>
          <t>Trinidad and Tobago</t>
        </is>
      </c>
      <c r="C416" s="19" t="n">
        <v>1367764</v>
      </c>
      <c r="D416" s="18" t="inlineStr">
        <is>
          <t>TT</t>
        </is>
      </c>
      <c r="E416" s="18" t="inlineStr">
        <is>
          <t>05</t>
        </is>
      </c>
      <c r="F416" s="20" t="n">
        <v>49031</v>
      </c>
      <c r="G416" s="18" t="inlineStr">
        <is>
          <t>Yes</t>
        </is>
      </c>
      <c r="H416" s="18" t="inlineStr">
        <is>
          <t>POS</t>
        </is>
      </c>
      <c r="I416" s="18" t="inlineStr">
        <is>
          <t>Piarco International Airport</t>
        </is>
      </c>
      <c r="J416" s="21" t="n">
        <v>21.3</v>
      </c>
      <c r="K416" s="18" t="inlineStr">
        <is>
          <t>POS</t>
        </is>
      </c>
      <c r="L416" s="18" t="inlineStr">
        <is>
          <t>capital + airport</t>
        </is>
      </c>
      <c r="M416" s="22" t="n">
        <v>0.6929999999999999</v>
      </c>
      <c r="N416" s="22" t="n">
        <v>0</v>
      </c>
      <c r="O416" s="18" t="n"/>
      <c r="P416" s="22">
        <f>IF(O416="",(About!$B$5*M416+About!$B$6*N416)/(About!$B$5+About!$B$6),About!$B$5*M416+About!$B$6*N416+About!$B$7*O416)</f>
        <v/>
      </c>
      <c r="Q416" s="23" t="n">
        <v>10.6667</v>
      </c>
      <c r="R416" s="23" t="n">
        <v>-61.5189</v>
      </c>
    </row>
    <row r="417" ht="15" customHeight="1" s="12">
      <c r="A417" s="18" t="inlineStr">
        <is>
          <t>Arima</t>
        </is>
      </c>
      <c r="B417" s="18" t="inlineStr">
        <is>
          <t>Trinidad and Tobago</t>
        </is>
      </c>
      <c r="C417" s="19" t="n">
        <v>1367764</v>
      </c>
      <c r="D417" s="18" t="inlineStr">
        <is>
          <t>TT</t>
        </is>
      </c>
      <c r="E417" s="18" t="inlineStr">
        <is>
          <t>01</t>
        </is>
      </c>
      <c r="F417" s="20" t="n">
        <v>35000</v>
      </c>
      <c r="G417" s="18" t="n"/>
      <c r="H417" s="18" t="inlineStr">
        <is>
          <t>POS</t>
        </is>
      </c>
      <c r="I417" s="18" t="inlineStr">
        <is>
          <t>Piarco International Airport</t>
        </is>
      </c>
      <c r="J417" s="21" t="n">
        <v>7.6</v>
      </c>
      <c r="K417" s="18" t="inlineStr">
        <is>
          <t>POS</t>
        </is>
      </c>
      <c r="L417" s="18" t="inlineStr">
        <is>
          <t>airport</t>
        </is>
      </c>
      <c r="M417" s="22" t="n">
        <v>0.6929999999999999</v>
      </c>
      <c r="N417" s="22" t="n">
        <v>0</v>
      </c>
      <c r="O417" s="18" t="n"/>
      <c r="P417" s="22">
        <f>IF(O417="",(About!$B$5*M417+About!$B$6*N417)/(About!$B$5+About!$B$6),About!$B$5*M417+About!$B$6*N417+About!$B$7*O417)</f>
        <v/>
      </c>
      <c r="Q417" s="23" t="n">
        <v>10.6374</v>
      </c>
      <c r="R417" s="23" t="n">
        <v>-61.2823</v>
      </c>
    </row>
    <row r="418" ht="15" customHeight="1" s="12">
      <c r="A418" s="18" t="inlineStr">
        <is>
          <t>Shiraz</t>
        </is>
      </c>
      <c r="B418" s="18" t="inlineStr">
        <is>
          <t>Iran</t>
        </is>
      </c>
      <c r="C418" s="19" t="n">
        <v>87134000</v>
      </c>
      <c r="D418" s="18" t="inlineStr">
        <is>
          <t>IR</t>
        </is>
      </c>
      <c r="E418" s="18" t="inlineStr">
        <is>
          <t>07</t>
        </is>
      </c>
      <c r="F418" s="20" t="n">
        <v>1249942</v>
      </c>
      <c r="G418" s="18" t="n"/>
      <c r="H418" s="18" t="inlineStr">
        <is>
          <t>SYZ</t>
        </is>
      </c>
      <c r="I418" s="18" t="inlineStr">
        <is>
          <t>Shiraz Shahid Dastghaib International Airport</t>
        </is>
      </c>
      <c r="J418" s="21" t="n">
        <v>9.699999999999999</v>
      </c>
      <c r="K418" s="18" t="inlineStr">
        <is>
          <t>SYZ</t>
        </is>
      </c>
      <c r="L418" s="18" t="inlineStr">
        <is>
          <t>100k +  pop + airport</t>
        </is>
      </c>
      <c r="M418" s="22" t="n">
        <v>0.6919999999999999</v>
      </c>
      <c r="N418" s="22" t="n">
        <v>0</v>
      </c>
      <c r="O418" s="18" t="n"/>
      <c r="P418" s="22">
        <f>IF(O418="",(About!$B$5*M418+About!$B$6*N418)/(About!$B$5+About!$B$6),About!$B$5*M418+About!$B$6*N418+About!$B$7*O418)</f>
        <v/>
      </c>
      <c r="Q418" s="23" t="n">
        <v>29.6103</v>
      </c>
      <c r="R418" s="23" t="n">
        <v>52.5311</v>
      </c>
    </row>
    <row r="419" ht="15" customHeight="1" s="12">
      <c r="A419" s="18" t="inlineStr">
        <is>
          <t>Leeds</t>
        </is>
      </c>
      <c r="B419" s="18" t="inlineStr">
        <is>
          <t>United Kingdom</t>
        </is>
      </c>
      <c r="C419" s="19" t="n">
        <v>69487000</v>
      </c>
      <c r="D419" s="18" t="inlineStr">
        <is>
          <t>GB</t>
        </is>
      </c>
      <c r="E419" s="18" t="inlineStr">
        <is>
          <t>ENG</t>
        </is>
      </c>
      <c r="F419" s="20" t="n">
        <v>455123</v>
      </c>
      <c r="G419" s="18" t="n"/>
      <c r="H419" s="18" t="inlineStr">
        <is>
          <t>LBA</t>
        </is>
      </c>
      <c r="I419" s="18" t="inlineStr">
        <is>
          <t>Leeds Bradford Airport</t>
        </is>
      </c>
      <c r="J419" s="21" t="n">
        <v>10.7</v>
      </c>
      <c r="K419" s="18" t="inlineStr">
        <is>
          <t>LBA</t>
        </is>
      </c>
      <c r="L419" s="18" t="inlineStr">
        <is>
          <t>100k +  pop</t>
        </is>
      </c>
      <c r="M419" s="22" t="n">
        <v>0.6929999999999999</v>
      </c>
      <c r="N419" s="22" t="n">
        <v>0</v>
      </c>
      <c r="O419" s="18" t="n"/>
      <c r="P419" s="22">
        <f>IF(O419="",(About!$B$5*M419+About!$B$6*N419)/(About!$B$5+About!$B$6),About!$B$5*M419+About!$B$6*N419+About!$B$7*O419)</f>
        <v/>
      </c>
      <c r="Q419" s="23" t="n">
        <v>53.7965</v>
      </c>
      <c r="R419" s="23" t="n">
        <v>-1.5478</v>
      </c>
    </row>
    <row r="420" ht="15" customHeight="1" s="12">
      <c r="A420" s="18" t="inlineStr">
        <is>
          <t>Las Palmas de Gran Canaria</t>
        </is>
      </c>
      <c r="B420" s="18" t="inlineStr">
        <is>
          <t>Spain</t>
        </is>
      </c>
      <c r="C420" s="19" t="n">
        <v>49687120</v>
      </c>
      <c r="D420" s="18" t="inlineStr">
        <is>
          <t>ES</t>
        </is>
      </c>
      <c r="E420" s="18" t="inlineStr">
        <is>
          <t>53</t>
        </is>
      </c>
      <c r="F420" s="20" t="n">
        <v>381847</v>
      </c>
      <c r="G420" s="18" t="n"/>
      <c r="H420" s="18" t="inlineStr">
        <is>
          <t>LPA</t>
        </is>
      </c>
      <c r="I420" s="18" t="inlineStr">
        <is>
          <t>Gran Canaria Airport</t>
        </is>
      </c>
      <c r="J420" s="21" t="n">
        <v>18.8</v>
      </c>
      <c r="K420" s="18" t="inlineStr">
        <is>
          <t>LPA</t>
        </is>
      </c>
      <c r="L420" s="18" t="inlineStr">
        <is>
          <t>100k +  pop</t>
        </is>
      </c>
      <c r="M420" s="22" t="n">
        <v>0.6919999999999999</v>
      </c>
      <c r="N420" s="22" t="n">
        <v>0</v>
      </c>
      <c r="O420" s="18" t="n"/>
      <c r="P420" s="22">
        <f>IF(O420="",(About!$B$5*M420+About!$B$6*N420)/(About!$B$5+About!$B$6),About!$B$5*M420+About!$B$6*N420+About!$B$7*O420)</f>
        <v/>
      </c>
      <c r="Q420" s="23" t="n">
        <v>28.0997</v>
      </c>
      <c r="R420" s="23" t="n">
        <v>-15.4134</v>
      </c>
    </row>
    <row r="421" ht="15" customHeight="1" s="12">
      <c r="A421" s="18" t="inlineStr">
        <is>
          <t>Bradford</t>
        </is>
      </c>
      <c r="B421" s="18" t="inlineStr">
        <is>
          <t>United Kingdom</t>
        </is>
      </c>
      <c r="C421" s="19" t="n">
        <v>69487000</v>
      </c>
      <c r="D421" s="18" t="inlineStr">
        <is>
          <t>GB</t>
        </is>
      </c>
      <c r="E421" s="18" t="inlineStr">
        <is>
          <t>ENG</t>
        </is>
      </c>
      <c r="F421" s="20" t="n">
        <v>299310</v>
      </c>
      <c r="G421" s="18" t="n"/>
      <c r="H421" s="18" t="inlineStr">
        <is>
          <t>LBA</t>
        </is>
      </c>
      <c r="I421" s="18" t="inlineStr">
        <is>
          <t>Leeds Bradford Airport</t>
        </is>
      </c>
      <c r="J421" s="21" t="n">
        <v>10</v>
      </c>
      <c r="K421" s="18" t="inlineStr">
        <is>
          <t>LBA</t>
        </is>
      </c>
      <c r="L421" s="18" t="inlineStr">
        <is>
          <t>100k +  pop</t>
        </is>
      </c>
      <c r="M421" s="22" t="n">
        <v>0.6929999999999999</v>
      </c>
      <c r="N421" s="22" t="n">
        <v>0</v>
      </c>
      <c r="O421" s="18" t="n"/>
      <c r="P421" s="22">
        <f>IF(O421="",(About!$B$5*M421+About!$B$6*N421)/(About!$B$5+About!$B$6),About!$B$5*M421+About!$B$6*N421+About!$B$7*O421)</f>
        <v/>
      </c>
      <c r="Q421" s="23" t="n">
        <v>53.7939</v>
      </c>
      <c r="R421" s="23" t="n">
        <v>-1.7521</v>
      </c>
    </row>
    <row r="422" ht="15" customHeight="1" s="12">
      <c r="A422" s="18" t="inlineStr">
        <is>
          <t>Telde</t>
        </is>
      </c>
      <c r="B422" s="18" t="inlineStr">
        <is>
          <t>Spain</t>
        </is>
      </c>
      <c r="C422" s="19" t="n">
        <v>49687120</v>
      </c>
      <c r="D422" s="18" t="inlineStr">
        <is>
          <t>ES</t>
        </is>
      </c>
      <c r="E422" s="18" t="inlineStr">
        <is>
          <t>53</t>
        </is>
      </c>
      <c r="F422" s="20" t="n">
        <v>100015</v>
      </c>
      <c r="G422" s="18" t="n"/>
      <c r="H422" s="18" t="inlineStr">
        <is>
          <t>LPA</t>
        </is>
      </c>
      <c r="I422" s="18" t="inlineStr">
        <is>
          <t>Gran Canaria Airport</t>
        </is>
      </c>
      <c r="J422" s="21" t="n">
        <v>7.5</v>
      </c>
      <c r="K422" s="18" t="inlineStr">
        <is>
          <t>LPA</t>
        </is>
      </c>
      <c r="L422" s="18" t="inlineStr">
        <is>
          <t>100k +  pop + airport</t>
        </is>
      </c>
      <c r="M422" s="22" t="n">
        <v>0.6919999999999999</v>
      </c>
      <c r="N422" s="22" t="n">
        <v>0</v>
      </c>
      <c r="O422" s="18" t="n"/>
      <c r="P422" s="22">
        <f>IF(O422="",(About!$B$5*M422+About!$B$6*N422)/(About!$B$5+About!$B$6),About!$B$5*M422+About!$B$6*N422+About!$B$7*O422)</f>
        <v/>
      </c>
      <c r="Q422" s="23" t="n">
        <v>27.9924</v>
      </c>
      <c r="R422" s="23" t="n">
        <v>-15.4192</v>
      </c>
    </row>
    <row r="423" ht="15" customHeight="1" s="12">
      <c r="A423" s="18" t="inlineStr">
        <is>
          <t>Fortaleza</t>
        </is>
      </c>
      <c r="B423" s="18" t="inlineStr">
        <is>
          <t>Brazil</t>
        </is>
      </c>
      <c r="C423" s="19" t="n">
        <v>213421037</v>
      </c>
      <c r="D423" s="18" t="inlineStr">
        <is>
          <t>BR</t>
        </is>
      </c>
      <c r="E423" s="18" t="inlineStr">
        <is>
          <t>06</t>
        </is>
      </c>
      <c r="F423" s="20" t="n">
        <v>2400000</v>
      </c>
      <c r="G423" s="18" t="n"/>
      <c r="H423" s="18" t="inlineStr">
        <is>
          <t>FOR</t>
        </is>
      </c>
      <c r="I423" s="18" t="inlineStr">
        <is>
          <t>Pinto Martins International Airport</t>
        </is>
      </c>
      <c r="J423" s="21" t="n">
        <v>6.6</v>
      </c>
      <c r="K423" s="18" t="inlineStr">
        <is>
          <t>FOR</t>
        </is>
      </c>
      <c r="L423" s="18" t="inlineStr">
        <is>
          <t>100k +  pop + airport</t>
        </is>
      </c>
      <c r="M423" s="22" t="n">
        <v>0.6899999999999999</v>
      </c>
      <c r="N423" s="22" t="n">
        <v>0</v>
      </c>
      <c r="O423" s="18" t="n"/>
      <c r="P423" s="22">
        <f>IF(O423="",(About!$B$5*M423+About!$B$6*N423)/(About!$B$5+About!$B$6),About!$B$5*M423+About!$B$6*N423+About!$B$7*O423)</f>
        <v/>
      </c>
      <c r="Q423" s="23" t="n">
        <v>-3.7172</v>
      </c>
      <c r="R423" s="23" t="n">
        <v>-38.5431</v>
      </c>
    </row>
    <row r="424" ht="15" customHeight="1" s="12">
      <c r="A424" s="18" t="inlineStr">
        <is>
          <t>Belgrade</t>
        </is>
      </c>
      <c r="B424" s="18" t="inlineStr">
        <is>
          <t>Serbia</t>
        </is>
      </c>
      <c r="C424" s="19" t="n">
        <v>6567783</v>
      </c>
      <c r="D424" s="18" t="inlineStr">
        <is>
          <t>RS</t>
        </is>
      </c>
      <c r="E424" s="18" t="inlineStr">
        <is>
          <t>SE</t>
        </is>
      </c>
      <c r="F424" s="20" t="n">
        <v>1273651</v>
      </c>
      <c r="G424" s="18" t="inlineStr">
        <is>
          <t>Yes</t>
        </is>
      </c>
      <c r="H424" s="18" t="inlineStr">
        <is>
          <t>BEG</t>
        </is>
      </c>
      <c r="I424" s="18" t="inlineStr">
        <is>
          <t>Belgrade Nikola Tesla Airport</t>
        </is>
      </c>
      <c r="J424" s="21" t="n">
        <v>12.4</v>
      </c>
      <c r="K424" s="18" t="inlineStr">
        <is>
          <t>BEG</t>
        </is>
      </c>
      <c r="L424" s="18" t="inlineStr">
        <is>
          <t>100k +  pop + capital + airport</t>
        </is>
      </c>
      <c r="M424" s="22" t="n">
        <v>0.6899999999999999</v>
      </c>
      <c r="N424" s="22" t="n">
        <v>0</v>
      </c>
      <c r="O424" s="18" t="n"/>
      <c r="P424" s="22">
        <f>IF(O424="",(About!$B$5*M424+About!$B$6*N424)/(About!$B$5+About!$B$6),About!$B$5*M424+About!$B$6*N424+About!$B$7*O424)</f>
        <v/>
      </c>
      <c r="Q424" s="23" t="n">
        <v>44.804</v>
      </c>
      <c r="R424" s="23" t="n">
        <v>20.4651</v>
      </c>
    </row>
    <row r="425" ht="15" customHeight="1" s="12">
      <c r="A425" s="18" t="inlineStr">
        <is>
          <t>Reno</t>
        </is>
      </c>
      <c r="B425" s="18" t="inlineStr">
        <is>
          <t>United States</t>
        </is>
      </c>
      <c r="C425" s="19" t="n">
        <v>341784857</v>
      </c>
      <c r="D425" s="18" t="inlineStr">
        <is>
          <t>US</t>
        </is>
      </c>
      <c r="E425" s="18" t="inlineStr">
        <is>
          <t>NV</t>
        </is>
      </c>
      <c r="F425" s="20" t="n">
        <v>241445</v>
      </c>
      <c r="G425" s="18" t="n"/>
      <c r="H425" s="18" t="inlineStr">
        <is>
          <t>RNO</t>
        </is>
      </c>
      <c r="I425" s="18" t="inlineStr">
        <is>
          <t>Reno Tahoe International Airport</t>
        </is>
      </c>
      <c r="J425" s="21" t="n">
        <v>5.2</v>
      </c>
      <c r="K425" s="18" t="inlineStr">
        <is>
          <t>RNO</t>
        </is>
      </c>
      <c r="L425" s="18" t="inlineStr">
        <is>
          <t>100k +  pop + airport</t>
        </is>
      </c>
      <c r="M425" s="22" t="n">
        <v>0.6899999999999999</v>
      </c>
      <c r="N425" s="22" t="n">
        <v>0</v>
      </c>
      <c r="O425" s="18" t="n"/>
      <c r="P425" s="22">
        <f>IF(O425="",(About!$B$5*M425+About!$B$6*N425)/(About!$B$5+About!$B$6),About!$B$5*M425+About!$B$6*N425+About!$B$7*O425)</f>
        <v/>
      </c>
      <c r="Q425" s="23" t="n">
        <v>39.5296</v>
      </c>
      <c r="R425" s="23" t="n">
        <v>-119.8138</v>
      </c>
    </row>
    <row r="426" ht="15" customHeight="1" s="12">
      <c r="A426" s="18" t="inlineStr">
        <is>
          <t>Dos Hermanas</t>
        </is>
      </c>
      <c r="B426" s="18" t="inlineStr">
        <is>
          <t>Spain</t>
        </is>
      </c>
      <c r="C426" s="19" t="n">
        <v>49687120</v>
      </c>
      <c r="D426" s="18" t="inlineStr">
        <is>
          <t>ES</t>
        </is>
      </c>
      <c r="E426" s="18" t="inlineStr">
        <is>
          <t>51</t>
        </is>
      </c>
      <c r="F426" s="20" t="n">
        <v>122943</v>
      </c>
      <c r="G426" s="18" t="n"/>
      <c r="H426" s="18" t="inlineStr">
        <is>
          <t>SVQ</t>
        </is>
      </c>
      <c r="I426" s="18" t="inlineStr">
        <is>
          <t>Seville Airport</t>
        </is>
      </c>
      <c r="J426" s="21" t="n">
        <v>15.2</v>
      </c>
      <c r="K426" s="18" t="inlineStr">
        <is>
          <t>SVQ</t>
        </is>
      </c>
      <c r="L426" s="18" t="inlineStr">
        <is>
          <t>100k +  pop</t>
        </is>
      </c>
      <c r="M426" s="22" t="n">
        <v>0.6909999999999999</v>
      </c>
      <c r="N426" s="22" t="n">
        <v>0</v>
      </c>
      <c r="O426" s="18" t="n"/>
      <c r="P426" s="22">
        <f>IF(O426="",(About!$B$5*M426+About!$B$6*N426)/(About!$B$5+About!$B$6),About!$B$5*M426+About!$B$6*N426+About!$B$7*O426)</f>
        <v/>
      </c>
      <c r="Q426" s="23" t="n">
        <v>37.2829</v>
      </c>
      <c r="R426" s="23" t="n">
        <v>-5.9209</v>
      </c>
    </row>
    <row r="427" ht="15" customHeight="1" s="12">
      <c r="A427" s="18" t="inlineStr">
        <is>
          <t>Bern</t>
        </is>
      </c>
      <c r="B427" s="18" t="inlineStr">
        <is>
          <t>Switzerland</t>
        </is>
      </c>
      <c r="C427" s="19" t="n">
        <v>9124288</v>
      </c>
      <c r="D427" s="18" t="inlineStr">
        <is>
          <t>CH</t>
        </is>
      </c>
      <c r="E427" s="18" t="inlineStr">
        <is>
          <t>BE</t>
        </is>
      </c>
      <c r="F427" s="20" t="n">
        <v>121631</v>
      </c>
      <c r="G427" s="18" t="inlineStr">
        <is>
          <t>Yes</t>
        </is>
      </c>
      <c r="H427" s="18" t="inlineStr">
        <is>
          <t>BRN</t>
        </is>
      </c>
      <c r="I427" s="18" t="inlineStr">
        <is>
          <t>Bern Airport</t>
        </is>
      </c>
      <c r="J427" s="21" t="n">
        <v>5.5</v>
      </c>
      <c r="K427" s="18" t="inlineStr">
        <is>
          <t>BRN</t>
        </is>
      </c>
      <c r="L427" s="18" t="inlineStr">
        <is>
          <t>100k +  pop + capital + airport</t>
        </is>
      </c>
      <c r="M427" s="22" t="n">
        <v>0.6909999999999999</v>
      </c>
      <c r="N427" s="22" t="n">
        <v>0</v>
      </c>
      <c r="O427" s="18" t="n"/>
      <c r="P427" s="22">
        <f>IF(O427="",(About!$B$5*M427+About!$B$6*N427)/(About!$B$5+About!$B$6),About!$B$5*M427+About!$B$6*N427+About!$B$7*O427)</f>
        <v/>
      </c>
      <c r="Q427" s="23" t="n">
        <v>46.9481</v>
      </c>
      <c r="R427" s="23" t="n">
        <v>7.4474</v>
      </c>
    </row>
    <row r="428" ht="15" customHeight="1" s="12">
      <c r="A428" s="18" t="inlineStr">
        <is>
          <t>Marigot</t>
        </is>
      </c>
      <c r="B428" s="18" t="inlineStr">
        <is>
          <t>Saint Martin (French part)</t>
        </is>
      </c>
      <c r="C428" s="19" t="n">
        <v>31496</v>
      </c>
      <c r="D428" s="18" t="inlineStr">
        <is>
          <t>MF</t>
        </is>
      </c>
      <c r="E428" s="18" t="inlineStr">
        <is>
          <t>00</t>
        </is>
      </c>
      <c r="F428" s="20" t="n">
        <v>5700</v>
      </c>
      <c r="G428" s="18" t="inlineStr">
        <is>
          <t>Yes</t>
        </is>
      </c>
      <c r="H428" s="18" t="inlineStr">
        <is>
          <t>SXM</t>
        </is>
      </c>
      <c r="I428" s="18" t="inlineStr">
        <is>
          <t>Princess Juliana International Airport</t>
        </is>
      </c>
      <c r="J428" s="21" t="n">
        <v>4.1</v>
      </c>
      <c r="K428" s="18" t="inlineStr">
        <is>
          <t>AXA+SFG+SXM</t>
        </is>
      </c>
      <c r="L428" s="18" t="inlineStr">
        <is>
          <t>capital</t>
        </is>
      </c>
      <c r="M428" s="22" t="n">
        <v>0.6909999999999999</v>
      </c>
      <c r="N428" s="22" t="n">
        <v>0</v>
      </c>
      <c r="O428" s="18" t="n"/>
      <c r="P428" s="22">
        <f>IF(O428="",(About!$B$5*M428+About!$B$6*N428)/(About!$B$5+About!$B$6),About!$B$5*M428+About!$B$6*N428+About!$B$7*O428)</f>
        <v/>
      </c>
      <c r="Q428" s="23" t="n">
        <v>18.0682</v>
      </c>
      <c r="R428" s="23" t="n">
        <v>-63.083</v>
      </c>
    </row>
    <row r="429" ht="15" customHeight="1" s="12">
      <c r="A429" s="18" t="inlineStr">
        <is>
          <t>The Valley</t>
        </is>
      </c>
      <c r="B429" s="18" t="inlineStr">
        <is>
          <t>Anguilla</t>
        </is>
      </c>
      <c r="C429" s="19" t="n">
        <v>16010</v>
      </c>
      <c r="D429" s="18" t="inlineStr">
        <is>
          <t>AI</t>
        </is>
      </c>
      <c r="E429" s="18" t="inlineStr">
        <is>
          <t>11205396</t>
        </is>
      </c>
      <c r="F429" s="20" t="n">
        <v>2035</v>
      </c>
      <c r="G429" s="18" t="inlineStr">
        <is>
          <t>Yes</t>
        </is>
      </c>
      <c r="H429" s="18" t="inlineStr">
        <is>
          <t>SXM</t>
        </is>
      </c>
      <c r="I429" s="18" t="inlineStr">
        <is>
          <t>Princess Juliana International Airport</t>
        </is>
      </c>
      <c r="J429" s="21" t="n">
        <v>20.3</v>
      </c>
      <c r="K429" s="18" t="inlineStr">
        <is>
          <t>AXA+SFG+SXM</t>
        </is>
      </c>
      <c r="L429" s="18" t="inlineStr">
        <is>
          <t>capital</t>
        </is>
      </c>
      <c r="M429" s="22" t="n">
        <v>0.6909999999999999</v>
      </c>
      <c r="N429" s="22" t="n">
        <v>0</v>
      </c>
      <c r="O429" s="18" t="n"/>
      <c r="P429" s="22">
        <f>IF(O429="",(About!$B$5*M429+About!$B$6*N429)/(About!$B$5+About!$B$6),About!$B$5*M429+About!$B$6*N429+About!$B$7*O429)</f>
        <v/>
      </c>
      <c r="Q429" s="23" t="n">
        <v>18.217</v>
      </c>
      <c r="R429" s="23" t="n">
        <v>-63.0578</v>
      </c>
    </row>
    <row r="430" ht="15" customHeight="1" s="12">
      <c r="A430" s="18" t="inlineStr">
        <is>
          <t>Philipsburg</t>
        </is>
      </c>
      <c r="B430" s="18" t="inlineStr">
        <is>
          <t>Sint Maarten (Dutch part)</t>
        </is>
      </c>
      <c r="C430" s="19" t="n">
        <v>41349</v>
      </c>
      <c r="D430" s="18" t="inlineStr">
        <is>
          <t>SX</t>
        </is>
      </c>
      <c r="E430" s="18" t="n"/>
      <c r="F430" s="20" t="n">
        <v>1400</v>
      </c>
      <c r="G430" s="18" t="inlineStr">
        <is>
          <t>Yes</t>
        </is>
      </c>
      <c r="H430" s="18" t="inlineStr">
        <is>
          <t>SXM</t>
        </is>
      </c>
      <c r="I430" s="18" t="inlineStr">
        <is>
          <t>Princess Juliana International Airport</t>
        </is>
      </c>
      <c r="J430" s="21" t="n">
        <v>6.9</v>
      </c>
      <c r="K430" s="18" t="inlineStr">
        <is>
          <t>AXA+SFG+SXM</t>
        </is>
      </c>
      <c r="L430" s="18" t="inlineStr">
        <is>
          <t>capital</t>
        </is>
      </c>
      <c r="M430" s="22" t="n">
        <v>0.6909999999999999</v>
      </c>
      <c r="N430" s="22" t="n">
        <v>0</v>
      </c>
      <c r="O430" s="18" t="n"/>
      <c r="P430" s="22">
        <f>IF(O430="",(About!$B$5*M430+About!$B$6*N430)/(About!$B$5+About!$B$6),About!$B$5*M430+About!$B$6*N430+About!$B$7*O430)</f>
        <v/>
      </c>
      <c r="Q430" s="23" t="n">
        <v>18.026</v>
      </c>
      <c r="R430" s="23" t="n">
        <v>-63.0458</v>
      </c>
    </row>
    <row r="431" ht="15" customHeight="1" s="12">
      <c r="A431" s="18" t="inlineStr">
        <is>
          <t>Mombasa</t>
        </is>
      </c>
      <c r="B431" s="18" t="inlineStr">
        <is>
          <t>Kenya</t>
        </is>
      </c>
      <c r="C431" s="19" t="n">
        <v>53330978</v>
      </c>
      <c r="D431" s="18" t="inlineStr">
        <is>
          <t>KE</t>
        </is>
      </c>
      <c r="E431" s="18" t="inlineStr">
        <is>
          <t>37</t>
        </is>
      </c>
      <c r="F431" s="20" t="n">
        <v>799668</v>
      </c>
      <c r="G431" s="18" t="n"/>
      <c r="H431" s="18" t="inlineStr">
        <is>
          <t>MBA</t>
        </is>
      </c>
      <c r="I431" s="18" t="inlineStr">
        <is>
          <t>Moi International Airport</t>
        </is>
      </c>
      <c r="J431" s="21" t="n">
        <v>8</v>
      </c>
      <c r="K431" s="18" t="inlineStr">
        <is>
          <t>MBA</t>
        </is>
      </c>
      <c r="L431" s="18" t="inlineStr">
        <is>
          <t>100k +  pop + airport</t>
        </is>
      </c>
      <c r="M431" s="22" t="n">
        <v>0.6879999999999999</v>
      </c>
      <c r="N431" s="22" t="n">
        <v>0</v>
      </c>
      <c r="O431" s="18" t="n"/>
      <c r="P431" s="22">
        <f>IF(O431="",(About!$B$5*M431+About!$B$6*N431)/(About!$B$5+About!$B$6),About!$B$5*M431+About!$B$6*N431+About!$B$7*O431)</f>
        <v/>
      </c>
      <c r="Q431" s="23" t="n">
        <v>-4.0547</v>
      </c>
      <c r="R431" s="23" t="n">
        <v>39.6636</v>
      </c>
    </row>
    <row r="432" ht="15" customHeight="1" s="12">
      <c r="A432" s="18" t="inlineStr">
        <is>
          <t>Göteborg</t>
        </is>
      </c>
      <c r="B432" s="18" t="inlineStr">
        <is>
          <t>Sweden</t>
        </is>
      </c>
      <c r="C432" s="19" t="n">
        <v>10604616</v>
      </c>
      <c r="D432" s="18" t="inlineStr">
        <is>
          <t>SE</t>
        </is>
      </c>
      <c r="E432" s="18" t="inlineStr">
        <is>
          <t>28</t>
        </is>
      </c>
      <c r="F432" s="20" t="n">
        <v>572799</v>
      </c>
      <c r="G432" s="18" t="n"/>
      <c r="H432" s="18" t="inlineStr">
        <is>
          <t>GOT</t>
        </is>
      </c>
      <c r="I432" s="18" t="inlineStr">
        <is>
          <t>Göteborg Landvetter Airport</t>
        </is>
      </c>
      <c r="J432" s="21" t="n">
        <v>19.2</v>
      </c>
      <c r="K432" s="18" t="inlineStr">
        <is>
          <t>GOT</t>
        </is>
      </c>
      <c r="L432" s="18" t="inlineStr">
        <is>
          <t>100k +  pop + airport</t>
        </is>
      </c>
      <c r="M432" s="22" t="n">
        <v>0.6879999999999999</v>
      </c>
      <c r="N432" s="22" t="n">
        <v>0</v>
      </c>
      <c r="O432" s="18" t="n"/>
      <c r="P432" s="22">
        <f>IF(O432="",(About!$B$5*M432+About!$B$6*N432)/(About!$B$5+About!$B$6),About!$B$5*M432+About!$B$6*N432+About!$B$7*O432)</f>
        <v/>
      </c>
      <c r="Q432" s="23" t="n">
        <v>57.7072</v>
      </c>
      <c r="R432" s="23" t="n">
        <v>11.9668</v>
      </c>
    </row>
    <row r="433" ht="15" customHeight="1" s="12">
      <c r="A433" s="18" t="inlineStr">
        <is>
          <t>Yangon</t>
        </is>
      </c>
      <c r="B433" s="18" t="inlineStr">
        <is>
          <t>Myanmar</t>
        </is>
      </c>
      <c r="C433" s="19" t="n">
        <v>51375327</v>
      </c>
      <c r="D433" s="18" t="inlineStr">
        <is>
          <t>MM</t>
        </is>
      </c>
      <c r="E433" s="18" t="inlineStr">
        <is>
          <t>17</t>
        </is>
      </c>
      <c r="F433" s="20" t="n">
        <v>4477638</v>
      </c>
      <c r="G433" s="18" t="n"/>
      <c r="H433" s="18" t="inlineStr">
        <is>
          <t>RGN</t>
        </is>
      </c>
      <c r="I433" s="18" t="inlineStr">
        <is>
          <t>Yangon International Airport</t>
        </is>
      </c>
      <c r="J433" s="21" t="n">
        <v>11.6</v>
      </c>
      <c r="K433" s="18" t="inlineStr">
        <is>
          <t>RGN</t>
        </is>
      </c>
      <c r="L433" s="18" t="inlineStr">
        <is>
          <t>100k +  pop + airport</t>
        </is>
      </c>
      <c r="M433" s="22" t="n">
        <v>0.6860000000000001</v>
      </c>
      <c r="N433" s="22" t="n">
        <v>0</v>
      </c>
      <c r="O433" s="18" t="n"/>
      <c r="P433" s="22">
        <f>IF(O433="",(About!$B$5*M433+About!$B$6*N433)/(About!$B$5+About!$B$6),About!$B$5*M433+About!$B$6*N433+About!$B$7*O433)</f>
        <v/>
      </c>
      <c r="Q433" s="23" t="n">
        <v>16.8053</v>
      </c>
      <c r="R433" s="23" t="n">
        <v>96.1561</v>
      </c>
    </row>
    <row r="434" ht="15" customHeight="1" s="12">
      <c r="A434" s="18" t="inlineStr">
        <is>
          <t>Changchun</t>
        </is>
      </c>
      <c r="B434" s="18" t="inlineStr">
        <is>
          <t>China</t>
        </is>
      </c>
      <c r="C434" s="19" t="n">
        <v>1404890000</v>
      </c>
      <c r="D434" s="18" t="inlineStr">
        <is>
          <t>CN</t>
        </is>
      </c>
      <c r="E434" s="18" t="inlineStr">
        <is>
          <t>05</t>
        </is>
      </c>
      <c r="F434" s="20" t="n">
        <v>4193073</v>
      </c>
      <c r="G434" s="18" t="n"/>
      <c r="H434" s="18" t="inlineStr">
        <is>
          <t>CGQ</t>
        </is>
      </c>
      <c r="I434" s="18" t="inlineStr">
        <is>
          <t>Changchun Longjia International Airport</t>
        </is>
      </c>
      <c r="J434" s="21" t="n">
        <v>31.8</v>
      </c>
      <c r="K434" s="18" t="inlineStr">
        <is>
          <t>CGQ</t>
        </is>
      </c>
      <c r="L434" s="18" t="inlineStr">
        <is>
          <t>100k +  pop + airport</t>
        </is>
      </c>
      <c r="M434" s="22" t="n">
        <v>0.6860000000000001</v>
      </c>
      <c r="N434" s="22" t="n">
        <v>0</v>
      </c>
      <c r="O434" s="18" t="n"/>
      <c r="P434" s="22">
        <f>IF(O434="",(About!$B$5*M434+About!$B$6*N434)/(About!$B$5+About!$B$6),About!$B$5*M434+About!$B$6*N434+About!$B$7*O434)</f>
        <v/>
      </c>
      <c r="Q434" s="23" t="n">
        <v>43.88</v>
      </c>
      <c r="R434" s="23" t="n">
        <v>125.3228</v>
      </c>
    </row>
    <row r="435" ht="15" customHeight="1" s="12">
      <c r="A435" s="18" t="inlineStr">
        <is>
          <t>İzmir</t>
        </is>
      </c>
      <c r="B435" s="18" t="inlineStr">
        <is>
          <t>Türkiye</t>
        </is>
      </c>
      <c r="C435" s="19" t="n">
        <v>86092168</v>
      </c>
      <c r="D435" s="18" t="inlineStr">
        <is>
          <t>TR</t>
        </is>
      </c>
      <c r="E435" s="18" t="inlineStr">
        <is>
          <t>35</t>
        </is>
      </c>
      <c r="F435" s="20" t="n">
        <v>2500603</v>
      </c>
      <c r="G435" s="18" t="n"/>
      <c r="H435" s="18" t="inlineStr">
        <is>
          <t>ADB</t>
        </is>
      </c>
      <c r="I435" s="18" t="inlineStr">
        <is>
          <t>Adnan Menderes International Airport</t>
        </is>
      </c>
      <c r="J435" s="21" t="n">
        <v>13.5</v>
      </c>
      <c r="K435" s="18" t="inlineStr">
        <is>
          <t>ADB</t>
        </is>
      </c>
      <c r="L435" s="18" t="inlineStr">
        <is>
          <t>100k +  pop</t>
        </is>
      </c>
      <c r="M435" s="22" t="n">
        <v>0.6870000000000001</v>
      </c>
      <c r="N435" s="22" t="n">
        <v>0</v>
      </c>
      <c r="O435" s="18" t="n"/>
      <c r="P435" s="22">
        <f>IF(O435="",(About!$B$5*M435+About!$B$6*N435)/(About!$B$5+About!$B$6),About!$B$5*M435+About!$B$6*N435+About!$B$7*O435)</f>
        <v/>
      </c>
      <c r="Q435" s="23" t="n">
        <v>38.4127</v>
      </c>
      <c r="R435" s="23" t="n">
        <v>27.1384</v>
      </c>
    </row>
    <row r="436" ht="15" customHeight="1" s="12">
      <c r="A436" s="18" t="inlineStr">
        <is>
          <t>Santo Domingo</t>
        </is>
      </c>
      <c r="B436" s="18" t="inlineStr">
        <is>
          <t>Dominican Republic</t>
        </is>
      </c>
      <c r="C436" s="19" t="n">
        <v>10771504</v>
      </c>
      <c r="D436" s="18" t="inlineStr">
        <is>
          <t>DO</t>
        </is>
      </c>
      <c r="E436" s="18" t="inlineStr">
        <is>
          <t>34</t>
        </is>
      </c>
      <c r="F436" s="20" t="n">
        <v>2201941</v>
      </c>
      <c r="G436" s="18" t="inlineStr">
        <is>
          <t>Yes</t>
        </is>
      </c>
      <c r="H436" s="18" t="inlineStr">
        <is>
          <t>SDQ</t>
        </is>
      </c>
      <c r="I436" s="18" t="inlineStr">
        <is>
          <t>Las Américas International Airport</t>
        </is>
      </c>
      <c r="J436" s="21" t="n">
        <v>24</v>
      </c>
      <c r="K436" s="18" t="inlineStr">
        <is>
          <t>JBQ+SDQ</t>
        </is>
      </c>
      <c r="L436" s="18" t="inlineStr">
        <is>
          <t>100k +  pop + capital + airport</t>
        </is>
      </c>
      <c r="M436" s="22" t="n">
        <v>0.6850000000000001</v>
      </c>
      <c r="N436" s="22" t="n">
        <v>0</v>
      </c>
      <c r="O436" s="18" t="n"/>
      <c r="P436" s="22">
        <f>IF(O436="",(About!$B$5*M436+About!$B$6*N436)/(About!$B$5+About!$B$6),About!$B$5*M436+About!$B$6*N436+About!$B$7*O436)</f>
        <v/>
      </c>
      <c r="Q436" s="23" t="n">
        <v>18.4719</v>
      </c>
      <c r="R436" s="23" t="n">
        <v>-69.89230000000001</v>
      </c>
    </row>
    <row r="437" ht="15" customHeight="1" s="12">
      <c r="A437" s="18" t="inlineStr">
        <is>
          <t>Yinchuan</t>
        </is>
      </c>
      <c r="B437" s="18" t="inlineStr">
        <is>
          <t>China</t>
        </is>
      </c>
      <c r="C437" s="19" t="n">
        <v>1404890000</v>
      </c>
      <c r="D437" s="18" t="inlineStr">
        <is>
          <t>CN</t>
        </is>
      </c>
      <c r="E437" s="18" t="inlineStr">
        <is>
          <t>21</t>
        </is>
      </c>
      <c r="F437" s="20" t="n">
        <v>475101</v>
      </c>
      <c r="G437" s="18" t="n"/>
      <c r="H437" s="18" t="inlineStr">
        <is>
          <t>INC</t>
        </is>
      </c>
      <c r="I437" s="18" t="inlineStr">
        <is>
          <t>Yinchuan Hedong International Airport</t>
        </is>
      </c>
      <c r="J437" s="21" t="n">
        <v>19.3</v>
      </c>
      <c r="K437" s="18" t="inlineStr">
        <is>
          <t>INC</t>
        </is>
      </c>
      <c r="L437" s="18" t="inlineStr">
        <is>
          <t>100k +  pop + airport</t>
        </is>
      </c>
      <c r="M437" s="22" t="n">
        <v>0.6850000000000001</v>
      </c>
      <c r="N437" s="22" t="n">
        <v>0</v>
      </c>
      <c r="O437" s="18" t="n"/>
      <c r="P437" s="22">
        <f>IF(O437="",(About!$B$5*M437+About!$B$6*N437)/(About!$B$5+About!$B$6),About!$B$5*M437+About!$B$6*N437+About!$B$7*O437)</f>
        <v/>
      </c>
      <c r="Q437" s="23" t="n">
        <v>38.4681</v>
      </c>
      <c r="R437" s="23" t="n">
        <v>106.2731</v>
      </c>
    </row>
    <row r="438" ht="15" customHeight="1" s="12">
      <c r="A438" s="18" t="inlineStr">
        <is>
          <t>Karabağlar</t>
        </is>
      </c>
      <c r="B438" s="18" t="inlineStr">
        <is>
          <t>Türkiye</t>
        </is>
      </c>
      <c r="C438" s="19" t="n">
        <v>86092168</v>
      </c>
      <c r="D438" s="18" t="inlineStr">
        <is>
          <t>TR</t>
        </is>
      </c>
      <c r="E438" s="18" t="inlineStr">
        <is>
          <t>35</t>
        </is>
      </c>
      <c r="F438" s="20" t="n">
        <v>458000</v>
      </c>
      <c r="G438" s="18" t="n"/>
      <c r="H438" s="18" t="inlineStr">
        <is>
          <t>ADB</t>
        </is>
      </c>
      <c r="I438" s="18" t="inlineStr">
        <is>
          <t>Adnan Menderes International Airport</t>
        </is>
      </c>
      <c r="J438" s="21" t="n">
        <v>9.300000000000001</v>
      </c>
      <c r="K438" s="18" t="inlineStr">
        <is>
          <t>ADB</t>
        </is>
      </c>
      <c r="L438" s="18" t="inlineStr">
        <is>
          <t>100k +  pop + airport</t>
        </is>
      </c>
      <c r="M438" s="22" t="n">
        <v>0.6870000000000001</v>
      </c>
      <c r="N438" s="22" t="n">
        <v>0</v>
      </c>
      <c r="O438" s="18" t="n"/>
      <c r="P438" s="22">
        <f>IF(O438="",(About!$B$5*M438+About!$B$6*N438)/(About!$B$5+About!$B$6),About!$B$5*M438+About!$B$6*N438+About!$B$7*O438)</f>
        <v/>
      </c>
      <c r="Q438" s="23" t="n">
        <v>38.374</v>
      </c>
      <c r="R438" s="23" t="n">
        <v>27.1352</v>
      </c>
    </row>
    <row r="439" ht="15" customHeight="1" s="12">
      <c r="A439" s="18" t="inlineStr">
        <is>
          <t>Richmond</t>
        </is>
      </c>
      <c r="B439" s="18" t="inlineStr">
        <is>
          <t>United States</t>
        </is>
      </c>
      <c r="C439" s="19" t="n">
        <v>341784857</v>
      </c>
      <c r="D439" s="18" t="inlineStr">
        <is>
          <t>US</t>
        </is>
      </c>
      <c r="E439" s="18" t="inlineStr">
        <is>
          <t>VA</t>
        </is>
      </c>
      <c r="F439" s="20" t="n">
        <v>220289</v>
      </c>
      <c r="G439" s="18" t="n"/>
      <c r="H439" s="18" t="inlineStr">
        <is>
          <t>RIC</t>
        </is>
      </c>
      <c r="I439" s="18" t="inlineStr">
        <is>
          <t>Richmond International Airport</t>
        </is>
      </c>
      <c r="J439" s="21" t="n">
        <v>13.5</v>
      </c>
      <c r="K439" s="18" t="inlineStr">
        <is>
          <t>RIC</t>
        </is>
      </c>
      <c r="L439" s="18" t="inlineStr">
        <is>
          <t>100k +  pop + airport</t>
        </is>
      </c>
      <c r="M439" s="22" t="n">
        <v>0.6860000000000001</v>
      </c>
      <c r="N439" s="22" t="n">
        <v>0</v>
      </c>
      <c r="O439" s="18" t="n"/>
      <c r="P439" s="22">
        <f>IF(O439="",(About!$B$5*M439+About!$B$6*N439)/(About!$B$5+About!$B$6),About!$B$5*M439+About!$B$6*N439+About!$B$7*O439)</f>
        <v/>
      </c>
      <c r="Q439" s="23" t="n">
        <v>37.5538</v>
      </c>
      <c r="R439" s="23" t="n">
        <v>-77.4603</v>
      </c>
    </row>
    <row r="440" ht="15" customHeight="1" s="12">
      <c r="A440" s="18" t="inlineStr">
        <is>
          <t>Chiang Mai</t>
        </is>
      </c>
      <c r="B440" s="18" t="inlineStr">
        <is>
          <t>Thailand</t>
        </is>
      </c>
      <c r="C440" s="19" t="n">
        <v>65826149</v>
      </c>
      <c r="D440" s="18" t="inlineStr">
        <is>
          <t>TH</t>
        </is>
      </c>
      <c r="E440" s="18" t="inlineStr">
        <is>
          <t>02</t>
        </is>
      </c>
      <c r="F440" s="20" t="n">
        <v>200952</v>
      </c>
      <c r="G440" s="18" t="n"/>
      <c r="H440" s="18" t="inlineStr">
        <is>
          <t>CNX</t>
        </is>
      </c>
      <c r="I440" s="18" t="inlineStr">
        <is>
          <t>Chiang Mai International Airport</t>
        </is>
      </c>
      <c r="J440" s="21" t="n">
        <v>3.5</v>
      </c>
      <c r="K440" s="18" t="inlineStr">
        <is>
          <t>CNX</t>
        </is>
      </c>
      <c r="L440" s="18" t="inlineStr">
        <is>
          <t>100k +  pop + airport</t>
        </is>
      </c>
      <c r="M440" s="22" t="n">
        <v>0.6870000000000001</v>
      </c>
      <c r="N440" s="22" t="n">
        <v>0</v>
      </c>
      <c r="O440" s="18" t="n"/>
      <c r="P440" s="22">
        <f>IF(O440="",(About!$B$5*M440+About!$B$6*N440)/(About!$B$5+About!$B$6),About!$B$5*M440+About!$B$6*N440+About!$B$7*O440)</f>
        <v/>
      </c>
      <c r="Q440" s="23" t="n">
        <v>18.7904</v>
      </c>
      <c r="R440" s="23" t="n">
        <v>98.9847</v>
      </c>
    </row>
    <row r="441" ht="15" customHeight="1" s="12">
      <c r="A441" s="18" t="inlineStr">
        <is>
          <t>Boca Chica</t>
        </is>
      </c>
      <c r="B441" s="18" t="inlineStr">
        <is>
          <t>Dominican Republic</t>
        </is>
      </c>
      <c r="C441" s="19" t="n">
        <v>10771504</v>
      </c>
      <c r="D441" s="18" t="inlineStr">
        <is>
          <t>DO</t>
        </is>
      </c>
      <c r="E441" s="18" t="inlineStr">
        <is>
          <t>37</t>
        </is>
      </c>
      <c r="F441" s="20" t="n">
        <v>46300</v>
      </c>
      <c r="G441" s="18" t="n"/>
      <c r="H441" s="18" t="inlineStr">
        <is>
          <t>SDQ</t>
        </is>
      </c>
      <c r="I441" s="18" t="inlineStr">
        <is>
          <t>Las Américas International Airport</t>
        </is>
      </c>
      <c r="J441" s="21" t="n">
        <v>7.6</v>
      </c>
      <c r="K441" s="18" t="inlineStr">
        <is>
          <t>SDQ</t>
        </is>
      </c>
      <c r="L441" s="18" t="inlineStr">
        <is>
          <t>airport</t>
        </is>
      </c>
      <c r="M441" s="22" t="n">
        <v>0.6850000000000001</v>
      </c>
      <c r="N441" s="22" t="n">
        <v>0</v>
      </c>
      <c r="O441" s="18" t="n"/>
      <c r="P441" s="22">
        <f>IF(O441="",(About!$B$5*M441+About!$B$6*N441)/(About!$B$5+About!$B$6),About!$B$5*M441+About!$B$6*N441+About!$B$7*O441)</f>
        <v/>
      </c>
      <c r="Q441" s="23" t="n">
        <v>18.45</v>
      </c>
      <c r="R441" s="23" t="n">
        <v>-69.59999999999999</v>
      </c>
    </row>
    <row r="442" ht="15" customHeight="1" s="12">
      <c r="A442" s="18" t="inlineStr">
        <is>
          <t>Luanda</t>
        </is>
      </c>
      <c r="B442" s="18" t="inlineStr">
        <is>
          <t>Angola</t>
        </is>
      </c>
      <c r="C442" s="19" t="n">
        <v>38778554</v>
      </c>
      <c r="D442" s="18" t="inlineStr">
        <is>
          <t>AO</t>
        </is>
      </c>
      <c r="E442" s="18" t="inlineStr">
        <is>
          <t>20</t>
        </is>
      </c>
      <c r="F442" s="20" t="n">
        <v>2776168</v>
      </c>
      <c r="G442" s="18" t="inlineStr">
        <is>
          <t>Yes</t>
        </is>
      </c>
      <c r="H442" s="18" t="inlineStr">
        <is>
          <t>LAD</t>
        </is>
      </c>
      <c r="I442" s="18" t="inlineStr">
        <is>
          <t>Quatro de Fevereiro International Airport</t>
        </is>
      </c>
      <c r="J442" s="21" t="n">
        <v>2.4</v>
      </c>
      <c r="K442" s="18" t="inlineStr">
        <is>
          <t>LAD</t>
        </is>
      </c>
      <c r="L442" s="18" t="inlineStr">
        <is>
          <t>100k +  pop + capital + airport</t>
        </is>
      </c>
      <c r="M442" s="22" t="n">
        <v>0.6830000000000001</v>
      </c>
      <c r="N442" s="22" t="n">
        <v>0</v>
      </c>
      <c r="O442" s="18" t="n"/>
      <c r="P442" s="22">
        <f>IF(O442="",(About!$B$5*M442+About!$B$6*N442)/(About!$B$5+About!$B$6),About!$B$5*M442+About!$B$6*N442+About!$B$7*O442)</f>
        <v/>
      </c>
      <c r="Q442" s="23" t="n">
        <v>-8.8368</v>
      </c>
      <c r="R442" s="23" t="n">
        <v>13.2343</v>
      </c>
    </row>
    <row r="443" ht="15" customHeight="1" s="12">
      <c r="A443" s="18" t="inlineStr">
        <is>
          <t>San Antonio</t>
        </is>
      </c>
      <c r="B443" s="18" t="inlineStr">
        <is>
          <t>United States</t>
        </is>
      </c>
      <c r="C443" s="19" t="n">
        <v>341784857</v>
      </c>
      <c r="D443" s="18" t="inlineStr">
        <is>
          <t>US</t>
        </is>
      </c>
      <c r="E443" s="18" t="inlineStr">
        <is>
          <t>TX</t>
        </is>
      </c>
      <c r="F443" s="20" t="n">
        <v>1469845</v>
      </c>
      <c r="G443" s="18" t="n"/>
      <c r="H443" s="18" t="inlineStr">
        <is>
          <t>SAT</t>
        </is>
      </c>
      <c r="I443" s="18" t="inlineStr">
        <is>
          <t>San Antonio International Airport</t>
        </is>
      </c>
      <c r="J443" s="21" t="n">
        <v>12.4</v>
      </c>
      <c r="K443" s="18" t="inlineStr">
        <is>
          <t>SAT</t>
        </is>
      </c>
      <c r="L443" s="18" t="inlineStr">
        <is>
          <t>100k +  pop + airport</t>
        </is>
      </c>
      <c r="M443" s="22" t="n">
        <v>0.6840000000000001</v>
      </c>
      <c r="N443" s="22" t="n">
        <v>0</v>
      </c>
      <c r="O443" s="18" t="n"/>
      <c r="P443" s="22">
        <f>IF(O443="",(About!$B$5*M443+About!$B$6*N443)/(About!$B$5+About!$B$6),About!$B$5*M443+About!$B$6*N443+About!$B$7*O443)</f>
        <v/>
      </c>
      <c r="Q443" s="23" t="n">
        <v>29.4241</v>
      </c>
      <c r="R443" s="23" t="n">
        <v>-98.4936</v>
      </c>
    </row>
    <row r="444" ht="15" customHeight="1" s="12">
      <c r="A444" s="18" t="inlineStr">
        <is>
          <t>Zaragoza</t>
        </is>
      </c>
      <c r="B444" s="18" t="inlineStr">
        <is>
          <t>Spain</t>
        </is>
      </c>
      <c r="C444" s="19" t="n">
        <v>49687120</v>
      </c>
      <c r="D444" s="18" t="inlineStr">
        <is>
          <t>ES</t>
        </is>
      </c>
      <c r="E444" s="18" t="inlineStr">
        <is>
          <t>52</t>
        </is>
      </c>
      <c r="F444" s="20" t="n">
        <v>674317</v>
      </c>
      <c r="G444" s="18" t="n"/>
      <c r="H444" s="18" t="inlineStr">
        <is>
          <t>ZAZ</t>
        </is>
      </c>
      <c r="I444" s="18" t="inlineStr">
        <is>
          <t>Zaragoza Airport</t>
        </is>
      </c>
      <c r="J444" s="21" t="n">
        <v>13.7</v>
      </c>
      <c r="K444" s="18" t="inlineStr">
        <is>
          <t>ZAZ</t>
        </is>
      </c>
      <c r="L444" s="18" t="inlineStr">
        <is>
          <t>100k +  pop + airport</t>
        </is>
      </c>
      <c r="M444" s="22" t="n">
        <v>0.6840000000000001</v>
      </c>
      <c r="N444" s="22" t="n">
        <v>0</v>
      </c>
      <c r="O444" s="18" t="n"/>
      <c r="P444" s="22">
        <f>IF(O444="",(About!$B$5*M444+About!$B$6*N444)/(About!$B$5+About!$B$6),About!$B$5*M444+About!$B$6*N444+About!$B$7*O444)</f>
        <v/>
      </c>
      <c r="Q444" s="23" t="n">
        <v>41.6561</v>
      </c>
      <c r="R444" s="23" t="n">
        <v>-0.8773</v>
      </c>
    </row>
    <row r="445" ht="15" customHeight="1" s="12">
      <c r="A445" s="18" t="inlineStr">
        <is>
          <t>Tucson</t>
        </is>
      </c>
      <c r="B445" s="18" t="inlineStr">
        <is>
          <t>United States</t>
        </is>
      </c>
      <c r="C445" s="19" t="n">
        <v>341784857</v>
      </c>
      <c r="D445" s="18" t="inlineStr">
        <is>
          <t>US</t>
        </is>
      </c>
      <c r="E445" s="18" t="inlineStr">
        <is>
          <t>AZ</t>
        </is>
      </c>
      <c r="F445" s="20" t="n">
        <v>531641</v>
      </c>
      <c r="G445" s="18" t="n"/>
      <c r="H445" s="18" t="inlineStr">
        <is>
          <t>TUS</t>
        </is>
      </c>
      <c r="I445" s="18" t="inlineStr">
        <is>
          <t>Tucson International Airport</t>
        </is>
      </c>
      <c r="J445" s="21" t="n">
        <v>11.9</v>
      </c>
      <c r="K445" s="18" t="inlineStr">
        <is>
          <t>TUS</t>
        </is>
      </c>
      <c r="L445" s="18" t="inlineStr">
        <is>
          <t>100k +  pop + airport</t>
        </is>
      </c>
      <c r="M445" s="22" t="n">
        <v>0.6840000000000001</v>
      </c>
      <c r="N445" s="22" t="n">
        <v>0</v>
      </c>
      <c r="O445" s="18" t="n"/>
      <c r="P445" s="22">
        <f>IF(O445="",(About!$B$5*M445+About!$B$6*N445)/(About!$B$5+About!$B$6),About!$B$5*M445+About!$B$6*N445+About!$B$7*O445)</f>
        <v/>
      </c>
      <c r="Q445" s="23" t="n">
        <v>32.2217</v>
      </c>
      <c r="R445" s="23" t="n">
        <v>-110.9265</v>
      </c>
    </row>
    <row r="446" ht="15" customHeight="1" s="12">
      <c r="A446" s="18" t="inlineStr">
        <is>
          <t>Virginia Beach</t>
        </is>
      </c>
      <c r="B446" s="18" t="inlineStr">
        <is>
          <t>United States</t>
        </is>
      </c>
      <c r="C446" s="19" t="n">
        <v>341784857</v>
      </c>
      <c r="D446" s="18" t="inlineStr">
        <is>
          <t>US</t>
        </is>
      </c>
      <c r="E446" s="18" t="inlineStr">
        <is>
          <t>VA</t>
        </is>
      </c>
      <c r="F446" s="20" t="n">
        <v>452745</v>
      </c>
      <c r="G446" s="18" t="n"/>
      <c r="H446" s="18" t="inlineStr">
        <is>
          <t>ORF</t>
        </is>
      </c>
      <c r="I446" s="18" t="inlineStr">
        <is>
          <t>Norfolk International Airport</t>
        </is>
      </c>
      <c r="J446" s="21" t="n">
        <v>20.4</v>
      </c>
      <c r="K446" s="18" t="inlineStr">
        <is>
          <t>ORF</t>
        </is>
      </c>
      <c r="L446" s="18" t="inlineStr">
        <is>
          <t>100k +  pop</t>
        </is>
      </c>
      <c r="M446" s="22" t="n">
        <v>0.6840000000000001</v>
      </c>
      <c r="N446" s="22" t="n">
        <v>0</v>
      </c>
      <c r="O446" s="18" t="n"/>
      <c r="P446" s="22">
        <f>IF(O446="",(About!$B$5*M446+About!$B$6*N446)/(About!$B$5+About!$B$6),About!$B$5*M446+About!$B$6*N446+About!$B$7*O446)</f>
        <v/>
      </c>
      <c r="Q446" s="23" t="n">
        <v>36.8529</v>
      </c>
      <c r="R446" s="23" t="n">
        <v>-75.97799999999999</v>
      </c>
    </row>
    <row r="447" ht="15" customHeight="1" s="12">
      <c r="A447" s="18" t="inlineStr">
        <is>
          <t>Vientiane</t>
        </is>
      </c>
      <c r="B447" s="18" t="inlineStr">
        <is>
          <t>Laos</t>
        </is>
      </c>
      <c r="C447" s="19" t="n">
        <v>7647000</v>
      </c>
      <c r="D447" s="18" t="inlineStr">
        <is>
          <t>LA</t>
        </is>
      </c>
      <c r="E447" s="18" t="inlineStr">
        <is>
          <t>24</t>
        </is>
      </c>
      <c r="F447" s="20" t="n">
        <v>196731</v>
      </c>
      <c r="G447" s="18" t="inlineStr">
        <is>
          <t>Yes</t>
        </is>
      </c>
      <c r="H447" s="18" t="inlineStr">
        <is>
          <t>VTE</t>
        </is>
      </c>
      <c r="I447" s="18" t="inlineStr">
        <is>
          <t>Wattay International Airport</t>
        </is>
      </c>
      <c r="J447" s="21" t="n">
        <v>4.1</v>
      </c>
      <c r="K447" s="18" t="inlineStr">
        <is>
          <t>VTE</t>
        </is>
      </c>
      <c r="L447" s="18" t="inlineStr">
        <is>
          <t>100k +  pop + capital + airport</t>
        </is>
      </c>
      <c r="M447" s="22" t="n">
        <v>0.6840000000000001</v>
      </c>
      <c r="N447" s="22" t="n">
        <v>0</v>
      </c>
      <c r="O447" s="18" t="n"/>
      <c r="P447" s="22">
        <f>IF(O447="",(About!$B$5*M447+About!$B$6*N447)/(About!$B$5+About!$B$6),About!$B$5*M447+About!$B$6*N447+About!$B$7*O447)</f>
        <v/>
      </c>
      <c r="Q447" s="23" t="n">
        <v>17.9667</v>
      </c>
      <c r="R447" s="23" t="n">
        <v>102.6</v>
      </c>
    </row>
    <row r="448" ht="15" customHeight="1" s="12">
      <c r="A448" s="18" t="inlineStr">
        <is>
          <t>Bergamo</t>
        </is>
      </c>
      <c r="B448" s="18" t="inlineStr">
        <is>
          <t>Italy</t>
        </is>
      </c>
      <c r="C448" s="19" t="n">
        <v>58932330</v>
      </c>
      <c r="D448" s="18" t="inlineStr">
        <is>
          <t>IT</t>
        </is>
      </c>
      <c r="E448" s="18" t="inlineStr">
        <is>
          <t>09</t>
        </is>
      </c>
      <c r="F448" s="20" t="n">
        <v>160595</v>
      </c>
      <c r="G448" s="18" t="n"/>
      <c r="H448" s="18" t="inlineStr">
        <is>
          <t>BGY</t>
        </is>
      </c>
      <c r="I448" s="18" t="inlineStr">
        <is>
          <t>Il Caravaggio International Airport</t>
        </is>
      </c>
      <c r="J448" s="21" t="n">
        <v>4.4</v>
      </c>
      <c r="K448" s="18" t="inlineStr">
        <is>
          <t>BGY</t>
        </is>
      </c>
      <c r="L448" s="18" t="inlineStr">
        <is>
          <t>100k +  pop + airport</t>
        </is>
      </c>
      <c r="M448" s="22" t="n">
        <v>0.6850000000000001</v>
      </c>
      <c r="N448" s="22" t="n">
        <v>0</v>
      </c>
      <c r="O448" s="18" t="n"/>
      <c r="P448" s="22">
        <f>IF(O448="",(About!$B$5*M448+About!$B$6*N448)/(About!$B$5+About!$B$6),About!$B$5*M448+About!$B$6*N448+About!$B$7*O448)</f>
        <v/>
      </c>
      <c r="Q448" s="23" t="n">
        <v>45.696</v>
      </c>
      <c r="R448" s="23" t="n">
        <v>9.667199999999999</v>
      </c>
    </row>
    <row r="449" ht="15" customHeight="1" s="12">
      <c r="A449" s="18" t="inlineStr">
        <is>
          <t>Guayaquil</t>
        </is>
      </c>
      <c r="B449" s="18" t="inlineStr">
        <is>
          <t>Ecuador</t>
        </is>
      </c>
      <c r="C449" s="19" t="n">
        <v>18103660</v>
      </c>
      <c r="D449" s="18" t="inlineStr">
        <is>
          <t>EC</t>
        </is>
      </c>
      <c r="E449" s="18" t="inlineStr">
        <is>
          <t>10</t>
        </is>
      </c>
      <c r="F449" s="20" t="n">
        <v>1952029</v>
      </c>
      <c r="G449" s="18" t="n"/>
      <c r="H449" s="18" t="inlineStr">
        <is>
          <t>GYE</t>
        </is>
      </c>
      <c r="I449" s="18" t="inlineStr">
        <is>
          <t>José Joaquín de Olmedo International Airport</t>
        </is>
      </c>
      <c r="J449" s="21" t="n">
        <v>4.3</v>
      </c>
      <c r="K449" s="18" t="inlineStr">
        <is>
          <t>GYE</t>
        </is>
      </c>
      <c r="L449" s="18" t="inlineStr">
        <is>
          <t>100k +  pop + airport</t>
        </is>
      </c>
      <c r="M449" s="22" t="n">
        <v>0.6820000000000001</v>
      </c>
      <c r="N449" s="22" t="n">
        <v>0</v>
      </c>
      <c r="O449" s="18" t="n"/>
      <c r="P449" s="22">
        <f>IF(O449="",(About!$B$5*M449+About!$B$6*N449)/(About!$B$5+About!$B$6),About!$B$5*M449+About!$B$6*N449+About!$B$7*O449)</f>
        <v/>
      </c>
      <c r="Q449" s="23" t="n">
        <v>-2.1962</v>
      </c>
      <c r="R449" s="23" t="n">
        <v>-79.8862</v>
      </c>
    </row>
    <row r="450" ht="15" customHeight="1" s="12">
      <c r="A450" s="18" t="inlineStr">
        <is>
          <t>Nur-Sultan</t>
        </is>
      </c>
      <c r="B450" s="18" t="inlineStr">
        <is>
          <t>Kazakhstan</t>
        </is>
      </c>
      <c r="C450" s="19" t="n">
        <v>20547909</v>
      </c>
      <c r="D450" s="18" t="inlineStr">
        <is>
          <t>KZ</t>
        </is>
      </c>
      <c r="E450" s="18" t="inlineStr">
        <is>
          <t>05</t>
        </is>
      </c>
      <c r="F450" s="20" t="n">
        <v>345604</v>
      </c>
      <c r="G450" s="18" t="inlineStr">
        <is>
          <t>Yes</t>
        </is>
      </c>
      <c r="H450" s="18" t="inlineStr">
        <is>
          <t>NQZ</t>
        </is>
      </c>
      <c r="I450" s="18" t="inlineStr">
        <is>
          <t>Nursultan Nazarbayev International Airport</t>
        </is>
      </c>
      <c r="J450" s="21" t="n">
        <v>17.1</v>
      </c>
      <c r="K450" s="18" t="inlineStr">
        <is>
          <t>NQZ</t>
        </is>
      </c>
      <c r="L450" s="18" t="inlineStr">
        <is>
          <t>100k +  pop + capital</t>
        </is>
      </c>
      <c r="M450" s="22" t="n">
        <v>0.6830000000000001</v>
      </c>
      <c r="N450" s="22" t="n">
        <v>0</v>
      </c>
      <c r="O450" s="18" t="n"/>
      <c r="P450" s="22">
        <f>IF(O450="",(About!$B$5*M450+About!$B$6*N450)/(About!$B$5+About!$B$6),About!$B$5*M450+About!$B$6*N450+About!$B$7*O450)</f>
        <v/>
      </c>
      <c r="Q450" s="23" t="n">
        <v>51.1801</v>
      </c>
      <c r="R450" s="23" t="n">
        <v>71.446</v>
      </c>
    </row>
    <row r="451" ht="15" customHeight="1" s="12">
      <c r="A451" s="18" t="inlineStr">
        <is>
          <t>Quanzhou</t>
        </is>
      </c>
      <c r="B451" s="18" t="inlineStr">
        <is>
          <t>China</t>
        </is>
      </c>
      <c r="C451" s="19" t="n">
        <v>1404890000</v>
      </c>
      <c r="D451" s="18" t="inlineStr">
        <is>
          <t>CN</t>
        </is>
      </c>
      <c r="E451" s="18" t="inlineStr">
        <is>
          <t>07</t>
        </is>
      </c>
      <c r="F451" s="20" t="n">
        <v>184143</v>
      </c>
      <c r="G451" s="18" t="n"/>
      <c r="H451" s="18" t="inlineStr">
        <is>
          <t>JJN</t>
        </is>
      </c>
      <c r="I451" s="18" t="inlineStr">
        <is>
          <t>Quanzhou Jinjiang International Airport</t>
        </is>
      </c>
      <c r="J451" s="21" t="n">
        <v>13.1</v>
      </c>
      <c r="K451" s="18" t="inlineStr">
        <is>
          <t>JJN</t>
        </is>
      </c>
      <c r="L451" s="18" t="inlineStr">
        <is>
          <t>100k +  pop + airport</t>
        </is>
      </c>
      <c r="M451" s="22" t="n">
        <v>0.681</v>
      </c>
      <c r="N451" s="22" t="n">
        <v>0</v>
      </c>
      <c r="O451" s="18" t="n"/>
      <c r="P451" s="22">
        <f>IF(O451="",(About!$B$5*M451+About!$B$6*N451)/(About!$B$5+About!$B$6),About!$B$5*M451+About!$B$6*N451+About!$B$7*O451)</f>
        <v/>
      </c>
      <c r="Q451" s="23" t="n">
        <v>24.9139</v>
      </c>
      <c r="R451" s="23" t="n">
        <v>118.5858</v>
      </c>
    </row>
    <row r="452" ht="15" customHeight="1" s="12">
      <c r="A452" s="18" t="inlineStr">
        <is>
          <t>Dadonghai</t>
        </is>
      </c>
      <c r="B452" s="18" t="inlineStr">
        <is>
          <t>China</t>
        </is>
      </c>
      <c r="C452" s="19" t="n">
        <v>1404890000</v>
      </c>
      <c r="D452" s="18" t="inlineStr">
        <is>
          <t>CN</t>
        </is>
      </c>
      <c r="E452" s="18" t="inlineStr">
        <is>
          <t>31</t>
        </is>
      </c>
      <c r="F452" s="20" t="n">
        <v>2000000</v>
      </c>
      <c r="G452" s="18" t="n"/>
      <c r="H452" s="18" t="inlineStr">
        <is>
          <t>SYX</t>
        </is>
      </c>
      <c r="I452" s="18" t="inlineStr">
        <is>
          <t>Sanya Phoenix International Airport</t>
        </is>
      </c>
      <c r="J452" s="21" t="n">
        <v>13.8</v>
      </c>
      <c r="K452" s="18" t="inlineStr">
        <is>
          <t>SYX</t>
        </is>
      </c>
      <c r="L452" s="18" t="inlineStr">
        <is>
          <t>100k +  pop</t>
        </is>
      </c>
      <c r="M452" s="22" t="n">
        <v>0.68</v>
      </c>
      <c r="N452" s="22" t="n">
        <v>0</v>
      </c>
      <c r="O452" s="18" t="n"/>
      <c r="P452" s="22">
        <f>IF(O452="",(About!$B$5*M452+About!$B$6*N452)/(About!$B$5+About!$B$6),About!$B$5*M452+About!$B$6*N452+About!$B$7*O452)</f>
        <v/>
      </c>
      <c r="Q452" s="23" t="n">
        <v>18.2206</v>
      </c>
      <c r="R452" s="23" t="n">
        <v>109.5103</v>
      </c>
    </row>
    <row r="453" ht="15" customHeight="1" s="12">
      <c r="A453" s="18" t="inlineStr">
        <is>
          <t>Minsk</t>
        </is>
      </c>
      <c r="B453" s="18" t="inlineStr">
        <is>
          <t>Belarus</t>
        </is>
      </c>
      <c r="C453" s="19" t="n">
        <v>9056080</v>
      </c>
      <c r="D453" s="18" t="inlineStr">
        <is>
          <t>BY</t>
        </is>
      </c>
      <c r="E453" s="18" t="inlineStr">
        <is>
          <t>04</t>
        </is>
      </c>
      <c r="F453" s="20" t="n">
        <v>1742124</v>
      </c>
      <c r="G453" s="18" t="inlineStr">
        <is>
          <t>Yes</t>
        </is>
      </c>
      <c r="H453" s="18" t="inlineStr">
        <is>
          <t>MSQ</t>
        </is>
      </c>
      <c r="I453" s="18" t="inlineStr">
        <is>
          <t>Minsk National Airport</t>
        </is>
      </c>
      <c r="J453" s="21" t="n">
        <v>31</v>
      </c>
      <c r="K453" s="18" t="inlineStr">
        <is>
          <t>MSQ</t>
        </is>
      </c>
      <c r="L453" s="18" t="inlineStr">
        <is>
          <t>100k +  pop + capital + airport</t>
        </is>
      </c>
      <c r="M453" s="22" t="n">
        <v>0.68</v>
      </c>
      <c r="N453" s="22" t="n">
        <v>0</v>
      </c>
      <c r="O453" s="18" t="n"/>
      <c r="P453" s="22">
        <f>IF(O453="",(About!$B$5*M453+About!$B$6*N453)/(About!$B$5+About!$B$6),About!$B$5*M453+About!$B$6*N453+About!$B$7*O453)</f>
        <v/>
      </c>
      <c r="Q453" s="23" t="n">
        <v>53.9</v>
      </c>
      <c r="R453" s="23" t="n">
        <v>27.5667</v>
      </c>
    </row>
    <row r="454" ht="15" customHeight="1" s="12">
      <c r="A454" s="18" t="inlineStr">
        <is>
          <t>Albuquerque</t>
        </is>
      </c>
      <c r="B454" s="18" t="inlineStr">
        <is>
          <t>United States</t>
        </is>
      </c>
      <c r="C454" s="19" t="n">
        <v>341784857</v>
      </c>
      <c r="D454" s="18" t="inlineStr">
        <is>
          <t>US</t>
        </is>
      </c>
      <c r="E454" s="18" t="inlineStr">
        <is>
          <t>NM</t>
        </is>
      </c>
      <c r="F454" s="20" t="n">
        <v>559121</v>
      </c>
      <c r="G454" s="18" t="n"/>
      <c r="H454" s="18" t="inlineStr">
        <is>
          <t>ABQ</t>
        </is>
      </c>
      <c r="I454" s="18" t="inlineStr">
        <is>
          <t>Albuquerque International Sunport</t>
        </is>
      </c>
      <c r="J454" s="21" t="n">
        <v>6.3</v>
      </c>
      <c r="K454" s="18" t="inlineStr">
        <is>
          <t>ABQ</t>
        </is>
      </c>
      <c r="L454" s="18" t="inlineStr">
        <is>
          <t>100k +  pop + airport</t>
        </is>
      </c>
      <c r="M454" s="22" t="n">
        <v>0.68</v>
      </c>
      <c r="N454" s="22" t="n">
        <v>0</v>
      </c>
      <c r="O454" s="18" t="n"/>
      <c r="P454" s="22">
        <f>IF(O454="",(About!$B$5*M454+About!$B$6*N454)/(About!$B$5+About!$B$6),About!$B$5*M454+About!$B$6*N454+About!$B$7*O454)</f>
        <v/>
      </c>
      <c r="Q454" s="23" t="n">
        <v>35.0845</v>
      </c>
      <c r="R454" s="23" t="n">
        <v>-106.6511</v>
      </c>
    </row>
    <row r="455" ht="15" customHeight="1" s="12">
      <c r="A455" s="18" t="inlineStr">
        <is>
          <t>Gdańsk</t>
        </is>
      </c>
      <c r="B455" s="18" t="inlineStr">
        <is>
          <t>Poland</t>
        </is>
      </c>
      <c r="C455" s="19" t="n">
        <v>37281000</v>
      </c>
      <c r="D455" s="18" t="inlineStr">
        <is>
          <t>PL</t>
        </is>
      </c>
      <c r="E455" s="18" t="inlineStr">
        <is>
          <t>82</t>
        </is>
      </c>
      <c r="F455" s="20" t="n">
        <v>461865</v>
      </c>
      <c r="G455" s="18" t="n"/>
      <c r="H455" s="18" t="inlineStr">
        <is>
          <t>GDN</t>
        </is>
      </c>
      <c r="I455" s="18" t="inlineStr">
        <is>
          <t>Gdańsk Lech Wałęsa Airport</t>
        </is>
      </c>
      <c r="J455" s="21" t="n">
        <v>12.2</v>
      </c>
      <c r="K455" s="18" t="inlineStr">
        <is>
          <t>GDN</t>
        </is>
      </c>
      <c r="L455" s="18" t="inlineStr">
        <is>
          <t>100k +  pop + airport</t>
        </is>
      </c>
      <c r="M455" s="22" t="n">
        <v>0.681</v>
      </c>
      <c r="N455" s="22" t="n">
        <v>0</v>
      </c>
      <c r="O455" s="18" t="n"/>
      <c r="P455" s="22">
        <f>IF(O455="",(About!$B$5*M455+About!$B$6*N455)/(About!$B$5+About!$B$6),About!$B$5*M455+About!$B$6*N455+About!$B$7*O455)</f>
        <v/>
      </c>
      <c r="Q455" s="23" t="n">
        <v>54.3523</v>
      </c>
      <c r="R455" s="23" t="n">
        <v>18.6491</v>
      </c>
    </row>
    <row r="456" ht="15" customHeight="1" s="12">
      <c r="A456" s="18" t="inlineStr">
        <is>
          <t>Córdoba</t>
        </is>
      </c>
      <c r="B456" s="18" t="inlineStr">
        <is>
          <t>Spain</t>
        </is>
      </c>
      <c r="C456" s="19" t="n">
        <v>49687120</v>
      </c>
      <c r="D456" s="18" t="inlineStr">
        <is>
          <t>ES</t>
        </is>
      </c>
      <c r="E456" s="18" t="inlineStr">
        <is>
          <t>51</t>
        </is>
      </c>
      <c r="F456" s="20" t="n">
        <v>328428</v>
      </c>
      <c r="G456" s="18" t="n"/>
      <c r="H456" s="18" t="inlineStr">
        <is>
          <t>ODB</t>
        </is>
      </c>
      <c r="I456" s="18" t="inlineStr">
        <is>
          <t>Córdoba Airport</t>
        </is>
      </c>
      <c r="J456" s="21" t="n">
        <v>8.699999999999999</v>
      </c>
      <c r="K456" s="18" t="inlineStr">
        <is>
          <t>ODB</t>
        </is>
      </c>
      <c r="L456" s="18" t="inlineStr">
        <is>
          <t>100k +  pop + airport</t>
        </is>
      </c>
      <c r="M456" s="22" t="n">
        <v>0.679</v>
      </c>
      <c r="N456" s="22" t="n">
        <v>0</v>
      </c>
      <c r="O456" s="18" t="n"/>
      <c r="P456" s="22">
        <f>IF(O456="",(About!$B$5*M456+About!$B$6*N456)/(About!$B$5+About!$B$6),About!$B$5*M456+About!$B$6*N456+About!$B$7*O456)</f>
        <v/>
      </c>
      <c r="Q456" s="23" t="n">
        <v>37.8916</v>
      </c>
      <c r="R456" s="23" t="n">
        <v>-4.7728</v>
      </c>
    </row>
    <row r="457" ht="15" customHeight="1" s="12">
      <c r="A457" s="18" t="inlineStr">
        <is>
          <t>Catania</t>
        </is>
      </c>
      <c r="B457" s="18" t="inlineStr">
        <is>
          <t>Italy</t>
        </is>
      </c>
      <c r="C457" s="19" t="n">
        <v>58932330</v>
      </c>
      <c r="D457" s="18" t="inlineStr">
        <is>
          <t>IT</t>
        </is>
      </c>
      <c r="E457" s="18" t="inlineStr">
        <is>
          <t>15</t>
        </is>
      </c>
      <c r="F457" s="20" t="n">
        <v>336469</v>
      </c>
      <c r="G457" s="18" t="n"/>
      <c r="H457" s="18" t="inlineStr">
        <is>
          <t>CTA</t>
        </is>
      </c>
      <c r="I457" s="18" t="inlineStr">
        <is>
          <t>Catania-Fontanarossa Airport</t>
        </is>
      </c>
      <c r="J457" s="21" t="n">
        <v>2.8</v>
      </c>
      <c r="K457" s="18" t="inlineStr">
        <is>
          <t>CTA</t>
        </is>
      </c>
      <c r="L457" s="18" t="inlineStr">
        <is>
          <t>100k +  pop + airport</t>
        </is>
      </c>
      <c r="M457" s="22" t="n">
        <v>0.68</v>
      </c>
      <c r="N457" s="22" t="n">
        <v>0</v>
      </c>
      <c r="O457" s="18" t="n"/>
      <c r="P457" s="22">
        <f>IF(O457="",(About!$B$5*M457+About!$B$6*N457)/(About!$B$5+About!$B$6),About!$B$5*M457+About!$B$6*N457+About!$B$7*O457)</f>
        <v/>
      </c>
      <c r="Q457" s="23" t="n">
        <v>37.4922</v>
      </c>
      <c r="R457" s="23" t="n">
        <v>15.0704</v>
      </c>
    </row>
    <row r="458" ht="15" customHeight="1" s="12">
      <c r="A458" s="18" t="inlineStr">
        <is>
          <t>Sanya</t>
        </is>
      </c>
      <c r="B458" s="18" t="inlineStr">
        <is>
          <t>China</t>
        </is>
      </c>
      <c r="C458" s="19" t="n">
        <v>1404890000</v>
      </c>
      <c r="D458" s="18" t="inlineStr">
        <is>
          <t>CN</t>
        </is>
      </c>
      <c r="E458" s="18" t="inlineStr">
        <is>
          <t>31</t>
        </is>
      </c>
      <c r="F458" s="20" t="n">
        <v>144753</v>
      </c>
      <c r="G458" s="18" t="n"/>
      <c r="H458" s="18" t="inlineStr">
        <is>
          <t>SYX</t>
        </is>
      </c>
      <c r="I458" s="18" t="inlineStr">
        <is>
          <t>Sanya Phoenix International Airport</t>
        </is>
      </c>
      <c r="J458" s="21" t="n">
        <v>11.9</v>
      </c>
      <c r="K458" s="18" t="inlineStr">
        <is>
          <t>SYX</t>
        </is>
      </c>
      <c r="L458" s="18" t="inlineStr">
        <is>
          <t>100k +  pop</t>
        </is>
      </c>
      <c r="M458" s="22" t="n">
        <v>0.68</v>
      </c>
      <c r="N458" s="22" t="n">
        <v>0</v>
      </c>
      <c r="O458" s="18" t="n"/>
      <c r="P458" s="22">
        <f>IF(O458="",(About!$B$5*M458+About!$B$6*N458)/(About!$B$5+About!$B$6),About!$B$5*M458+About!$B$6*N458+About!$B$7*O458)</f>
        <v/>
      </c>
      <c r="Q458" s="23" t="n">
        <v>18.2431</v>
      </c>
      <c r="R458" s="23" t="n">
        <v>109.505</v>
      </c>
    </row>
    <row r="459" ht="15" customHeight="1" s="12">
      <c r="A459" s="18" t="inlineStr">
        <is>
          <t>Reykjavík</t>
        </is>
      </c>
      <c r="B459" s="18" t="inlineStr">
        <is>
          <t>Iceland</t>
        </is>
      </c>
      <c r="C459" s="19" t="n">
        <v>395050</v>
      </c>
      <c r="D459" s="18" t="inlineStr">
        <is>
          <t>IS</t>
        </is>
      </c>
      <c r="E459" s="18" t="inlineStr">
        <is>
          <t>39</t>
        </is>
      </c>
      <c r="F459" s="20" t="n">
        <v>118918</v>
      </c>
      <c r="G459" s="18" t="inlineStr">
        <is>
          <t>Yes</t>
        </is>
      </c>
      <c r="H459" s="18" t="inlineStr">
        <is>
          <t>RKV</t>
        </is>
      </c>
      <c r="I459" s="18" t="inlineStr">
        <is>
          <t>Reykjavík Domestic Airport</t>
        </is>
      </c>
      <c r="J459" s="21" t="n">
        <v>2.2</v>
      </c>
      <c r="K459" s="18" t="inlineStr">
        <is>
          <t>KEF+RKV</t>
        </is>
      </c>
      <c r="L459" s="18" t="inlineStr">
        <is>
          <t>100k +  pop + capital + airport</t>
        </is>
      </c>
      <c r="M459" s="22" t="n">
        <v>0.68</v>
      </c>
      <c r="N459" s="22" t="n">
        <v>0</v>
      </c>
      <c r="O459" s="18" t="n"/>
      <c r="P459" s="22">
        <f>IF(O459="",(About!$B$5*M459+About!$B$6*N459)/(About!$B$5+About!$B$6),About!$B$5*M459+About!$B$6*N459+About!$B$7*O459)</f>
        <v/>
      </c>
      <c r="Q459" s="23" t="n">
        <v>64.13549999999999</v>
      </c>
      <c r="R459" s="23" t="n">
        <v>-21.8954</v>
      </c>
    </row>
    <row r="460" ht="15" customHeight="1" s="12">
      <c r="A460" s="18" t="inlineStr">
        <is>
          <t>Sopot</t>
        </is>
      </c>
      <c r="B460" s="18" t="inlineStr">
        <is>
          <t>Poland</t>
        </is>
      </c>
      <c r="C460" s="19" t="n">
        <v>37281000</v>
      </c>
      <c r="D460" s="18" t="inlineStr">
        <is>
          <t>PL</t>
        </is>
      </c>
      <c r="E460" s="18" t="inlineStr">
        <is>
          <t>82</t>
        </is>
      </c>
      <c r="F460" s="20" t="n">
        <v>40142</v>
      </c>
      <c r="G460" s="18" t="n"/>
      <c r="H460" s="18" t="inlineStr">
        <is>
          <t>GDN</t>
        </is>
      </c>
      <c r="I460" s="18" t="inlineStr">
        <is>
          <t>Gdańsk Lech Wałęsa Airport</t>
        </is>
      </c>
      <c r="J460" s="21" t="n">
        <v>9.4</v>
      </c>
      <c r="K460" s="18" t="inlineStr">
        <is>
          <t>GDN</t>
        </is>
      </c>
      <c r="L460" s="18" t="inlineStr">
        <is>
          <t>airport</t>
        </is>
      </c>
      <c r="M460" s="22" t="n">
        <v>0.681</v>
      </c>
      <c r="N460" s="22" t="n">
        <v>0</v>
      </c>
      <c r="O460" s="18" t="n"/>
      <c r="P460" s="22">
        <f>IF(O460="",(About!$B$5*M460+About!$B$6*N460)/(About!$B$5+About!$B$6),About!$B$5*M460+About!$B$6*N460+About!$B$7*O460)</f>
        <v/>
      </c>
      <c r="Q460" s="23" t="n">
        <v>54.4418</v>
      </c>
      <c r="R460" s="23" t="n">
        <v>18.56</v>
      </c>
    </row>
    <row r="461" ht="15" customHeight="1" s="12">
      <c r="A461" s="18" t="inlineStr">
        <is>
          <t>Kópavogur</t>
        </is>
      </c>
      <c r="B461" s="18" t="inlineStr">
        <is>
          <t>Iceland</t>
        </is>
      </c>
      <c r="C461" s="19" t="n">
        <v>395050</v>
      </c>
      <c r="D461" s="18" t="inlineStr">
        <is>
          <t>IS</t>
        </is>
      </c>
      <c r="E461" s="18" t="inlineStr">
        <is>
          <t>39</t>
        </is>
      </c>
      <c r="F461" s="20" t="n">
        <v>31719</v>
      </c>
      <c r="G461" s="18" t="n"/>
      <c r="H461" s="18" t="inlineStr">
        <is>
          <t>RKV</t>
        </is>
      </c>
      <c r="I461" s="18" t="inlineStr">
        <is>
          <t>Reykjavík Domestic Airport</t>
        </is>
      </c>
      <c r="J461" s="21" t="n">
        <v>2.2</v>
      </c>
      <c r="K461" s="18" t="inlineStr">
        <is>
          <t>RKV</t>
        </is>
      </c>
      <c r="L461" s="18" t="inlineStr">
        <is>
          <t>airport</t>
        </is>
      </c>
      <c r="M461" s="22" t="n">
        <v>0.68</v>
      </c>
      <c r="N461" s="22" t="n">
        <v>0</v>
      </c>
      <c r="O461" s="18" t="n"/>
      <c r="P461" s="22">
        <f>IF(O461="",(About!$B$5*M461+About!$B$6*N461)/(About!$B$5+About!$B$6),About!$B$5*M461+About!$B$6*N461+About!$B$7*O461)</f>
        <v/>
      </c>
      <c r="Q461" s="23" t="n">
        <v>64.1123</v>
      </c>
      <c r="R461" s="23" t="n">
        <v>-21.913</v>
      </c>
    </row>
    <row r="462" ht="15" customHeight="1" s="12">
      <c r="A462" s="18" t="inlineStr">
        <is>
          <t>Hafnarfjörður</t>
        </is>
      </c>
      <c r="B462" s="18" t="inlineStr">
        <is>
          <t>Iceland</t>
        </is>
      </c>
      <c r="C462" s="19" t="n">
        <v>395050</v>
      </c>
      <c r="D462" s="18" t="inlineStr">
        <is>
          <t>IS</t>
        </is>
      </c>
      <c r="E462" s="18" t="inlineStr">
        <is>
          <t>39</t>
        </is>
      </c>
      <c r="F462" s="20" t="n">
        <v>26808</v>
      </c>
      <c r="G462" s="18" t="n"/>
      <c r="H462" s="18" t="inlineStr">
        <is>
          <t>RKV</t>
        </is>
      </c>
      <c r="I462" s="18" t="inlineStr">
        <is>
          <t>Reykjavík Domestic Airport</t>
        </is>
      </c>
      <c r="J462" s="21" t="n">
        <v>6.9</v>
      </c>
      <c r="K462" s="18" t="inlineStr">
        <is>
          <t>RKV</t>
        </is>
      </c>
      <c r="L462" s="18" t="inlineStr">
        <is>
          <t>airport</t>
        </is>
      </c>
      <c r="M462" s="22" t="n">
        <v>0.68</v>
      </c>
      <c r="N462" s="22" t="n">
        <v>0</v>
      </c>
      <c r="O462" s="18" t="n"/>
      <c r="P462" s="22">
        <f>IF(O462="",(About!$B$5*M462+About!$B$6*N462)/(About!$B$5+About!$B$6),About!$B$5*M462+About!$B$6*N462+About!$B$7*O462)</f>
        <v/>
      </c>
      <c r="Q462" s="23" t="n">
        <v>64.0671</v>
      </c>
      <c r="R462" s="23" t="n">
        <v>-21.9377</v>
      </c>
    </row>
    <row r="463" ht="15" customHeight="1" s="12">
      <c r="A463" s="18" t="inlineStr">
        <is>
          <t>Jaipur</t>
        </is>
      </c>
      <c r="B463" s="18" t="inlineStr">
        <is>
          <t>India</t>
        </is>
      </c>
      <c r="C463" s="19" t="n">
        <v>1417492000</v>
      </c>
      <c r="D463" s="18" t="inlineStr">
        <is>
          <t>IN</t>
        </is>
      </c>
      <c r="E463" s="18" t="inlineStr">
        <is>
          <t>24</t>
        </is>
      </c>
      <c r="F463" s="20" t="n">
        <v>2711758</v>
      </c>
      <c r="G463" s="18" t="n"/>
      <c r="H463" s="18" t="inlineStr">
        <is>
          <t>JAI</t>
        </is>
      </c>
      <c r="I463" s="18" t="inlineStr">
        <is>
          <t>Jaipur International Airport</t>
        </is>
      </c>
      <c r="J463" s="21" t="n">
        <v>10.9</v>
      </c>
      <c r="K463" s="18" t="inlineStr">
        <is>
          <t>JAI</t>
        </is>
      </c>
      <c r="L463" s="18" t="inlineStr">
        <is>
          <t>100k +  pop + airport</t>
        </is>
      </c>
      <c r="M463" s="22" t="n">
        <v>0.679</v>
      </c>
      <c r="N463" s="22" t="n">
        <v>0</v>
      </c>
      <c r="O463" s="18" t="n"/>
      <c r="P463" s="22">
        <f>IF(O463="",(About!$B$5*M463+About!$B$6*N463)/(About!$B$5+About!$B$6),About!$B$5*M463+About!$B$6*N463+About!$B$7*O463)</f>
        <v/>
      </c>
      <c r="Q463" s="23" t="n">
        <v>26.9196</v>
      </c>
      <c r="R463" s="23" t="n">
        <v>75.7878</v>
      </c>
    </row>
    <row r="464" ht="15" customHeight="1" s="12">
      <c r="A464" s="18" t="inlineStr">
        <is>
          <t>Havana</t>
        </is>
      </c>
      <c r="B464" s="18" t="inlineStr">
        <is>
          <t>Cuba</t>
        </is>
      </c>
      <c r="C464" s="19" t="n">
        <v>9748007</v>
      </c>
      <c r="D464" s="18" t="inlineStr">
        <is>
          <t>CU</t>
        </is>
      </c>
      <c r="E464" s="18" t="inlineStr">
        <is>
          <t>02</t>
        </is>
      </c>
      <c r="F464" s="20" t="n">
        <v>2163824</v>
      </c>
      <c r="G464" s="18" t="inlineStr">
        <is>
          <t>Yes</t>
        </is>
      </c>
      <c r="H464" s="18" t="inlineStr">
        <is>
          <t>HAV</t>
        </is>
      </c>
      <c r="I464" s="18" t="inlineStr">
        <is>
          <t>José Martí International Airport</t>
        </is>
      </c>
      <c r="J464" s="21" t="n">
        <v>16.2</v>
      </c>
      <c r="K464" s="18" t="inlineStr">
        <is>
          <t>HAV</t>
        </is>
      </c>
      <c r="L464" s="18" t="inlineStr">
        <is>
          <t>100k +  pop + capital + airport</t>
        </is>
      </c>
      <c r="M464" s="22" t="n">
        <v>0.678</v>
      </c>
      <c r="N464" s="22" t="n">
        <v>0</v>
      </c>
      <c r="O464" s="18" t="n"/>
      <c r="P464" s="22">
        <f>IF(O464="",(About!$B$5*M464+About!$B$6*N464)/(About!$B$5+About!$B$6),About!$B$5*M464+About!$B$6*N464+About!$B$7*O464)</f>
        <v/>
      </c>
      <c r="Q464" s="23" t="n">
        <v>23.133</v>
      </c>
      <c r="R464" s="23" t="n">
        <v>-82.383</v>
      </c>
    </row>
    <row r="465" ht="15" customHeight="1" s="12">
      <c r="A465" s="18" t="inlineStr">
        <is>
          <t>Jeju City</t>
        </is>
      </c>
      <c r="B465" s="18" t="inlineStr">
        <is>
          <t>South Korea</t>
        </is>
      </c>
      <c r="C465" s="19" t="n">
        <v>51111158</v>
      </c>
      <c r="D465" s="18" t="inlineStr">
        <is>
          <t>KR</t>
        </is>
      </c>
      <c r="E465" s="18" t="inlineStr">
        <is>
          <t>01</t>
        </is>
      </c>
      <c r="F465" s="20" t="n">
        <v>408364</v>
      </c>
      <c r="G465" s="18" t="n"/>
      <c r="H465" s="18" t="inlineStr">
        <is>
          <t>CJU</t>
        </is>
      </c>
      <c r="I465" s="18" t="inlineStr">
        <is>
          <t>Jeju International Airport</t>
        </is>
      </c>
      <c r="J465" s="21" t="n">
        <v>2.7</v>
      </c>
      <c r="K465" s="18" t="inlineStr">
        <is>
          <t>CJU</t>
        </is>
      </c>
      <c r="L465" s="18" t="inlineStr">
        <is>
          <t>100k +  pop + airport</t>
        </is>
      </c>
      <c r="M465" s="22" t="n">
        <v>0.678</v>
      </c>
      <c r="N465" s="22" t="n">
        <v>0</v>
      </c>
      <c r="O465" s="18" t="n"/>
      <c r="P465" s="22">
        <f>IF(O465="",(About!$B$5*M465+About!$B$6*N465)/(About!$B$5+About!$B$6),About!$B$5*M465+About!$B$6*N465+About!$B$7*O465)</f>
        <v/>
      </c>
      <c r="Q465" s="23" t="n">
        <v>33.5097</v>
      </c>
      <c r="R465" s="23" t="n">
        <v>126.5219</v>
      </c>
    </row>
    <row r="466" ht="15" customHeight="1" s="12">
      <c r="A466" s="18" t="inlineStr">
        <is>
          <t>Sorong</t>
        </is>
      </c>
      <c r="B466" s="18" t="inlineStr">
        <is>
          <t>Indonesia</t>
        </is>
      </c>
      <c r="C466" s="19" t="n">
        <v>288315089</v>
      </c>
      <c r="D466" s="18" t="inlineStr">
        <is>
          <t>ID</t>
        </is>
      </c>
      <c r="E466" s="18" t="inlineStr">
        <is>
          <t>39</t>
        </is>
      </c>
      <c r="F466" s="20" t="n">
        <v>125535</v>
      </c>
      <c r="G466" s="18" t="n"/>
      <c r="H466" s="18" t="inlineStr">
        <is>
          <t>SOQ</t>
        </is>
      </c>
      <c r="I466" s="18" t="inlineStr">
        <is>
          <t>Domine Eduard Osok Airport</t>
        </is>
      </c>
      <c r="J466" s="21" t="n">
        <v>3.3</v>
      </c>
      <c r="K466" s="18" t="inlineStr">
        <is>
          <t>SOQ</t>
        </is>
      </c>
      <c r="L466" s="18" t="inlineStr">
        <is>
          <t>100k +  pop + airport</t>
        </is>
      </c>
      <c r="M466" s="22" t="n">
        <v>0.677</v>
      </c>
      <c r="N466" s="22" t="n">
        <v>0</v>
      </c>
      <c r="O466" s="18" t="n"/>
      <c r="P466" s="22">
        <f>IF(O466="",(About!$B$5*M466+About!$B$6*N466)/(About!$B$5+About!$B$6),About!$B$5*M466+About!$B$6*N466+About!$B$7*O466)</f>
        <v/>
      </c>
      <c r="Q466" s="23" t="n">
        <v>-0.8796</v>
      </c>
      <c r="R466" s="23" t="n">
        <v>131.261</v>
      </c>
    </row>
    <row r="467" ht="15" customHeight="1" s="12">
      <c r="A467" s="18" t="inlineStr">
        <is>
          <t>Kinshasa</t>
        </is>
      </c>
      <c r="B467" s="18" t="inlineStr">
        <is>
          <t>DR Congo</t>
        </is>
      </c>
      <c r="C467" s="19" t="n">
        <v>112832000</v>
      </c>
      <c r="D467" s="18" t="inlineStr">
        <is>
          <t>CD</t>
        </is>
      </c>
      <c r="E467" s="18" t="inlineStr">
        <is>
          <t>06</t>
        </is>
      </c>
      <c r="F467" s="20" t="n">
        <v>7785965</v>
      </c>
      <c r="G467" s="18" t="inlineStr">
        <is>
          <t>Yes</t>
        </is>
      </c>
      <c r="H467" s="18" t="inlineStr">
        <is>
          <t>FIH</t>
        </is>
      </c>
      <c r="I467" s="18" t="inlineStr">
        <is>
          <t>Ndjili International Airport</t>
        </is>
      </c>
      <c r="J467" s="21" t="n">
        <v>15.9</v>
      </c>
      <c r="K467" s="18" t="inlineStr">
        <is>
          <t>BZV+FIH</t>
        </is>
      </c>
      <c r="L467" s="18" t="inlineStr">
        <is>
          <t>100k +  pop + capital + airport</t>
        </is>
      </c>
      <c r="M467" s="22" t="n">
        <v>0.676</v>
      </c>
      <c r="N467" s="22" t="n">
        <v>0</v>
      </c>
      <c r="O467" s="18" t="n"/>
      <c r="P467" s="22">
        <f>IF(O467="",(About!$B$5*M467+About!$B$6*N467)/(About!$B$5+About!$B$6),About!$B$5*M467+About!$B$6*N467+About!$B$7*O467)</f>
        <v/>
      </c>
      <c r="Q467" s="23" t="n">
        <v>-4.3276</v>
      </c>
      <c r="R467" s="23" t="n">
        <v>15.3136</v>
      </c>
    </row>
    <row r="468" ht="15" customHeight="1" s="12">
      <c r="A468" s="18" t="inlineStr">
        <is>
          <t>Brazzaville</t>
        </is>
      </c>
      <c r="B468" s="18" t="inlineStr">
        <is>
          <t>Congo</t>
        </is>
      </c>
      <c r="C468" s="19" t="n">
        <v>6142180</v>
      </c>
      <c r="D468" s="18" t="inlineStr">
        <is>
          <t>CG</t>
        </is>
      </c>
      <c r="E468" s="18" t="inlineStr">
        <is>
          <t>12</t>
        </is>
      </c>
      <c r="F468" s="20" t="n">
        <v>1284609</v>
      </c>
      <c r="G468" s="18" t="inlineStr">
        <is>
          <t>Yes</t>
        </is>
      </c>
      <c r="H468" s="18" t="inlineStr">
        <is>
          <t>FIH</t>
        </is>
      </c>
      <c r="I468" s="18" t="inlineStr">
        <is>
          <t>Ndjili International Airport</t>
        </is>
      </c>
      <c r="J468" s="21" t="n">
        <v>22.3</v>
      </c>
      <c r="K468" s="18" t="inlineStr">
        <is>
          <t>BZV+FIH</t>
        </is>
      </c>
      <c r="L468" s="18" t="inlineStr">
        <is>
          <t>100k +  pop + capital + airport</t>
        </is>
      </c>
      <c r="M468" s="22" t="n">
        <v>0.676</v>
      </c>
      <c r="N468" s="22" t="n">
        <v>0</v>
      </c>
      <c r="O468" s="18" t="n"/>
      <c r="P468" s="22">
        <f>IF(O468="",(About!$B$5*M468+About!$B$6*N468)/(About!$B$5+About!$B$6),About!$B$5*M468+About!$B$6*N468+About!$B$7*O468)</f>
        <v/>
      </c>
      <c r="Q468" s="23" t="n">
        <v>-4.2661</v>
      </c>
      <c r="R468" s="23" t="n">
        <v>15.2832</v>
      </c>
    </row>
    <row r="469" ht="15" customHeight="1" s="12">
      <c r="A469" s="18" t="inlineStr">
        <is>
          <t>Masina</t>
        </is>
      </c>
      <c r="B469" s="18" t="inlineStr">
        <is>
          <t>DR Congo</t>
        </is>
      </c>
      <c r="C469" s="19" t="n">
        <v>112832000</v>
      </c>
      <c r="D469" s="18" t="inlineStr">
        <is>
          <t>CD</t>
        </is>
      </c>
      <c r="E469" s="18" t="inlineStr">
        <is>
          <t>06</t>
        </is>
      </c>
      <c r="F469" s="20" t="n">
        <v>485167</v>
      </c>
      <c r="G469" s="18" t="n"/>
      <c r="H469" s="18" t="inlineStr">
        <is>
          <t>FIH</t>
        </is>
      </c>
      <c r="I469" s="18" t="inlineStr">
        <is>
          <t>Ndjili International Airport</t>
        </is>
      </c>
      <c r="J469" s="21" t="n">
        <v>5.9</v>
      </c>
      <c r="K469" s="18" t="inlineStr">
        <is>
          <t>BZV+FIH</t>
        </is>
      </c>
      <c r="L469" s="18" t="inlineStr">
        <is>
          <t>100k +  pop + airport</t>
        </is>
      </c>
      <c r="M469" s="22" t="n">
        <v>0.676</v>
      </c>
      <c r="N469" s="22" t="n">
        <v>0</v>
      </c>
      <c r="O469" s="18" t="n"/>
      <c r="P469" s="22">
        <f>IF(O469="",(About!$B$5*M469+About!$B$6*N469)/(About!$B$5+About!$B$6),About!$B$5*M469+About!$B$6*N469+About!$B$7*O469)</f>
        <v/>
      </c>
      <c r="Q469" s="23" t="n">
        <v>-4.3836</v>
      </c>
      <c r="R469" s="23" t="n">
        <v>15.3914</v>
      </c>
    </row>
    <row r="470" ht="15" customHeight="1" s="12">
      <c r="A470" s="18" t="inlineStr">
        <is>
          <t>Angeles City</t>
        </is>
      </c>
      <c r="B470" s="18" t="inlineStr">
        <is>
          <t>Philippines</t>
        </is>
      </c>
      <c r="C470" s="19" t="n">
        <v>114123600</v>
      </c>
      <c r="D470" s="18" t="inlineStr">
        <is>
          <t>PH</t>
        </is>
      </c>
      <c r="E470" s="18" t="inlineStr">
        <is>
          <t>03</t>
        </is>
      </c>
      <c r="F470" s="20" t="n">
        <v>299391</v>
      </c>
      <c r="G470" s="18" t="n"/>
      <c r="H470" s="18" t="inlineStr">
        <is>
          <t>CRK</t>
        </is>
      </c>
      <c r="I470" s="18" t="inlineStr">
        <is>
          <t>Clark International Airport / Clark Air Base</t>
        </is>
      </c>
      <c r="J470" s="21" t="n">
        <v>4.7</v>
      </c>
      <c r="K470" s="18" t="inlineStr">
        <is>
          <t>CRK</t>
        </is>
      </c>
      <c r="L470" s="18" t="inlineStr">
        <is>
          <t>100k +  pop + airport</t>
        </is>
      </c>
      <c r="M470" s="22" t="n">
        <v>0.676</v>
      </c>
      <c r="N470" s="22" t="n">
        <v>0</v>
      </c>
      <c r="O470" s="18" t="n"/>
      <c r="P470" s="22">
        <f>IF(O470="",(About!$B$5*M470+About!$B$6*N470)/(About!$B$5+About!$B$6),About!$B$5*M470+About!$B$6*N470+About!$B$7*O470)</f>
        <v/>
      </c>
      <c r="Q470" s="23" t="n">
        <v>15.15</v>
      </c>
      <c r="R470" s="23" t="n">
        <v>120.5833</v>
      </c>
    </row>
    <row r="471" ht="15" customHeight="1" s="12">
      <c r="A471" s="18" t="inlineStr">
        <is>
          <t>Santol</t>
        </is>
      </c>
      <c r="B471" s="18" t="inlineStr">
        <is>
          <t>Philippines</t>
        </is>
      </c>
      <c r="C471" s="19" t="n">
        <v>114123600</v>
      </c>
      <c r="D471" s="18" t="inlineStr">
        <is>
          <t>PH</t>
        </is>
      </c>
      <c r="E471" s="18" t="inlineStr">
        <is>
          <t>03</t>
        </is>
      </c>
      <c r="F471" s="20" t="n">
        <v>298976</v>
      </c>
      <c r="G471" s="18" t="n"/>
      <c r="H471" s="18" t="inlineStr">
        <is>
          <t>CRK</t>
        </is>
      </c>
      <c r="I471" s="18" t="inlineStr">
        <is>
          <t>Clark International Airport / Clark Air Base</t>
        </is>
      </c>
      <c r="J471" s="21" t="n">
        <v>2.8</v>
      </c>
      <c r="K471" s="18" t="inlineStr">
        <is>
          <t>CRK</t>
        </is>
      </c>
      <c r="L471" s="18" t="inlineStr">
        <is>
          <t>100k +  pop + airport</t>
        </is>
      </c>
      <c r="M471" s="22" t="n">
        <v>0.676</v>
      </c>
      <c r="N471" s="22" t="n">
        <v>0</v>
      </c>
      <c r="O471" s="18" t="n"/>
      <c r="P471" s="22">
        <f>IF(O471="",(About!$B$5*M471+About!$B$6*N471)/(About!$B$5+About!$B$6),About!$B$5*M471+About!$B$6*N471+About!$B$7*O471)</f>
        <v/>
      </c>
      <c r="Q471" s="23" t="n">
        <v>15.1622</v>
      </c>
      <c r="R471" s="23" t="n">
        <v>120.5675</v>
      </c>
    </row>
    <row r="472" ht="15" customHeight="1" s="12">
      <c r="A472" s="18" t="inlineStr">
        <is>
          <t>San Fernando</t>
        </is>
      </c>
      <c r="B472" s="18" t="inlineStr">
        <is>
          <t>Philippines</t>
        </is>
      </c>
      <c r="C472" s="19" t="n">
        <v>114123600</v>
      </c>
      <c r="D472" s="18" t="inlineStr">
        <is>
          <t>PH</t>
        </is>
      </c>
      <c r="E472" s="18" t="inlineStr">
        <is>
          <t>03</t>
        </is>
      </c>
      <c r="F472" s="20" t="n">
        <v>251248</v>
      </c>
      <c r="G472" s="18" t="n"/>
      <c r="H472" s="18" t="inlineStr">
        <is>
          <t>CRK</t>
        </is>
      </c>
      <c r="I472" s="18" t="inlineStr">
        <is>
          <t>Clark International Airport / Clark Air Base</t>
        </is>
      </c>
      <c r="J472" s="21" t="n">
        <v>21.5</v>
      </c>
      <c r="K472" s="18" t="inlineStr">
        <is>
          <t>CRK</t>
        </is>
      </c>
      <c r="L472" s="18" t="inlineStr">
        <is>
          <t>100k +  pop</t>
        </is>
      </c>
      <c r="M472" s="22" t="n">
        <v>0.676</v>
      </c>
      <c r="N472" s="22" t="n">
        <v>0</v>
      </c>
      <c r="O472" s="18" t="n"/>
      <c r="P472" s="22">
        <f>IF(O472="",(About!$B$5*M472+About!$B$6*N472)/(About!$B$5+About!$B$6),About!$B$5*M472+About!$B$6*N472+About!$B$7*O472)</f>
        <v/>
      </c>
      <c r="Q472" s="23" t="n">
        <v>15.0343</v>
      </c>
      <c r="R472" s="23" t="n">
        <v>120.6844</v>
      </c>
    </row>
    <row r="473" ht="15" customHeight="1" s="12">
      <c r="A473" s="18" t="inlineStr">
        <is>
          <t>Mabalacat City</t>
        </is>
      </c>
      <c r="B473" s="18" t="inlineStr">
        <is>
          <t>Philippines</t>
        </is>
      </c>
      <c r="C473" s="19" t="n">
        <v>114123600</v>
      </c>
      <c r="D473" s="18" t="inlineStr">
        <is>
          <t>PH</t>
        </is>
      </c>
      <c r="E473" s="18" t="inlineStr">
        <is>
          <t>03</t>
        </is>
      </c>
      <c r="F473" s="20" t="n">
        <v>188050</v>
      </c>
      <c r="G473" s="18" t="n"/>
      <c r="H473" s="18" t="inlineStr">
        <is>
          <t>CRK</t>
        </is>
      </c>
      <c r="I473" s="18" t="inlineStr">
        <is>
          <t>Clark International Airport / Clark Air Base</t>
        </is>
      </c>
      <c r="J473" s="21" t="n">
        <v>4.3</v>
      </c>
      <c r="K473" s="18" t="inlineStr">
        <is>
          <t>CRK</t>
        </is>
      </c>
      <c r="L473" s="18" t="inlineStr">
        <is>
          <t>100k +  pop + airport</t>
        </is>
      </c>
      <c r="M473" s="22" t="n">
        <v>0.676</v>
      </c>
      <c r="N473" s="22" t="n">
        <v>0</v>
      </c>
      <c r="O473" s="18" t="n"/>
      <c r="P473" s="22">
        <f>IF(O473="",(About!$B$5*M473+About!$B$6*N473)/(About!$B$5+About!$B$6),About!$B$5*M473+About!$B$6*N473+About!$B$7*O473)</f>
        <v/>
      </c>
      <c r="Q473" s="23" t="n">
        <v>15.223</v>
      </c>
      <c r="R473" s="23" t="n">
        <v>120.5712</v>
      </c>
    </row>
    <row r="474" ht="15" customHeight="1" s="12">
      <c r="A474" s="18" t="inlineStr">
        <is>
          <t>Bulaon</t>
        </is>
      </c>
      <c r="B474" s="18" t="inlineStr">
        <is>
          <t>Philippines</t>
        </is>
      </c>
      <c r="C474" s="19" t="n">
        <v>114123600</v>
      </c>
      <c r="D474" s="18" t="inlineStr">
        <is>
          <t>PH</t>
        </is>
      </c>
      <c r="E474" s="18" t="inlineStr">
        <is>
          <t>03</t>
        </is>
      </c>
      <c r="F474" s="20" t="n">
        <v>131818</v>
      </c>
      <c r="G474" s="18" t="n"/>
      <c r="H474" s="18" t="inlineStr">
        <is>
          <t>CRK</t>
        </is>
      </c>
      <c r="I474" s="18" t="inlineStr">
        <is>
          <t>Clark International Airport / Clark Air Base</t>
        </is>
      </c>
      <c r="J474" s="21" t="n">
        <v>15.9</v>
      </c>
      <c r="K474" s="18" t="inlineStr">
        <is>
          <t>CRK</t>
        </is>
      </c>
      <c r="L474" s="18" t="inlineStr">
        <is>
          <t>100k +  pop</t>
        </is>
      </c>
      <c r="M474" s="22" t="n">
        <v>0.676</v>
      </c>
      <c r="N474" s="22" t="n">
        <v>0</v>
      </c>
      <c r="O474" s="18" t="n"/>
      <c r="P474" s="22">
        <f>IF(O474="",(About!$B$5*M474+About!$B$6*N474)/(About!$B$5+About!$B$6),About!$B$5*M474+About!$B$6*N474+About!$B$7*O474)</f>
        <v/>
      </c>
      <c r="Q474" s="23" t="n">
        <v>15.0826</v>
      </c>
      <c r="R474" s="23" t="n">
        <v>120.6629</v>
      </c>
    </row>
    <row r="475" ht="15" customHeight="1" s="12">
      <c r="A475" s="18" t="inlineStr">
        <is>
          <t>Victoria</t>
        </is>
      </c>
      <c r="B475" s="18" t="inlineStr">
        <is>
          <t>Seychelles</t>
        </is>
      </c>
      <c r="C475" s="19" t="n">
        <v>123097</v>
      </c>
      <c r="D475" s="18" t="inlineStr">
        <is>
          <t>SC</t>
        </is>
      </c>
      <c r="E475" s="18" t="inlineStr">
        <is>
          <t>26</t>
        </is>
      </c>
      <c r="F475" s="20" t="n">
        <v>22881</v>
      </c>
      <c r="G475" s="18" t="inlineStr">
        <is>
          <t>Yes</t>
        </is>
      </c>
      <c r="H475" s="18" t="inlineStr">
        <is>
          <t>SEZ</t>
        </is>
      </c>
      <c r="I475" s="18" t="inlineStr">
        <is>
          <t>Seychelles International Airport</t>
        </is>
      </c>
      <c r="J475" s="21" t="n">
        <v>9.6</v>
      </c>
      <c r="K475" s="18" t="inlineStr">
        <is>
          <t>SEZ</t>
        </is>
      </c>
      <c r="L475" s="18" t="inlineStr">
        <is>
          <t>capital + airport</t>
        </is>
      </c>
      <c r="M475" s="22" t="n">
        <v>0.676</v>
      </c>
      <c r="N475" s="22" t="n">
        <v>0</v>
      </c>
      <c r="O475" s="18" t="n"/>
      <c r="P475" s="22">
        <f>IF(O475="",(About!$B$5*M475+About!$B$6*N475)/(About!$B$5+About!$B$6),About!$B$5*M475+About!$B$6*N475+About!$B$7*O475)</f>
        <v/>
      </c>
      <c r="Q475" s="23" t="n">
        <v>-4.62</v>
      </c>
      <c r="R475" s="23" t="n">
        <v>55.455</v>
      </c>
    </row>
    <row r="476" ht="15" customHeight="1" s="12">
      <c r="A476" s="18" t="inlineStr">
        <is>
          <t>Sofia</t>
        </is>
      </c>
      <c r="B476" s="18" t="inlineStr">
        <is>
          <t>Bulgaria</t>
        </is>
      </c>
      <c r="C476" s="19" t="n">
        <v>6423207</v>
      </c>
      <c r="D476" s="18" t="inlineStr">
        <is>
          <t>BG</t>
        </is>
      </c>
      <c r="E476" s="18" t="inlineStr">
        <is>
          <t>42</t>
        </is>
      </c>
      <c r="F476" s="20" t="n">
        <v>1152556</v>
      </c>
      <c r="G476" s="18" t="inlineStr">
        <is>
          <t>Yes</t>
        </is>
      </c>
      <c r="H476" s="18" t="inlineStr">
        <is>
          <t>SOF</t>
        </is>
      </c>
      <c r="I476" s="18" t="inlineStr">
        <is>
          <t>Sofia Airport</t>
        </is>
      </c>
      <c r="J476" s="21" t="n">
        <v>7.6</v>
      </c>
      <c r="K476" s="18" t="inlineStr">
        <is>
          <t>SOF</t>
        </is>
      </c>
      <c r="L476" s="18" t="inlineStr">
        <is>
          <t>100k +  pop + capital + airport</t>
        </is>
      </c>
      <c r="M476" s="22" t="n">
        <v>0.674</v>
      </c>
      <c r="N476" s="22" t="n">
        <v>0</v>
      </c>
      <c r="O476" s="18" t="n"/>
      <c r="P476" s="22">
        <f>IF(O476="",(About!$B$5*M476+About!$B$6*N476)/(About!$B$5+About!$B$6),About!$B$5*M476+About!$B$6*N476+About!$B$7*O476)</f>
        <v/>
      </c>
      <c r="Q476" s="23" t="n">
        <v>42.6975</v>
      </c>
      <c r="R476" s="23" t="n">
        <v>23.3241</v>
      </c>
    </row>
    <row r="477" ht="15" customHeight="1" s="12">
      <c r="A477" s="18" t="inlineStr">
        <is>
          <t>Turin</t>
        </is>
      </c>
      <c r="B477" s="18" t="inlineStr">
        <is>
          <t>Italy</t>
        </is>
      </c>
      <c r="C477" s="19" t="n">
        <v>58932330</v>
      </c>
      <c r="D477" s="18" t="inlineStr">
        <is>
          <t>IT</t>
        </is>
      </c>
      <c r="E477" s="18" t="inlineStr">
        <is>
          <t>12</t>
        </is>
      </c>
      <c r="F477" s="20" t="n">
        <v>903987</v>
      </c>
      <c r="G477" s="18" t="n"/>
      <c r="H477" s="18" t="inlineStr">
        <is>
          <t>TRN</t>
        </is>
      </c>
      <c r="I477" s="18" t="inlineStr">
        <is>
          <t>Turin Airport</t>
        </is>
      </c>
      <c r="J477" s="21" t="n">
        <v>14.8</v>
      </c>
      <c r="K477" s="18" t="inlineStr">
        <is>
          <t>TRN</t>
        </is>
      </c>
      <c r="L477" s="18" t="inlineStr">
        <is>
          <t>100k +  pop</t>
        </is>
      </c>
      <c r="M477" s="22" t="n">
        <v>0.675</v>
      </c>
      <c r="N477" s="22" t="n">
        <v>0</v>
      </c>
      <c r="O477" s="18" t="n"/>
      <c r="P477" s="22">
        <f>IF(O477="",(About!$B$5*M477+About!$B$6*N477)/(About!$B$5+About!$B$6),About!$B$5*M477+About!$B$6*N477+About!$B$7*O477)</f>
        <v/>
      </c>
      <c r="Q477" s="23" t="n">
        <v>45.0705</v>
      </c>
      <c r="R477" s="23" t="n">
        <v>7.6868</v>
      </c>
    </row>
    <row r="478" ht="15" customHeight="1" s="12">
      <c r="A478" s="18" t="inlineStr">
        <is>
          <t>Yantai</t>
        </is>
      </c>
      <c r="B478" s="18" t="inlineStr">
        <is>
          <t>China</t>
        </is>
      </c>
      <c r="C478" s="19" t="n">
        <v>1404890000</v>
      </c>
      <c r="D478" s="18" t="inlineStr">
        <is>
          <t>CN</t>
        </is>
      </c>
      <c r="E478" s="18" t="inlineStr">
        <is>
          <t>25</t>
        </is>
      </c>
      <c r="F478" s="20" t="n">
        <v>719332</v>
      </c>
      <c r="G478" s="18" t="n"/>
      <c r="H478" s="18" t="inlineStr">
        <is>
          <t>YNT</t>
        </is>
      </c>
      <c r="I478" s="18" t="inlineStr">
        <is>
          <t>Yantai Penglai International Airport</t>
        </is>
      </c>
      <c r="J478" s="21" t="n">
        <v>45.6</v>
      </c>
      <c r="K478" s="18" t="inlineStr">
        <is>
          <t>YNT</t>
        </is>
      </c>
      <c r="L478" s="18" t="inlineStr">
        <is>
          <t>100k +  pop + airport</t>
        </is>
      </c>
      <c r="M478" s="22" t="n">
        <v>0.675</v>
      </c>
      <c r="N478" s="22" t="n">
        <v>0</v>
      </c>
      <c r="O478" s="18" t="n"/>
      <c r="P478" s="22">
        <f>IF(O478="",(About!$B$5*M478+About!$B$6*N478)/(About!$B$5+About!$B$6),About!$B$5*M478+About!$B$6*N478+About!$B$7*O478)</f>
        <v/>
      </c>
      <c r="Q478" s="23" t="n">
        <v>37.4765</v>
      </c>
      <c r="R478" s="23" t="n">
        <v>121.4408</v>
      </c>
    </row>
    <row r="479" ht="15" customHeight="1" s="12">
      <c r="A479" s="18" t="inlineStr">
        <is>
          <t>Providence</t>
        </is>
      </c>
      <c r="B479" s="18" t="inlineStr">
        <is>
          <t>United States</t>
        </is>
      </c>
      <c r="C479" s="19" t="n">
        <v>341784857</v>
      </c>
      <c r="D479" s="18" t="inlineStr">
        <is>
          <t>US</t>
        </is>
      </c>
      <c r="E479" s="18" t="inlineStr">
        <is>
          <t>RI</t>
        </is>
      </c>
      <c r="F479" s="20" t="n">
        <v>179207</v>
      </c>
      <c r="G479" s="18" t="n"/>
      <c r="H479" s="18" t="inlineStr">
        <is>
          <t>PVD</t>
        </is>
      </c>
      <c r="I479" s="18" t="inlineStr">
        <is>
          <t>Rhode Island T. F. Green International Airport</t>
        </is>
      </c>
      <c r="J479" s="21" t="n">
        <v>11.1</v>
      </c>
      <c r="K479" s="18" t="inlineStr">
        <is>
          <t>PVD</t>
        </is>
      </c>
      <c r="L479" s="18" t="inlineStr">
        <is>
          <t>100k +  pop</t>
        </is>
      </c>
      <c r="M479" s="22" t="n">
        <v>0.674</v>
      </c>
      <c r="N479" s="22" t="n">
        <v>0</v>
      </c>
      <c r="O479" s="18" t="n"/>
      <c r="P479" s="22">
        <f>IF(O479="",(About!$B$5*M479+About!$B$6*N479)/(About!$B$5+About!$B$6),About!$B$5*M479+About!$B$6*N479+About!$B$7*O479)</f>
        <v/>
      </c>
      <c r="Q479" s="23" t="n">
        <v>41.824</v>
      </c>
      <c r="R479" s="23" t="n">
        <v>-71.4128</v>
      </c>
    </row>
    <row r="480" ht="15" customHeight="1" s="12">
      <c r="A480" s="18" t="inlineStr">
        <is>
          <t>Shijiazhuang</t>
        </is>
      </c>
      <c r="B480" s="18" t="inlineStr">
        <is>
          <t>China</t>
        </is>
      </c>
      <c r="C480" s="19" t="n">
        <v>1404890000</v>
      </c>
      <c r="D480" s="18" t="inlineStr">
        <is>
          <t>CN</t>
        </is>
      </c>
      <c r="E480" s="18" t="inlineStr">
        <is>
          <t>10</t>
        </is>
      </c>
      <c r="F480" s="20" t="n">
        <v>2834942</v>
      </c>
      <c r="G480" s="18" t="n"/>
      <c r="H480" s="18" t="inlineStr">
        <is>
          <t>SJW</t>
        </is>
      </c>
      <c r="I480" s="18" t="inlineStr">
        <is>
          <t>Shijiazhuang Zhengding International Airport</t>
        </is>
      </c>
      <c r="J480" s="21" t="n">
        <v>32.8</v>
      </c>
      <c r="K480" s="18" t="inlineStr">
        <is>
          <t>SJW</t>
        </is>
      </c>
      <c r="L480" s="18" t="inlineStr">
        <is>
          <t>100k +  pop + airport</t>
        </is>
      </c>
      <c r="M480" s="22" t="n">
        <v>0.672</v>
      </c>
      <c r="N480" s="22" t="n">
        <v>0</v>
      </c>
      <c r="O480" s="18" t="n"/>
      <c r="P480" s="22">
        <f>IF(O480="",(About!$B$5*M480+About!$B$6*N480)/(About!$B$5+About!$B$6),About!$B$5*M480+About!$B$6*N480+About!$B$7*O480)</f>
        <v/>
      </c>
      <c r="Q480" s="23" t="n">
        <v>38.0414</v>
      </c>
      <c r="R480" s="23" t="n">
        <v>114.4786</v>
      </c>
    </row>
    <row r="481" ht="15" customHeight="1" s="12">
      <c r="A481" s="18" t="inlineStr">
        <is>
          <t>Memphis</t>
        </is>
      </c>
      <c r="B481" s="18" t="inlineStr">
        <is>
          <t>United States</t>
        </is>
      </c>
      <c r="C481" s="19" t="n">
        <v>341784857</v>
      </c>
      <c r="D481" s="18" t="inlineStr">
        <is>
          <t>US</t>
        </is>
      </c>
      <c r="E481" s="18" t="inlineStr">
        <is>
          <t>TN</t>
        </is>
      </c>
      <c r="F481" s="20" t="n">
        <v>655770</v>
      </c>
      <c r="G481" s="18" t="n"/>
      <c r="H481" s="18" t="inlineStr">
        <is>
          <t>MEM</t>
        </is>
      </c>
      <c r="I481" s="18" t="inlineStr">
        <is>
          <t>Memphis International Airport</t>
        </is>
      </c>
      <c r="J481" s="21" t="n">
        <v>13.5</v>
      </c>
      <c r="K481" s="18" t="inlineStr">
        <is>
          <t>MEM</t>
        </is>
      </c>
      <c r="L481" s="18" t="inlineStr">
        <is>
          <t>100k +  pop + airport</t>
        </is>
      </c>
      <c r="M481" s="22" t="n">
        <v>0.672</v>
      </c>
      <c r="N481" s="22" t="n">
        <v>0</v>
      </c>
      <c r="O481" s="18" t="n"/>
      <c r="P481" s="22">
        <f>IF(O481="",(About!$B$5*M481+About!$B$6*N481)/(About!$B$5+About!$B$6),About!$B$5*M481+About!$B$6*N481+About!$B$7*O481)</f>
        <v/>
      </c>
      <c r="Q481" s="23" t="n">
        <v>35.1495</v>
      </c>
      <c r="R481" s="23" t="n">
        <v>-90.04900000000001</v>
      </c>
    </row>
    <row r="482" ht="15" customHeight="1" s="12">
      <c r="A482" s="18" t="inlineStr">
        <is>
          <t>Leipzig</t>
        </is>
      </c>
      <c r="B482" s="18" t="inlineStr">
        <is>
          <t>Germany</t>
        </is>
      </c>
      <c r="C482" s="19" t="n">
        <v>83497147</v>
      </c>
      <c r="D482" s="18" t="inlineStr">
        <is>
          <t>DE</t>
        </is>
      </c>
      <c r="E482" s="18" t="inlineStr">
        <is>
          <t>13</t>
        </is>
      </c>
      <c r="F482" s="20" t="n">
        <v>504971</v>
      </c>
      <c r="G482" s="18" t="n"/>
      <c r="H482" s="18" t="inlineStr">
        <is>
          <t>LEJ</t>
        </is>
      </c>
      <c r="I482" s="18" t="inlineStr">
        <is>
          <t>Leipzig/Halle Airport</t>
        </is>
      </c>
      <c r="J482" s="21" t="n">
        <v>13.2</v>
      </c>
      <c r="K482" s="18" t="inlineStr">
        <is>
          <t>LEJ</t>
        </is>
      </c>
      <c r="L482" s="18" t="inlineStr">
        <is>
          <t>100k +  pop</t>
        </is>
      </c>
      <c r="M482" s="22" t="n">
        <v>0.672</v>
      </c>
      <c r="N482" s="22" t="n">
        <v>0</v>
      </c>
      <c r="O482" s="18" t="n"/>
      <c r="P482" s="22">
        <f>IF(O482="",(About!$B$5*M482+About!$B$6*N482)/(About!$B$5+About!$B$6),About!$B$5*M482+About!$B$6*N482+About!$B$7*O482)</f>
        <v/>
      </c>
      <c r="Q482" s="23" t="n">
        <v>51.3396</v>
      </c>
      <c r="R482" s="23" t="n">
        <v>12.3713</v>
      </c>
    </row>
    <row r="483" ht="15" customHeight="1" s="12">
      <c r="A483" s="18" t="inlineStr">
        <is>
          <t>Dresden</t>
        </is>
      </c>
      <c r="B483" s="18" t="inlineStr">
        <is>
          <t>Germany</t>
        </is>
      </c>
      <c r="C483" s="19" t="n">
        <v>83497147</v>
      </c>
      <c r="D483" s="18" t="inlineStr">
        <is>
          <t>DE</t>
        </is>
      </c>
      <c r="E483" s="18" t="inlineStr">
        <is>
          <t>13</t>
        </is>
      </c>
      <c r="F483" s="20" t="n">
        <v>486854</v>
      </c>
      <c r="G483" s="18" t="n"/>
      <c r="H483" s="18" t="inlineStr">
        <is>
          <t>DRS</t>
        </is>
      </c>
      <c r="I483" s="18" t="inlineStr">
        <is>
          <t>Dresden Airport</t>
        </is>
      </c>
      <c r="J483" s="21" t="n">
        <v>9.5</v>
      </c>
      <c r="K483" s="18" t="inlineStr">
        <is>
          <t>DRS</t>
        </is>
      </c>
      <c r="L483" s="18" t="inlineStr">
        <is>
          <t>100k +  pop + airport</t>
        </is>
      </c>
      <c r="M483" s="22" t="n">
        <v>0.672</v>
      </c>
      <c r="N483" s="22" t="n">
        <v>0</v>
      </c>
      <c r="O483" s="18" t="n"/>
      <c r="P483" s="22">
        <f>IF(O483="",(About!$B$5*M483+About!$B$6*N483)/(About!$B$5+About!$B$6),About!$B$5*M483+About!$B$6*N483+About!$B$7*O483)</f>
        <v/>
      </c>
      <c r="Q483" s="23" t="n">
        <v>51.0509</v>
      </c>
      <c r="R483" s="23" t="n">
        <v>13.7383</v>
      </c>
    </row>
    <row r="484" ht="15" customHeight="1" s="12">
      <c r="A484" s="18" t="inlineStr">
        <is>
          <t>Halle (Saale)</t>
        </is>
      </c>
      <c r="B484" s="18" t="inlineStr">
        <is>
          <t>Germany</t>
        </is>
      </c>
      <c r="C484" s="19" t="n">
        <v>83497147</v>
      </c>
      <c r="D484" s="18" t="inlineStr">
        <is>
          <t>DE</t>
        </is>
      </c>
      <c r="E484" s="18" t="inlineStr">
        <is>
          <t>14</t>
        </is>
      </c>
      <c r="F484" s="20" t="n">
        <v>234107</v>
      </c>
      <c r="G484" s="18" t="n"/>
      <c r="H484" s="18" t="inlineStr">
        <is>
          <t>LEJ</t>
        </is>
      </c>
      <c r="I484" s="18" t="inlineStr">
        <is>
          <t>Leipzig/Halle Airport</t>
        </is>
      </c>
      <c r="J484" s="21" t="n">
        <v>18.8</v>
      </c>
      <c r="K484" s="18" t="inlineStr">
        <is>
          <t>LEJ</t>
        </is>
      </c>
      <c r="L484" s="18" t="inlineStr">
        <is>
          <t>100k +  pop</t>
        </is>
      </c>
      <c r="M484" s="22" t="n">
        <v>0.672</v>
      </c>
      <c r="N484" s="22" t="n">
        <v>0</v>
      </c>
      <c r="O484" s="18" t="n"/>
      <c r="P484" s="22">
        <f>IF(O484="",(About!$B$5*M484+About!$B$6*N484)/(About!$B$5+About!$B$6),About!$B$5*M484+About!$B$6*N484+About!$B$7*O484)</f>
        <v/>
      </c>
      <c r="Q484" s="23" t="n">
        <v>51.4816</v>
      </c>
      <c r="R484" s="23" t="n">
        <v>11.9795</v>
      </c>
    </row>
    <row r="485" ht="15" customHeight="1" s="12">
      <c r="A485" s="18" t="inlineStr">
        <is>
          <t>Kisumu</t>
        </is>
      </c>
      <c r="B485" s="18" t="inlineStr">
        <is>
          <t>Kenya</t>
        </is>
      </c>
      <c r="C485" s="19" t="n">
        <v>53330978</v>
      </c>
      <c r="D485" s="18" t="inlineStr">
        <is>
          <t>KE</t>
        </is>
      </c>
      <c r="E485" s="18" t="inlineStr">
        <is>
          <t>26</t>
        </is>
      </c>
      <c r="F485" s="20" t="n">
        <v>216479</v>
      </c>
      <c r="G485" s="18" t="n"/>
      <c r="H485" s="18" t="inlineStr">
        <is>
          <t>KIS</t>
        </is>
      </c>
      <c r="I485" s="18" t="inlineStr">
        <is>
          <t>Kisumu International Airport</t>
        </is>
      </c>
      <c r="J485" s="21" t="n">
        <v>4.1</v>
      </c>
      <c r="K485" s="18" t="inlineStr">
        <is>
          <t>KIS</t>
        </is>
      </c>
      <c r="L485" s="18" t="inlineStr">
        <is>
          <t>100k +  pop + airport</t>
        </is>
      </c>
      <c r="M485" s="22" t="n">
        <v>0.671</v>
      </c>
      <c r="N485" s="22" t="n">
        <v>0</v>
      </c>
      <c r="O485" s="18" t="n"/>
      <c r="P485" s="22">
        <f>IF(O485="",(About!$B$5*M485+About!$B$6*N485)/(About!$B$5+About!$B$6),About!$B$5*M485+About!$B$6*N485+About!$B$7*O485)</f>
        <v/>
      </c>
      <c r="Q485" s="23" t="n">
        <v>-0.1022</v>
      </c>
      <c r="R485" s="23" t="n">
        <v>34.7617</v>
      </c>
    </row>
    <row r="486" ht="15" customHeight="1" s="12">
      <c r="A486" s="18" t="inlineStr">
        <is>
          <t>Mount Hagen</t>
        </is>
      </c>
      <c r="B486" s="18" t="inlineStr">
        <is>
          <t>Papua New Guinea</t>
        </is>
      </c>
      <c r="C486" s="19" t="n">
        <v>10185363</v>
      </c>
      <c r="D486" s="18" t="inlineStr">
        <is>
          <t>PG</t>
        </is>
      </c>
      <c r="E486" s="18" t="inlineStr">
        <is>
          <t>16</t>
        </is>
      </c>
      <c r="F486" s="20" t="n">
        <v>33623</v>
      </c>
      <c r="G486" s="18" t="n"/>
      <c r="H486" s="18" t="inlineStr">
        <is>
          <t>HGU</t>
        </is>
      </c>
      <c r="I486" s="18" t="inlineStr">
        <is>
          <t>Mount Hagen Kagamuga Airport</t>
        </is>
      </c>
      <c r="J486" s="21" t="n">
        <v>8.300000000000001</v>
      </c>
      <c r="K486" s="18" t="inlineStr">
        <is>
          <t>HGU</t>
        </is>
      </c>
      <c r="L486" s="18" t="inlineStr">
        <is>
          <t>airport</t>
        </is>
      </c>
      <c r="M486" s="22" t="n">
        <v>0.672</v>
      </c>
      <c r="N486" s="22" t="n">
        <v>0</v>
      </c>
      <c r="O486" s="18" t="n"/>
      <c r="P486" s="22">
        <f>IF(O486="",(About!$B$5*M486+About!$B$6*N486)/(About!$B$5+About!$B$6),About!$B$5*M486+About!$B$6*N486+About!$B$7*O486)</f>
        <v/>
      </c>
      <c r="Q486" s="23" t="n">
        <v>-5.8575</v>
      </c>
      <c r="R486" s="23" t="n">
        <v>144.2306</v>
      </c>
    </row>
    <row r="487" ht="15" customHeight="1" s="12">
      <c r="A487" s="18" t="inlineStr">
        <is>
          <t>Palermo</t>
        </is>
      </c>
      <c r="B487" s="18" t="inlineStr">
        <is>
          <t>Italy</t>
        </is>
      </c>
      <c r="C487" s="19" t="n">
        <v>58932330</v>
      </c>
      <c r="D487" s="18" t="inlineStr">
        <is>
          <t>IT</t>
        </is>
      </c>
      <c r="E487" s="18" t="inlineStr">
        <is>
          <t>15</t>
        </is>
      </c>
      <c r="F487" s="20" t="n">
        <v>683342</v>
      </c>
      <c r="G487" s="18" t="n"/>
      <c r="H487" s="18" t="inlineStr">
        <is>
          <t>PMO</t>
        </is>
      </c>
      <c r="I487" s="18" t="inlineStr">
        <is>
          <t>Falcone–Borsellino Airport</t>
        </is>
      </c>
      <c r="J487" s="21" t="n">
        <v>21.9</v>
      </c>
      <c r="K487" s="18" t="inlineStr">
        <is>
          <t>PMO</t>
        </is>
      </c>
      <c r="L487" s="18" t="inlineStr">
        <is>
          <t>100k +  pop + airport</t>
        </is>
      </c>
      <c r="M487" s="22" t="n">
        <v>0.669</v>
      </c>
      <c r="N487" s="22" t="n">
        <v>0</v>
      </c>
      <c r="O487" s="18" t="n"/>
      <c r="P487" s="22">
        <f>IF(O487="",(About!$B$5*M487+About!$B$6*N487)/(About!$B$5+About!$B$6),About!$B$5*M487+About!$B$6*N487+About!$B$7*O487)</f>
        <v/>
      </c>
      <c r="Q487" s="23" t="n">
        <v>38.132</v>
      </c>
      <c r="R487" s="23" t="n">
        <v>13.3356</v>
      </c>
    </row>
    <row r="488" ht="15" customHeight="1" s="12">
      <c r="A488" s="18" t="inlineStr">
        <is>
          <t>Chaozhou</t>
        </is>
      </c>
      <c r="B488" s="18" t="inlineStr">
        <is>
          <t>China</t>
        </is>
      </c>
      <c r="C488" s="19" t="n">
        <v>1404890000</v>
      </c>
      <c r="D488" s="18" t="inlineStr">
        <is>
          <t>CN</t>
        </is>
      </c>
      <c r="E488" s="18" t="inlineStr">
        <is>
          <t>30</t>
        </is>
      </c>
      <c r="F488" s="20" t="n">
        <v>424787</v>
      </c>
      <c r="G488" s="18" t="n"/>
      <c r="H488" s="18" t="inlineStr">
        <is>
          <t>SWA</t>
        </is>
      </c>
      <c r="I488" s="18" t="inlineStr">
        <is>
          <t>Jieyang Chaoshan International Airport</t>
        </is>
      </c>
      <c r="J488" s="21" t="n">
        <v>16.6</v>
      </c>
      <c r="K488" s="18" t="inlineStr">
        <is>
          <t>SWA</t>
        </is>
      </c>
      <c r="L488" s="18" t="inlineStr">
        <is>
          <t>100k +  pop</t>
        </is>
      </c>
      <c r="M488" s="22" t="n">
        <v>0.669</v>
      </c>
      <c r="N488" s="22" t="n">
        <v>0</v>
      </c>
      <c r="O488" s="18" t="n"/>
      <c r="P488" s="22">
        <f>IF(O488="",(About!$B$5*M488+About!$B$6*N488)/(About!$B$5+About!$B$6),About!$B$5*M488+About!$B$6*N488+About!$B$7*O488)</f>
        <v/>
      </c>
      <c r="Q488" s="23" t="n">
        <v>23.654</v>
      </c>
      <c r="R488" s="23" t="n">
        <v>116.6226</v>
      </c>
    </row>
    <row r="489" ht="15" customHeight="1" s="12">
      <c r="A489" s="18" t="inlineStr">
        <is>
          <t>Lusaka</t>
        </is>
      </c>
      <c r="B489" s="18" t="inlineStr">
        <is>
          <t>Zambia</t>
        </is>
      </c>
      <c r="C489" s="19" t="n">
        <v>19693423</v>
      </c>
      <c r="D489" s="18" t="inlineStr">
        <is>
          <t>ZM</t>
        </is>
      </c>
      <c r="E489" s="18" t="inlineStr">
        <is>
          <t>09</t>
        </is>
      </c>
      <c r="F489" s="20" t="n">
        <v>1267440</v>
      </c>
      <c r="G489" s="18" t="inlineStr">
        <is>
          <t>Yes</t>
        </is>
      </c>
      <c r="H489" s="18" t="inlineStr">
        <is>
          <t>LUN</t>
        </is>
      </c>
      <c r="I489" s="18" t="inlineStr">
        <is>
          <t>Kenneth Kaunda International Airport</t>
        </is>
      </c>
      <c r="J489" s="21" t="n">
        <v>19.7</v>
      </c>
      <c r="K489" s="18" t="inlineStr">
        <is>
          <t>LUN</t>
        </is>
      </c>
      <c r="L489" s="18" t="inlineStr">
        <is>
          <t>100k +  pop + capital + airport</t>
        </is>
      </c>
      <c r="M489" s="22" t="n">
        <v>0.668</v>
      </c>
      <c r="N489" s="22" t="n">
        <v>0</v>
      </c>
      <c r="O489" s="18" t="n"/>
      <c r="P489" s="22">
        <f>IF(O489="",(About!$B$5*M489+About!$B$6*N489)/(About!$B$5+About!$B$6),About!$B$5*M489+About!$B$6*N489+About!$B$7*O489)</f>
        <v/>
      </c>
      <c r="Q489" s="23" t="n">
        <v>-15.4067</v>
      </c>
      <c r="R489" s="23" t="n">
        <v>28.2871</v>
      </c>
    </row>
    <row r="490" ht="15" customHeight="1" s="12">
      <c r="A490" s="18" t="inlineStr">
        <is>
          <t>Zagreb</t>
        </is>
      </c>
      <c r="B490" s="18" t="inlineStr">
        <is>
          <t>Croatia</t>
        </is>
      </c>
      <c r="C490" s="19" t="n">
        <v>3866233</v>
      </c>
      <c r="D490" s="18" t="inlineStr">
        <is>
          <t>HR</t>
        </is>
      </c>
      <c r="E490" s="18" t="inlineStr">
        <is>
          <t>21</t>
        </is>
      </c>
      <c r="F490" s="20" t="n">
        <v>698966</v>
      </c>
      <c r="G490" s="18" t="inlineStr">
        <is>
          <t>Yes</t>
        </is>
      </c>
      <c r="H490" s="18" t="inlineStr">
        <is>
          <t>ZAG</t>
        </is>
      </c>
      <c r="I490" s="18" t="inlineStr">
        <is>
          <t>Zagreb Franjo Tuđman International Airport</t>
        </is>
      </c>
      <c r="J490" s="21" t="n">
        <v>10.6</v>
      </c>
      <c r="K490" s="18" t="inlineStr">
        <is>
          <t>ZAG</t>
        </is>
      </c>
      <c r="L490" s="18" t="inlineStr">
        <is>
          <t>100k +  pop + capital</t>
        </is>
      </c>
      <c r="M490" s="22" t="n">
        <v>0.668</v>
      </c>
      <c r="N490" s="22" t="n">
        <v>0</v>
      </c>
      <c r="O490" s="18" t="n"/>
      <c r="P490" s="22">
        <f>IF(O490="",(About!$B$5*M490+About!$B$6*N490)/(About!$B$5+About!$B$6),About!$B$5*M490+About!$B$6*N490+About!$B$7*O490)</f>
        <v/>
      </c>
      <c r="Q490" s="23" t="n">
        <v>45.8144</v>
      </c>
      <c r="R490" s="23" t="n">
        <v>15.978</v>
      </c>
    </row>
    <row r="491" ht="15" customHeight="1" s="12">
      <c r="A491" s="18" t="inlineStr">
        <is>
          <t>Manado</t>
        </is>
      </c>
      <c r="B491" s="18" t="inlineStr">
        <is>
          <t>Indonesia</t>
        </is>
      </c>
      <c r="C491" s="19" t="n">
        <v>288315089</v>
      </c>
      <c r="D491" s="18" t="inlineStr">
        <is>
          <t>ID</t>
        </is>
      </c>
      <c r="E491" s="18" t="inlineStr">
        <is>
          <t>31</t>
        </is>
      </c>
      <c r="F491" s="20" t="n">
        <v>451893</v>
      </c>
      <c r="G491" s="18" t="n"/>
      <c r="H491" s="18" t="inlineStr">
        <is>
          <t>MDC</t>
        </is>
      </c>
      <c r="I491" s="18" t="inlineStr">
        <is>
          <t>Sam Ratulangi International Airport</t>
        </is>
      </c>
      <c r="J491" s="21" t="n">
        <v>11.3</v>
      </c>
      <c r="K491" s="18" t="inlineStr">
        <is>
          <t>MDC</t>
        </is>
      </c>
      <c r="L491" s="18" t="inlineStr">
        <is>
          <t>100k +  pop + airport</t>
        </is>
      </c>
      <c r="M491" s="22" t="n">
        <v>0.668</v>
      </c>
      <c r="N491" s="22" t="n">
        <v>0</v>
      </c>
      <c r="O491" s="18" t="n"/>
      <c r="P491" s="22">
        <f>IF(O491="",(About!$B$5*M491+About!$B$6*N491)/(About!$B$5+About!$B$6),About!$B$5*M491+About!$B$6*N491+About!$B$7*O491)</f>
        <v/>
      </c>
      <c r="Q491" s="23" t="n">
        <v>1.4822</v>
      </c>
      <c r="R491" s="23" t="n">
        <v>124.8489</v>
      </c>
    </row>
    <row r="492" ht="15" customHeight="1" s="12">
      <c r="A492" s="18" t="inlineStr">
        <is>
          <t>Bilbao</t>
        </is>
      </c>
      <c r="B492" s="18" t="inlineStr">
        <is>
          <t>Spain</t>
        </is>
      </c>
      <c r="C492" s="19" t="n">
        <v>49687120</v>
      </c>
      <c r="D492" s="18" t="inlineStr">
        <is>
          <t>ES</t>
        </is>
      </c>
      <c r="E492" s="18" t="inlineStr">
        <is>
          <t>59</t>
        </is>
      </c>
      <c r="F492" s="20" t="n">
        <v>354860</v>
      </c>
      <c r="G492" s="18" t="n"/>
      <c r="H492" s="18" t="inlineStr">
        <is>
          <t>BIO</t>
        </is>
      </c>
      <c r="I492" s="18" t="inlineStr">
        <is>
          <t>Bilbao Airport</t>
        </is>
      </c>
      <c r="J492" s="21" t="n">
        <v>4.4</v>
      </c>
      <c r="K492" s="18" t="inlineStr">
        <is>
          <t>BIO</t>
        </is>
      </c>
      <c r="L492" s="18" t="inlineStr">
        <is>
          <t>100k +  pop + airport</t>
        </is>
      </c>
      <c r="M492" s="22" t="n">
        <v>0.668</v>
      </c>
      <c r="N492" s="22" t="n">
        <v>0</v>
      </c>
      <c r="O492" s="18" t="n"/>
      <c r="P492" s="22">
        <f>IF(O492="",(About!$B$5*M492+About!$B$6*N492)/(About!$B$5+About!$B$6),About!$B$5*M492+About!$B$6*N492+About!$B$7*O492)</f>
        <v/>
      </c>
      <c r="Q492" s="23" t="n">
        <v>43.2627</v>
      </c>
      <c r="R492" s="23" t="n">
        <v>-2.9253</v>
      </c>
    </row>
    <row r="493" ht="15" customHeight="1" s="12">
      <c r="A493" s="18" t="inlineStr">
        <is>
          <t>Bari</t>
        </is>
      </c>
      <c r="B493" s="18" t="inlineStr">
        <is>
          <t>Italy</t>
        </is>
      </c>
      <c r="C493" s="19" t="n">
        <v>58932330</v>
      </c>
      <c r="D493" s="18" t="inlineStr">
        <is>
          <t>IT</t>
        </is>
      </c>
      <c r="E493" s="18" t="inlineStr">
        <is>
          <t>13</t>
        </is>
      </c>
      <c r="F493" s="20" t="n">
        <v>395232</v>
      </c>
      <c r="G493" s="18" t="n"/>
      <c r="H493" s="18" t="inlineStr">
        <is>
          <t>BRI</t>
        </is>
      </c>
      <c r="I493" s="18" t="inlineStr">
        <is>
          <t>Bari Karol Wojtyła International Airport</t>
        </is>
      </c>
      <c r="J493" s="21" t="n">
        <v>9.4</v>
      </c>
      <c r="K493" s="18" t="inlineStr">
        <is>
          <t>BRI</t>
        </is>
      </c>
      <c r="L493" s="18" t="inlineStr">
        <is>
          <t>100k +  pop + airport</t>
        </is>
      </c>
      <c r="M493" s="22" t="n">
        <v>0.667</v>
      </c>
      <c r="N493" s="22" t="n">
        <v>0</v>
      </c>
      <c r="O493" s="18" t="n"/>
      <c r="P493" s="22">
        <f>IF(O493="",(About!$B$5*M493+About!$B$6*N493)/(About!$B$5+About!$B$6),About!$B$5*M493+About!$B$6*N493+About!$B$7*O493)</f>
        <v/>
      </c>
      <c r="Q493" s="23" t="n">
        <v>41.1207</v>
      </c>
      <c r="R493" s="23" t="n">
        <v>16.8698</v>
      </c>
    </row>
    <row r="494" ht="15" customHeight="1" s="12">
      <c r="A494" s="18" t="inlineStr">
        <is>
          <t>Lille</t>
        </is>
      </c>
      <c r="B494" s="18" t="inlineStr">
        <is>
          <t>France</t>
        </is>
      </c>
      <c r="C494" s="19" t="n">
        <v>69081996</v>
      </c>
      <c r="D494" s="18" t="inlineStr">
        <is>
          <t>FR</t>
        </is>
      </c>
      <c r="E494" s="18" t="inlineStr">
        <is>
          <t>32</t>
        </is>
      </c>
      <c r="F494" s="20" t="n">
        <v>228328</v>
      </c>
      <c r="G494" s="18" t="n"/>
      <c r="H494" s="18" t="inlineStr">
        <is>
          <t>LIL</t>
        </is>
      </c>
      <c r="I494" s="18" t="inlineStr">
        <is>
          <t>Lille Airport</t>
        </is>
      </c>
      <c r="J494" s="21" t="n">
        <v>8</v>
      </c>
      <c r="K494" s="18" t="inlineStr">
        <is>
          <t>LIL</t>
        </is>
      </c>
      <c r="L494" s="18" t="inlineStr">
        <is>
          <t>100k +  pop + airport</t>
        </is>
      </c>
      <c r="M494" s="22" t="n">
        <v>0.668</v>
      </c>
      <c r="N494" s="22" t="n">
        <v>0</v>
      </c>
      <c r="O494" s="18" t="n"/>
      <c r="P494" s="22">
        <f>IF(O494="",(About!$B$5*M494+About!$B$6*N494)/(About!$B$5+About!$B$6),About!$B$5*M494+About!$B$6*N494+About!$B$7*O494)</f>
        <v/>
      </c>
      <c r="Q494" s="23" t="n">
        <v>50.633</v>
      </c>
      <c r="R494" s="23" t="n">
        <v>3.0586</v>
      </c>
    </row>
    <row r="495" ht="15" customHeight="1" s="12">
      <c r="A495" s="18" t="inlineStr">
        <is>
          <t>Lleida</t>
        </is>
      </c>
      <c r="B495" s="18" t="inlineStr">
        <is>
          <t>Spain</t>
        </is>
      </c>
      <c r="C495" s="19" t="n">
        <v>49687120</v>
      </c>
      <c r="D495" s="18" t="inlineStr">
        <is>
          <t>ES</t>
        </is>
      </c>
      <c r="E495" s="18" t="inlineStr">
        <is>
          <t>56</t>
        </is>
      </c>
      <c r="F495" s="20" t="n">
        <v>135919</v>
      </c>
      <c r="G495" s="18" t="n"/>
      <c r="H495" s="18" t="inlineStr">
        <is>
          <t>ILD</t>
        </is>
      </c>
      <c r="I495" s="18" t="inlineStr">
        <is>
          <t>Lleida-Alguaire Airport</t>
        </is>
      </c>
      <c r="J495" s="21" t="n">
        <v>14.4</v>
      </c>
      <c r="K495" s="18" t="inlineStr">
        <is>
          <t>ILD</t>
        </is>
      </c>
      <c r="L495" s="18" t="inlineStr">
        <is>
          <t>100k +  pop + airport</t>
        </is>
      </c>
      <c r="M495" s="22" t="n">
        <v>0.667</v>
      </c>
      <c r="N495" s="22" t="n">
        <v>0</v>
      </c>
      <c r="O495" s="18" t="n"/>
      <c r="P495" s="22">
        <f>IF(O495="",(About!$B$5*M495+About!$B$6*N495)/(About!$B$5+About!$B$6),About!$B$5*M495+About!$B$6*N495+About!$B$7*O495)</f>
        <v/>
      </c>
      <c r="Q495" s="23" t="n">
        <v>41.6167</v>
      </c>
      <c r="R495" s="23" t="n">
        <v>0.6222</v>
      </c>
    </row>
    <row r="496" ht="15" customHeight="1" s="12">
      <c r="A496" s="18" t="inlineStr">
        <is>
          <t>Santa Cruz de Tenerife</t>
        </is>
      </c>
      <c r="B496" s="18" t="inlineStr">
        <is>
          <t>Spain</t>
        </is>
      </c>
      <c r="C496" s="19" t="n">
        <v>49687120</v>
      </c>
      <c r="D496" s="18" t="inlineStr">
        <is>
          <t>ES</t>
        </is>
      </c>
      <c r="E496" s="18" t="inlineStr">
        <is>
          <t>53</t>
        </is>
      </c>
      <c r="F496" s="20" t="n">
        <v>222417</v>
      </c>
      <c r="G496" s="18" t="n"/>
      <c r="H496" s="18" t="inlineStr">
        <is>
          <t>TFN</t>
        </is>
      </c>
      <c r="I496" s="18" t="inlineStr">
        <is>
          <t>Tenerife Norte-Ciudad de La Laguna Airport</t>
        </is>
      </c>
      <c r="J496" s="21" t="n">
        <v>8.699999999999999</v>
      </c>
      <c r="K496" s="18" t="inlineStr">
        <is>
          <t>TFN</t>
        </is>
      </c>
      <c r="L496" s="18" t="inlineStr">
        <is>
          <t>100k +  pop + airport</t>
        </is>
      </c>
      <c r="M496" s="22" t="n">
        <v>0.666</v>
      </c>
      <c r="N496" s="22" t="n">
        <v>0</v>
      </c>
      <c r="O496" s="18" t="n"/>
      <c r="P496" s="22">
        <f>IF(O496="",(About!$B$5*M496+About!$B$6*N496)/(About!$B$5+About!$B$6),About!$B$5*M496+About!$B$6*N496+About!$B$7*O496)</f>
        <v/>
      </c>
      <c r="Q496" s="23" t="n">
        <v>28.4682</v>
      </c>
      <c r="R496" s="23" t="n">
        <v>-16.2546</v>
      </c>
    </row>
    <row r="497" ht="15" customHeight="1" s="12">
      <c r="A497" s="18" t="inlineStr">
        <is>
          <t>La Laguna</t>
        </is>
      </c>
      <c r="B497" s="18" t="inlineStr">
        <is>
          <t>Spain</t>
        </is>
      </c>
      <c r="C497" s="19" t="n">
        <v>49687120</v>
      </c>
      <c r="D497" s="18" t="inlineStr">
        <is>
          <t>ES</t>
        </is>
      </c>
      <c r="E497" s="18" t="inlineStr">
        <is>
          <t>53</t>
        </is>
      </c>
      <c r="F497" s="20" t="n">
        <v>150661</v>
      </c>
      <c r="G497" s="18" t="n"/>
      <c r="H497" s="18" t="inlineStr">
        <is>
          <t>TFN</t>
        </is>
      </c>
      <c r="I497" s="18" t="inlineStr">
        <is>
          <t>Tenerife Norte-Ciudad de La Laguna Airport</t>
        </is>
      </c>
      <c r="J497" s="21" t="n">
        <v>2.1</v>
      </c>
      <c r="K497" s="18" t="inlineStr">
        <is>
          <t>TFN</t>
        </is>
      </c>
      <c r="L497" s="18" t="inlineStr">
        <is>
          <t>100k +  pop + airport</t>
        </is>
      </c>
      <c r="M497" s="22" t="n">
        <v>0.666</v>
      </c>
      <c r="N497" s="22" t="n">
        <v>0</v>
      </c>
      <c r="O497" s="18" t="n"/>
      <c r="P497" s="22">
        <f>IF(O497="",(About!$B$5*M497+About!$B$6*N497)/(About!$B$5+About!$B$6),About!$B$5*M497+About!$B$6*N497+About!$B$7*O497)</f>
        <v/>
      </c>
      <c r="Q497" s="23" t="n">
        <v>28.4853</v>
      </c>
      <c r="R497" s="23" t="n">
        <v>-16.3201</v>
      </c>
    </row>
    <row r="498" ht="15" customHeight="1" s="12">
      <c r="A498" s="18" t="inlineStr">
        <is>
          <t>Nelspruit</t>
        </is>
      </c>
      <c r="B498" s="18" t="inlineStr">
        <is>
          <t>South Africa</t>
        </is>
      </c>
      <c r="C498" s="19" t="n">
        <v>63100945</v>
      </c>
      <c r="D498" s="18" t="inlineStr">
        <is>
          <t>ZA</t>
        </is>
      </c>
      <c r="E498" s="18" t="inlineStr">
        <is>
          <t>07</t>
        </is>
      </c>
      <c r="F498" s="20" t="n">
        <v>110159</v>
      </c>
      <c r="G498" s="18" t="n"/>
      <c r="H498" s="18" t="inlineStr">
        <is>
          <t>MQP</t>
        </is>
      </c>
      <c r="I498" s="18" t="inlineStr">
        <is>
          <t>Kruger Mpumalanga International Airport</t>
        </is>
      </c>
      <c r="J498" s="21" t="n">
        <v>16.9</v>
      </c>
      <c r="K498" s="18" t="inlineStr">
        <is>
          <t>MQP</t>
        </is>
      </c>
      <c r="L498" s="18" t="inlineStr">
        <is>
          <t>100k +  pop</t>
        </is>
      </c>
      <c r="M498" s="22" t="n">
        <v>0.665</v>
      </c>
      <c r="N498" s="22" t="n">
        <v>0</v>
      </c>
      <c r="O498" s="18" t="n"/>
      <c r="P498" s="22">
        <f>IF(O498="",(About!$B$5*M498+About!$B$6*N498)/(About!$B$5+About!$B$6),About!$B$5*M498+About!$B$6*N498+About!$B$7*O498)</f>
        <v/>
      </c>
      <c r="Q498" s="23" t="n">
        <v>-25.4745</v>
      </c>
      <c r="R498" s="23" t="n">
        <v>30.9703</v>
      </c>
    </row>
    <row r="499" ht="15" customHeight="1" s="12">
      <c r="A499" s="18" t="inlineStr">
        <is>
          <t>Khartoum</t>
        </is>
      </c>
      <c r="B499" s="18" t="inlineStr">
        <is>
          <t>Sudan</t>
        </is>
      </c>
      <c r="C499" s="19" t="n">
        <v>51662000</v>
      </c>
      <c r="D499" s="18" t="inlineStr">
        <is>
          <t>SD</t>
        </is>
      </c>
      <c r="E499" s="18" t="inlineStr">
        <is>
          <t>29</t>
        </is>
      </c>
      <c r="F499" s="20" t="n">
        <v>1974647</v>
      </c>
      <c r="G499" s="18" t="inlineStr">
        <is>
          <t>Yes</t>
        </is>
      </c>
      <c r="H499" s="18" t="inlineStr">
        <is>
          <t>KRT</t>
        </is>
      </c>
      <c r="I499" s="18" t="inlineStr">
        <is>
          <t>Khartoum International Airport</t>
        </is>
      </c>
      <c r="J499" s="21" t="n">
        <v>4.7</v>
      </c>
      <c r="K499" s="18" t="inlineStr">
        <is>
          <t>KRT</t>
        </is>
      </c>
      <c r="L499" s="18" t="inlineStr">
        <is>
          <t>100k +  pop + capital + airport</t>
        </is>
      </c>
      <c r="M499" s="22" t="n">
        <v>0.664</v>
      </c>
      <c r="N499" s="22" t="n">
        <v>0</v>
      </c>
      <c r="O499" s="18" t="n"/>
      <c r="P499" s="22">
        <f>IF(O499="",(About!$B$5*M499+About!$B$6*N499)/(About!$B$5+About!$B$6),About!$B$5*M499+About!$B$6*N499+About!$B$7*O499)</f>
        <v/>
      </c>
      <c r="Q499" s="23" t="n">
        <v>15.5518</v>
      </c>
      <c r="R499" s="23" t="n">
        <v>32.5324</v>
      </c>
    </row>
    <row r="500" ht="15" customHeight="1" s="12">
      <c r="A500" s="18" t="inlineStr">
        <is>
          <t>Isfahan</t>
        </is>
      </c>
      <c r="B500" s="18" t="inlineStr">
        <is>
          <t>Iran</t>
        </is>
      </c>
      <c r="C500" s="19" t="n">
        <v>87134000</v>
      </c>
      <c r="D500" s="18" t="inlineStr">
        <is>
          <t>IR</t>
        </is>
      </c>
      <c r="E500" s="18" t="inlineStr">
        <is>
          <t>28</t>
        </is>
      </c>
      <c r="F500" s="20" t="n">
        <v>1547164</v>
      </c>
      <c r="G500" s="18" t="n"/>
      <c r="H500" s="18" t="inlineStr">
        <is>
          <t>IFN</t>
        </is>
      </c>
      <c r="I500" s="18" t="inlineStr">
        <is>
          <t>Isfahan Shahid Beheshti International Airport</t>
        </is>
      </c>
      <c r="J500" s="21" t="n">
        <v>22.7</v>
      </c>
      <c r="K500" s="18" t="inlineStr">
        <is>
          <t>IFN</t>
        </is>
      </c>
      <c r="L500" s="18" t="inlineStr">
        <is>
          <t>100k +  pop + airport</t>
        </is>
      </c>
      <c r="M500" s="22" t="n">
        <v>0.665</v>
      </c>
      <c r="N500" s="22" t="n">
        <v>0</v>
      </c>
      <c r="O500" s="18" t="n"/>
      <c r="P500" s="22">
        <f>IF(O500="",(About!$B$5*M500+About!$B$6*N500)/(About!$B$5+About!$B$6),About!$B$5*M500+About!$B$6*N500+About!$B$7*O500)</f>
        <v/>
      </c>
      <c r="Q500" s="23" t="n">
        <v>32.6525</v>
      </c>
      <c r="R500" s="23" t="n">
        <v>51.6746</v>
      </c>
    </row>
    <row r="501" ht="15" customHeight="1" s="12">
      <c r="A501" s="18" t="inlineStr">
        <is>
          <t>Córdoba</t>
        </is>
      </c>
      <c r="B501" s="18" t="inlineStr">
        <is>
          <t>Argentina</t>
        </is>
      </c>
      <c r="C501" s="19" t="n">
        <v>46387098</v>
      </c>
      <c r="D501" s="18" t="inlineStr">
        <is>
          <t>AR</t>
        </is>
      </c>
      <c r="E501" s="18" t="inlineStr">
        <is>
          <t>05</t>
        </is>
      </c>
      <c r="F501" s="20" t="n">
        <v>1428214</v>
      </c>
      <c r="G501" s="18" t="n"/>
      <c r="H501" s="18" t="inlineStr">
        <is>
          <t>COR</t>
        </is>
      </c>
      <c r="I501" s="18" t="inlineStr">
        <is>
          <t>Ingeniero Aeronáutico Ambrosio L.V. Taravella International Airport</t>
        </is>
      </c>
      <c r="J501" s="21" t="n">
        <v>11.5</v>
      </c>
      <c r="K501" s="18" t="inlineStr">
        <is>
          <t>COR</t>
        </is>
      </c>
      <c r="L501" s="18" t="inlineStr">
        <is>
          <t>100k +  pop + airport</t>
        </is>
      </c>
      <c r="M501" s="22" t="n">
        <v>0.664</v>
      </c>
      <c r="N501" s="22" t="n">
        <v>0</v>
      </c>
      <c r="O501" s="18" t="n"/>
      <c r="P501" s="22">
        <f>IF(O501="",(About!$B$5*M501+About!$B$6*N501)/(About!$B$5+About!$B$6),About!$B$5*M501+About!$B$6*N501+About!$B$7*O501)</f>
        <v/>
      </c>
      <c r="Q501" s="23" t="n">
        <v>-31.4135</v>
      </c>
      <c r="R501" s="23" t="n">
        <v>-64.181</v>
      </c>
    </row>
    <row r="502" ht="15" customHeight="1" s="12">
      <c r="A502" s="18" t="inlineStr">
        <is>
          <t>Omdurman</t>
        </is>
      </c>
      <c r="B502" s="18" t="inlineStr">
        <is>
          <t>Sudan</t>
        </is>
      </c>
      <c r="C502" s="19" t="n">
        <v>51662000</v>
      </c>
      <c r="D502" s="18" t="inlineStr">
        <is>
          <t>SD</t>
        </is>
      </c>
      <c r="E502" s="18" t="inlineStr">
        <is>
          <t>29</t>
        </is>
      </c>
      <c r="F502" s="20" t="n">
        <v>1200000</v>
      </c>
      <c r="G502" s="18" t="n"/>
      <c r="H502" s="18" t="inlineStr">
        <is>
          <t>KRT</t>
        </is>
      </c>
      <c r="I502" s="18" t="inlineStr">
        <is>
          <t>Khartoum International Airport</t>
        </is>
      </c>
      <c r="J502" s="21" t="n">
        <v>10.1</v>
      </c>
      <c r="K502" s="18" t="inlineStr">
        <is>
          <t>KRT</t>
        </is>
      </c>
      <c r="L502" s="18" t="inlineStr">
        <is>
          <t>100k +  pop</t>
        </is>
      </c>
      <c r="M502" s="22" t="n">
        <v>0.664</v>
      </c>
      <c r="N502" s="22" t="n">
        <v>0</v>
      </c>
      <c r="O502" s="18" t="n"/>
      <c r="P502" s="22">
        <f>IF(O502="",(About!$B$5*M502+About!$B$6*N502)/(About!$B$5+About!$B$6),About!$B$5*M502+About!$B$6*N502+About!$B$7*O502)</f>
        <v/>
      </c>
      <c r="Q502" s="23" t="n">
        <v>15.6445</v>
      </c>
      <c r="R502" s="23" t="n">
        <v>32.4777</v>
      </c>
    </row>
    <row r="503" ht="15" customHeight="1" s="12">
      <c r="A503" s="18" t="inlineStr">
        <is>
          <t>Klang</t>
        </is>
      </c>
      <c r="B503" s="18" t="inlineStr">
        <is>
          <t>Malaysia</t>
        </is>
      </c>
      <c r="C503" s="19" t="n">
        <v>34374300</v>
      </c>
      <c r="D503" s="18" t="inlineStr">
        <is>
          <t>MY</t>
        </is>
      </c>
      <c r="E503" s="18" t="inlineStr">
        <is>
          <t>12</t>
        </is>
      </c>
      <c r="F503" s="20" t="n">
        <v>879867</v>
      </c>
      <c r="G503" s="18" t="n"/>
      <c r="H503" s="18" t="inlineStr">
        <is>
          <t>SZB</t>
        </is>
      </c>
      <c r="I503" s="18" t="inlineStr">
        <is>
          <t>Sultan Abdul Aziz Shah International Airport</t>
        </is>
      </c>
      <c r="J503" s="21" t="n">
        <v>15.7</v>
      </c>
      <c r="K503" s="18" t="inlineStr">
        <is>
          <t>SZB</t>
        </is>
      </c>
      <c r="L503" s="18" t="inlineStr">
        <is>
          <t>100k +  pop</t>
        </is>
      </c>
      <c r="M503" s="22" t="n">
        <v>0.664</v>
      </c>
      <c r="N503" s="22" t="n">
        <v>0</v>
      </c>
      <c r="O503" s="18" t="n"/>
      <c r="P503" s="22">
        <f>IF(O503="",(About!$B$5*M503+About!$B$6*N503)/(About!$B$5+About!$B$6),About!$B$5*M503+About!$B$6*N503+About!$B$7*O503)</f>
        <v/>
      </c>
      <c r="Q503" s="23" t="n">
        <v>3.0367</v>
      </c>
      <c r="R503" s="23" t="n">
        <v>101.4433</v>
      </c>
    </row>
    <row r="504" ht="15" customHeight="1" s="12">
      <c r="A504" s="18" t="inlineStr">
        <is>
          <t>Lomé</t>
        </is>
      </c>
      <c r="B504" s="18" t="inlineStr">
        <is>
          <t>Togo</t>
        </is>
      </c>
      <c r="C504" s="19" t="n">
        <v>8095498</v>
      </c>
      <c r="D504" s="18" t="inlineStr">
        <is>
          <t>TG</t>
        </is>
      </c>
      <c r="E504" s="18" t="inlineStr">
        <is>
          <t>24</t>
        </is>
      </c>
      <c r="F504" s="20" t="n">
        <v>749700</v>
      </c>
      <c r="G504" s="18" t="inlineStr">
        <is>
          <t>Yes</t>
        </is>
      </c>
      <c r="H504" s="18" t="inlineStr">
        <is>
          <t>LFW</t>
        </is>
      </c>
      <c r="I504" s="18" t="inlineStr">
        <is>
          <t>Lomé–Tokoin International Airport</t>
        </is>
      </c>
      <c r="J504" s="21" t="n">
        <v>5.5</v>
      </c>
      <c r="K504" s="18" t="inlineStr">
        <is>
          <t>LFW</t>
        </is>
      </c>
      <c r="L504" s="18" t="inlineStr">
        <is>
          <t>100k +  pop + capital + airport</t>
        </is>
      </c>
      <c r="M504" s="22" t="n">
        <v>0.663</v>
      </c>
      <c r="N504" s="22" t="n">
        <v>0</v>
      </c>
      <c r="O504" s="18" t="n"/>
      <c r="P504" s="22">
        <f>IF(O504="",(About!$B$5*M504+About!$B$6*N504)/(About!$B$5+About!$B$6),About!$B$5*M504+About!$B$6*N504+About!$B$7*O504)</f>
        <v/>
      </c>
      <c r="Q504" s="23" t="n">
        <v>6.1287</v>
      </c>
      <c r="R504" s="23" t="n">
        <v>1.2215</v>
      </c>
    </row>
    <row r="505" ht="15" customHeight="1" s="12">
      <c r="A505" s="18" t="inlineStr">
        <is>
          <t>Brno</t>
        </is>
      </c>
      <c r="B505" s="18" t="inlineStr">
        <is>
          <t>Czechia</t>
        </is>
      </c>
      <c r="C505" s="19" t="n">
        <v>10915839</v>
      </c>
      <c r="D505" s="18" t="inlineStr">
        <is>
          <t>CZ</t>
        </is>
      </c>
      <c r="E505" s="18" t="inlineStr">
        <is>
          <t>78</t>
        </is>
      </c>
      <c r="F505" s="20" t="n">
        <v>369559</v>
      </c>
      <c r="G505" s="18" t="n"/>
      <c r="H505" s="18" t="inlineStr">
        <is>
          <t>BRQ</t>
        </is>
      </c>
      <c r="I505" s="18" t="inlineStr">
        <is>
          <t>Brno-Tuřany Airport</t>
        </is>
      </c>
      <c r="J505" s="21" t="n">
        <v>7.9</v>
      </c>
      <c r="K505" s="18" t="inlineStr">
        <is>
          <t>BRQ</t>
        </is>
      </c>
      <c r="L505" s="18" t="inlineStr">
        <is>
          <t>100k +  pop + airport</t>
        </is>
      </c>
      <c r="M505" s="22" t="n">
        <v>0.664</v>
      </c>
      <c r="N505" s="22" t="n">
        <v>0</v>
      </c>
      <c r="O505" s="18" t="n"/>
      <c r="P505" s="22">
        <f>IF(O505="",(About!$B$5*M505+About!$B$6*N505)/(About!$B$5+About!$B$6),About!$B$5*M505+About!$B$6*N505+About!$B$7*O505)</f>
        <v/>
      </c>
      <c r="Q505" s="23" t="n">
        <v>49.1952</v>
      </c>
      <c r="R505" s="23" t="n">
        <v>16.608</v>
      </c>
    </row>
    <row r="506" ht="15" customHeight="1" s="12">
      <c r="A506" s="18" t="inlineStr">
        <is>
          <t>Larnaca</t>
        </is>
      </c>
      <c r="B506" s="18" t="inlineStr">
        <is>
          <t>Cyprus</t>
        </is>
      </c>
      <c r="C506" s="19" t="n">
        <v>983000</v>
      </c>
      <c r="D506" s="18" t="inlineStr">
        <is>
          <t>CY</t>
        </is>
      </c>
      <c r="E506" s="18" t="inlineStr">
        <is>
          <t>03</t>
        </is>
      </c>
      <c r="F506" s="20" t="n">
        <v>72000</v>
      </c>
      <c r="G506" s="18" t="n"/>
      <c r="H506" s="18" t="inlineStr">
        <is>
          <t>LCA</t>
        </is>
      </c>
      <c r="I506" s="18" t="inlineStr">
        <is>
          <t>Larnaca International Airport</t>
        </is>
      </c>
      <c r="J506" s="21" t="n">
        <v>5.3</v>
      </c>
      <c r="K506" s="18" t="inlineStr">
        <is>
          <t>LCA</t>
        </is>
      </c>
      <c r="L506" s="18" t="inlineStr">
        <is>
          <t>airport</t>
        </is>
      </c>
      <c r="M506" s="22" t="n">
        <v>0.664</v>
      </c>
      <c r="N506" s="22" t="n">
        <v>0</v>
      </c>
      <c r="O506" s="18" t="n"/>
      <c r="P506" s="22">
        <f>IF(O506="",(About!$B$5*M506+About!$B$6*N506)/(About!$B$5+About!$B$6),About!$B$5*M506+About!$B$6*N506+About!$B$7*O506)</f>
        <v/>
      </c>
      <c r="Q506" s="23" t="n">
        <v>34.9229</v>
      </c>
      <c r="R506" s="23" t="n">
        <v>33.6233</v>
      </c>
    </row>
    <row r="507" ht="15" customHeight="1" s="12">
      <c r="A507" s="18" t="inlineStr">
        <is>
          <t>Aberdeen</t>
        </is>
      </c>
      <c r="B507" s="18" t="inlineStr">
        <is>
          <t>United Kingdom</t>
        </is>
      </c>
      <c r="C507" s="19" t="n">
        <v>69487000</v>
      </c>
      <c r="D507" s="18" t="inlineStr">
        <is>
          <t>GB</t>
        </is>
      </c>
      <c r="E507" s="18" t="inlineStr">
        <is>
          <t>SCT</t>
        </is>
      </c>
      <c r="F507" s="20" t="n">
        <v>196670</v>
      </c>
      <c r="G507" s="18" t="n"/>
      <c r="H507" s="18" t="inlineStr">
        <is>
          <t>ABZ</t>
        </is>
      </c>
      <c r="I507" s="18" t="inlineStr">
        <is>
          <t>Aberdeen International Airport</t>
        </is>
      </c>
      <c r="J507" s="21" t="n">
        <v>8.800000000000001</v>
      </c>
      <c r="K507" s="18" t="inlineStr">
        <is>
          <t>ABZ</t>
        </is>
      </c>
      <c r="L507" s="18" t="inlineStr">
        <is>
          <t>100k +  pop + airport</t>
        </is>
      </c>
      <c r="M507" s="22" t="n">
        <v>0.662</v>
      </c>
      <c r="N507" s="22" t="n">
        <v>0</v>
      </c>
      <c r="O507" s="18" t="n"/>
      <c r="P507" s="22">
        <f>IF(O507="",(About!$B$5*M507+About!$B$6*N507)/(About!$B$5+About!$B$6),About!$B$5*M507+About!$B$6*N507+About!$B$7*O507)</f>
        <v/>
      </c>
      <c r="Q507" s="23" t="n">
        <v>57.1437</v>
      </c>
      <c r="R507" s="23" t="n">
        <v>-2.0981</v>
      </c>
    </row>
    <row r="508" ht="15" customHeight="1" s="12">
      <c r="A508" s="18" t="inlineStr">
        <is>
          <t>Lahore</t>
        </is>
      </c>
      <c r="B508" s="18" t="inlineStr">
        <is>
          <t>Pakistan</t>
        </is>
      </c>
      <c r="C508" s="19" t="n">
        <v>241499431</v>
      </c>
      <c r="D508" s="18" t="inlineStr">
        <is>
          <t>PK</t>
        </is>
      </c>
      <c r="E508" s="18" t="inlineStr">
        <is>
          <t>04</t>
        </is>
      </c>
      <c r="F508" s="20" t="n">
        <v>6310888</v>
      </c>
      <c r="G508" s="18" t="n"/>
      <c r="H508" s="18" t="inlineStr">
        <is>
          <t>LHE</t>
        </is>
      </c>
      <c r="I508" s="18" t="inlineStr">
        <is>
          <t>Allama Iqbal International Airport</t>
        </is>
      </c>
      <c r="J508" s="21" t="n">
        <v>6.4</v>
      </c>
      <c r="K508" s="18" t="inlineStr">
        <is>
          <t>LHE</t>
        </is>
      </c>
      <c r="L508" s="18" t="inlineStr">
        <is>
          <t>100k +  pop + airport</t>
        </is>
      </c>
      <c r="M508" s="22" t="n">
        <v>0.659</v>
      </c>
      <c r="N508" s="22" t="n">
        <v>0</v>
      </c>
      <c r="O508" s="18" t="n"/>
      <c r="P508" s="22">
        <f>IF(O508="",(About!$B$5*M508+About!$B$6*N508)/(About!$B$5+About!$B$6),About!$B$5*M508+About!$B$6*N508+About!$B$7*O508)</f>
        <v/>
      </c>
      <c r="Q508" s="23" t="n">
        <v>31.558</v>
      </c>
      <c r="R508" s="23" t="n">
        <v>74.3507</v>
      </c>
    </row>
    <row r="509" ht="15" customHeight="1" s="12">
      <c r="A509" s="18" t="inlineStr">
        <is>
          <t>Nagoya</t>
        </is>
      </c>
      <c r="B509" s="18" t="inlineStr">
        <is>
          <t>Japan</t>
        </is>
      </c>
      <c r="C509" s="19" t="n">
        <v>122810000</v>
      </c>
      <c r="D509" s="18" t="inlineStr">
        <is>
          <t>JP</t>
        </is>
      </c>
      <c r="E509" s="18" t="inlineStr">
        <is>
          <t>01</t>
        </is>
      </c>
      <c r="F509" s="20" t="n">
        <v>3943769</v>
      </c>
      <c r="G509" s="18" t="n"/>
      <c r="H509" s="18" t="inlineStr">
        <is>
          <t>NKM</t>
        </is>
      </c>
      <c r="I509" s="18" t="inlineStr">
        <is>
          <t>Nagoya Airport / JASDF Komaki Air Base</t>
        </is>
      </c>
      <c r="J509" s="21" t="n">
        <v>8.4</v>
      </c>
      <c r="K509" s="18" t="inlineStr">
        <is>
          <t>NKM</t>
        </is>
      </c>
      <c r="L509" s="18" t="inlineStr">
        <is>
          <t>100k +  pop + airport</t>
        </is>
      </c>
      <c r="M509" s="22" t="n">
        <v>0.659</v>
      </c>
      <c r="N509" s="22" t="n">
        <v>0</v>
      </c>
      <c r="O509" s="18" t="n"/>
      <c r="P509" s="22">
        <f>IF(O509="",(About!$B$5*M509+About!$B$6*N509)/(About!$B$5+About!$B$6),About!$B$5*M509+About!$B$6*N509+About!$B$7*O509)</f>
        <v/>
      </c>
      <c r="Q509" s="23" t="n">
        <v>35.1815</v>
      </c>
      <c r="R509" s="23" t="n">
        <v>136.9064</v>
      </c>
    </row>
    <row r="510" ht="15" customHeight="1" s="12">
      <c r="A510" s="18" t="inlineStr">
        <is>
          <t>Bamako</t>
        </is>
      </c>
      <c r="B510" s="18" t="inlineStr">
        <is>
          <t>Mali</t>
        </is>
      </c>
      <c r="C510" s="19" t="n">
        <v>22395489</v>
      </c>
      <c r="D510" s="18" t="inlineStr">
        <is>
          <t>ML</t>
        </is>
      </c>
      <c r="E510" s="18" t="inlineStr">
        <is>
          <t>01</t>
        </is>
      </c>
      <c r="F510" s="20" t="n">
        <v>1297281</v>
      </c>
      <c r="G510" s="18" t="inlineStr">
        <is>
          <t>Yes</t>
        </is>
      </c>
      <c r="H510" s="18" t="inlineStr">
        <is>
          <t>BKO</t>
        </is>
      </c>
      <c r="I510" s="18" t="inlineStr">
        <is>
          <t>Modibo Keita International Airport</t>
        </is>
      </c>
      <c r="J510" s="21" t="n">
        <v>14</v>
      </c>
      <c r="K510" s="18" t="inlineStr">
        <is>
          <t>BKO</t>
        </is>
      </c>
      <c r="L510" s="18" t="inlineStr">
        <is>
          <t>100k +  pop + capital + airport</t>
        </is>
      </c>
      <c r="M510" s="22" t="n">
        <v>0.66</v>
      </c>
      <c r="N510" s="22" t="n">
        <v>0</v>
      </c>
      <c r="O510" s="18" t="n"/>
      <c r="P510" s="22">
        <f>IF(O510="",(About!$B$5*M510+About!$B$6*N510)/(About!$B$5+About!$B$6),About!$B$5*M510+About!$B$6*N510+About!$B$7*O510)</f>
        <v/>
      </c>
      <c r="Q510" s="23" t="n">
        <v>12.65</v>
      </c>
      <c r="R510" s="23" t="n">
        <v>-8</v>
      </c>
    </row>
    <row r="511" ht="15" customHeight="1" s="12">
      <c r="A511" s="18" t="inlineStr">
        <is>
          <t>Pokhara</t>
        </is>
      </c>
      <c r="B511" s="18" t="inlineStr">
        <is>
          <t>Nepal</t>
        </is>
      </c>
      <c r="C511" s="19" t="n">
        <v>29911840</v>
      </c>
      <c r="D511" s="18" t="inlineStr">
        <is>
          <t>NP</t>
        </is>
      </c>
      <c r="E511" s="18" t="inlineStr">
        <is>
          <t>4</t>
        </is>
      </c>
      <c r="F511" s="20" t="n">
        <v>200000</v>
      </c>
      <c r="G511" s="18" t="n"/>
      <c r="H511" s="18" t="inlineStr">
        <is>
          <t>PKR</t>
        </is>
      </c>
      <c r="I511" s="18" t="inlineStr">
        <is>
          <t>Pokhara Domestic Airport</t>
        </is>
      </c>
      <c r="J511" s="21" t="n">
        <v>7.5</v>
      </c>
      <c r="K511" s="18" t="inlineStr">
        <is>
          <t>PHH+PKR</t>
        </is>
      </c>
      <c r="L511" s="18" t="inlineStr">
        <is>
          <t>100k +  pop + airport</t>
        </is>
      </c>
      <c r="M511" s="22" t="n">
        <v>0.66</v>
      </c>
      <c r="N511" s="22" t="n">
        <v>0</v>
      </c>
      <c r="O511" s="18" t="n"/>
      <c r="P511" s="22">
        <f>IF(O511="",(About!$B$5*M511+About!$B$6*N511)/(About!$B$5+About!$B$6),About!$B$5*M511+About!$B$6*N511+About!$B$7*O511)</f>
        <v/>
      </c>
      <c r="Q511" s="23" t="n">
        <v>28.2669</v>
      </c>
      <c r="R511" s="23" t="n">
        <v>83.96850000000001</v>
      </c>
    </row>
    <row r="512" ht="15" customHeight="1" s="12">
      <c r="A512" s="18" t="inlineStr">
        <is>
          <t>Gustavia</t>
        </is>
      </c>
      <c r="B512" s="18" t="inlineStr">
        <is>
          <t>Saint Barthélemy</t>
        </is>
      </c>
      <c r="C512" s="19" t="n">
        <v>10562</v>
      </c>
      <c r="D512" s="18" t="inlineStr">
        <is>
          <t>BL</t>
        </is>
      </c>
      <c r="E512" s="18" t="inlineStr">
        <is>
          <t>00</t>
        </is>
      </c>
      <c r="F512" s="20" t="n">
        <v>5988</v>
      </c>
      <c r="G512" s="18" t="inlineStr">
        <is>
          <t>Yes</t>
        </is>
      </c>
      <c r="H512" s="18" t="inlineStr">
        <is>
          <t>SBH</t>
        </is>
      </c>
      <c r="I512" s="18" t="inlineStr">
        <is>
          <t>St. Jean Airport</t>
        </is>
      </c>
      <c r="J512" s="21" t="n">
        <v>1.1</v>
      </c>
      <c r="K512" s="18" t="inlineStr">
        <is>
          <t>SBH</t>
        </is>
      </c>
      <c r="L512" s="18" t="inlineStr">
        <is>
          <t>capital</t>
        </is>
      </c>
      <c r="M512" s="22" t="n">
        <v>0.66</v>
      </c>
      <c r="N512" s="22" t="n">
        <v>0</v>
      </c>
      <c r="O512" s="18" t="n"/>
      <c r="P512" s="22">
        <f>IF(O512="",(About!$B$5*M512+About!$B$6*N512)/(About!$B$5+About!$B$6),About!$B$5*M512+About!$B$6*N512+About!$B$7*O512)</f>
        <v/>
      </c>
      <c r="Q512" s="23" t="n">
        <v>17.8962</v>
      </c>
      <c r="R512" s="23" t="n">
        <v>-62.8498</v>
      </c>
    </row>
    <row r="513" ht="15" customHeight="1" s="12">
      <c r="A513" s="18" t="inlineStr">
        <is>
          <t>Dakar</t>
        </is>
      </c>
      <c r="B513" s="18" t="inlineStr">
        <is>
          <t>Senegal</t>
        </is>
      </c>
      <c r="C513" s="19" t="n">
        <v>19075959</v>
      </c>
      <c r="D513" s="18" t="inlineStr">
        <is>
          <t>SN</t>
        </is>
      </c>
      <c r="E513" s="18" t="inlineStr">
        <is>
          <t>01</t>
        </is>
      </c>
      <c r="F513" s="20" t="n">
        <v>2476400</v>
      </c>
      <c r="G513" s="18" t="inlineStr">
        <is>
          <t>Yes</t>
        </is>
      </c>
      <c r="H513" s="18" t="inlineStr">
        <is>
          <t>DKR</t>
        </is>
      </c>
      <c r="I513" s="18" t="inlineStr">
        <is>
          <t>Léopold Sédar Senghor International Airport</t>
        </is>
      </c>
      <c r="J513" s="21" t="n">
        <v>6.6</v>
      </c>
      <c r="K513" s="18" t="inlineStr">
        <is>
          <t>DKR+DSS</t>
        </is>
      </c>
      <c r="L513" s="18" t="inlineStr">
        <is>
          <t>100k +  pop + capital + airport</t>
        </is>
      </c>
      <c r="M513" s="22" t="n">
        <v>0.658</v>
      </c>
      <c r="N513" s="22" t="n">
        <v>0</v>
      </c>
      <c r="O513" s="18" t="n"/>
      <c r="P513" s="22">
        <f>IF(O513="",(About!$B$5*M513+About!$B$6*N513)/(About!$B$5+About!$B$6),About!$B$5*M513+About!$B$6*N513+About!$B$7*O513)</f>
        <v/>
      </c>
      <c r="Q513" s="23" t="n">
        <v>14.6937</v>
      </c>
      <c r="R513" s="23" t="n">
        <v>-17.4441</v>
      </c>
    </row>
    <row r="514" ht="15" customHeight="1" s="12">
      <c r="A514" s="18" t="inlineStr">
        <is>
          <t>Ulsan</t>
        </is>
      </c>
      <c r="B514" s="18" t="inlineStr">
        <is>
          <t>South Korea</t>
        </is>
      </c>
      <c r="C514" s="19" t="n">
        <v>51111158</v>
      </c>
      <c r="D514" s="18" t="inlineStr">
        <is>
          <t>KR</t>
        </is>
      </c>
      <c r="E514" s="18" t="inlineStr">
        <is>
          <t>21</t>
        </is>
      </c>
      <c r="F514" s="20" t="n">
        <v>962865</v>
      </c>
      <c r="G514" s="18" t="n"/>
      <c r="H514" s="18" t="inlineStr">
        <is>
          <t>USN</t>
        </is>
      </c>
      <c r="I514" s="18" t="inlineStr">
        <is>
          <t>Ulsan Airport</t>
        </is>
      </c>
      <c r="J514" s="21" t="n">
        <v>7</v>
      </c>
      <c r="K514" s="18" t="inlineStr">
        <is>
          <t>USN</t>
        </is>
      </c>
      <c r="L514" s="18" t="inlineStr">
        <is>
          <t>100k +  pop + airport</t>
        </is>
      </c>
      <c r="M514" s="22" t="n">
        <v>0.657</v>
      </c>
      <c r="N514" s="22" t="n">
        <v>0</v>
      </c>
      <c r="O514" s="18" t="n"/>
      <c r="P514" s="22">
        <f>IF(O514="",(About!$B$5*M514+About!$B$6*N514)/(About!$B$5+About!$B$6),About!$B$5*M514+About!$B$6*N514+About!$B$7*O514)</f>
        <v/>
      </c>
      <c r="Q514" s="23" t="n">
        <v>35.5372</v>
      </c>
      <c r="R514" s="23" t="n">
        <v>129.3167</v>
      </c>
    </row>
    <row r="515" ht="15" customHeight="1" s="12">
      <c r="A515" s="18" t="inlineStr">
        <is>
          <t>Pikine</t>
        </is>
      </c>
      <c r="B515" s="18" t="inlineStr">
        <is>
          <t>Senegal</t>
        </is>
      </c>
      <c r="C515" s="19" t="n">
        <v>19075959</v>
      </c>
      <c r="D515" s="18" t="inlineStr">
        <is>
          <t>SN</t>
        </is>
      </c>
      <c r="E515" s="18" t="inlineStr">
        <is>
          <t>01</t>
        </is>
      </c>
      <c r="F515" s="20" t="n">
        <v>874062</v>
      </c>
      <c r="G515" s="18" t="n"/>
      <c r="H515" s="18" t="inlineStr">
        <is>
          <t>DKR</t>
        </is>
      </c>
      <c r="I515" s="18" t="inlineStr">
        <is>
          <t>Léopold Sédar Senghor International Airport</t>
        </is>
      </c>
      <c r="J515" s="21" t="n">
        <v>9.800000000000001</v>
      </c>
      <c r="K515" s="18" t="inlineStr">
        <is>
          <t>DKR</t>
        </is>
      </c>
      <c r="L515" s="18" t="inlineStr">
        <is>
          <t>100k +  pop + airport</t>
        </is>
      </c>
      <c r="M515" s="22" t="n">
        <v>0.658</v>
      </c>
      <c r="N515" s="22" t="n">
        <v>0</v>
      </c>
      <c r="O515" s="18" t="n"/>
      <c r="P515" s="22">
        <f>IF(O515="",(About!$B$5*M515+About!$B$6*N515)/(About!$B$5+About!$B$6),About!$B$5*M515+About!$B$6*N515+About!$B$7*O515)</f>
        <v/>
      </c>
      <c r="Q515" s="23" t="n">
        <v>14.7646</v>
      </c>
      <c r="R515" s="23" t="n">
        <v>-17.3907</v>
      </c>
    </row>
    <row r="516" ht="15" customHeight="1" s="12">
      <c r="A516" s="18" t="inlineStr">
        <is>
          <t>George Town</t>
        </is>
      </c>
      <c r="B516" s="18" t="inlineStr">
        <is>
          <t>Malaysia</t>
        </is>
      </c>
      <c r="C516" s="19" t="n">
        <v>34374300</v>
      </c>
      <c r="D516" s="18" t="inlineStr">
        <is>
          <t>MY</t>
        </is>
      </c>
      <c r="E516" s="18" t="inlineStr">
        <is>
          <t>09</t>
        </is>
      </c>
      <c r="F516" s="20" t="n">
        <v>300000</v>
      </c>
      <c r="G516" s="18" t="n"/>
      <c r="H516" s="18" t="inlineStr">
        <is>
          <t>PEN</t>
        </is>
      </c>
      <c r="I516" s="18" t="inlineStr">
        <is>
          <t>Penang International Airport</t>
        </is>
      </c>
      <c r="J516" s="21" t="n">
        <v>14.4</v>
      </c>
      <c r="K516" s="18" t="inlineStr">
        <is>
          <t>PEN</t>
        </is>
      </c>
      <c r="L516" s="18" t="inlineStr">
        <is>
          <t>100k +  pop</t>
        </is>
      </c>
      <c r="M516" s="22" t="n">
        <v>0.657</v>
      </c>
      <c r="N516" s="22" t="n">
        <v>0</v>
      </c>
      <c r="O516" s="18" t="n"/>
      <c r="P516" s="22">
        <f>IF(O516="",(About!$B$5*M516+About!$B$6*N516)/(About!$B$5+About!$B$6),About!$B$5*M516+About!$B$6*N516+About!$B$7*O516)</f>
        <v/>
      </c>
      <c r="Q516" s="23" t="n">
        <v>5.4112</v>
      </c>
      <c r="R516" s="23" t="n">
        <v>100.3354</v>
      </c>
    </row>
    <row r="517" ht="15" customHeight="1" s="12">
      <c r="A517" s="18" t="inlineStr">
        <is>
          <t>Kelowna</t>
        </is>
      </c>
      <c r="B517" s="18" t="inlineStr">
        <is>
          <t>Canada</t>
        </is>
      </c>
      <c r="C517" s="19" t="n">
        <v>41472081</v>
      </c>
      <c r="D517" s="18" t="inlineStr">
        <is>
          <t>CA</t>
        </is>
      </c>
      <c r="E517" s="18" t="inlineStr">
        <is>
          <t>02</t>
        </is>
      </c>
      <c r="F517" s="20" t="n">
        <v>125109</v>
      </c>
      <c r="G517" s="18" t="n"/>
      <c r="H517" s="18" t="inlineStr">
        <is>
          <t>YLW</t>
        </is>
      </c>
      <c r="I517" s="18" t="inlineStr">
        <is>
          <t>Kelowna International Airport</t>
        </is>
      </c>
      <c r="J517" s="21" t="n">
        <v>11.2</v>
      </c>
      <c r="K517" s="18" t="inlineStr">
        <is>
          <t>YLW</t>
        </is>
      </c>
      <c r="L517" s="18" t="inlineStr">
        <is>
          <t>100k +  pop + airport</t>
        </is>
      </c>
      <c r="M517" s="22" t="n">
        <v>0.658</v>
      </c>
      <c r="N517" s="22" t="n">
        <v>0</v>
      </c>
      <c r="O517" s="18" t="n"/>
      <c r="P517" s="22">
        <f>IF(O517="",(About!$B$5*M517+About!$B$6*N517)/(About!$B$5+About!$B$6),About!$B$5*M517+About!$B$6*N517+About!$B$7*O517)</f>
        <v/>
      </c>
      <c r="Q517" s="23" t="n">
        <v>49.8831</v>
      </c>
      <c r="R517" s="23" t="n">
        <v>-119.4857</v>
      </c>
    </row>
    <row r="518" ht="15" customHeight="1" s="12">
      <c r="A518" s="18" t="inlineStr">
        <is>
          <t>Buffalo</t>
        </is>
      </c>
      <c r="B518" s="18" t="inlineStr">
        <is>
          <t>United States</t>
        </is>
      </c>
      <c r="C518" s="19" t="n">
        <v>341784857</v>
      </c>
      <c r="D518" s="18" t="inlineStr">
        <is>
          <t>US</t>
        </is>
      </c>
      <c r="E518" s="18" t="inlineStr">
        <is>
          <t>NY</t>
        </is>
      </c>
      <c r="F518" s="20" t="n">
        <v>258071</v>
      </c>
      <c r="G518" s="18" t="n"/>
      <c r="H518" s="18" t="inlineStr">
        <is>
          <t>BUF</t>
        </is>
      </c>
      <c r="I518" s="18" t="inlineStr">
        <is>
          <t>Buffalo Niagara International Airport</t>
        </is>
      </c>
      <c r="J518" s="21" t="n">
        <v>13.3</v>
      </c>
      <c r="K518" s="18" t="inlineStr">
        <is>
          <t>BUF</t>
        </is>
      </c>
      <c r="L518" s="18" t="inlineStr">
        <is>
          <t>100k +  pop + airport</t>
        </is>
      </c>
      <c r="M518" s="22" t="n">
        <v>0.657</v>
      </c>
      <c r="N518" s="22" t="n">
        <v>0</v>
      </c>
      <c r="O518" s="18" t="n"/>
      <c r="P518" s="22">
        <f>IF(O518="",(About!$B$5*M518+About!$B$6*N518)/(About!$B$5+About!$B$6),About!$B$5*M518+About!$B$6*N518+About!$B$7*O518)</f>
        <v/>
      </c>
      <c r="Q518" s="23" t="n">
        <v>42.8865</v>
      </c>
      <c r="R518" s="23" t="n">
        <v>-78.8784</v>
      </c>
    </row>
    <row r="519" ht="15" customHeight="1" s="12">
      <c r="A519" s="18" t="inlineStr">
        <is>
          <t>Puerto Vallarta</t>
        </is>
      </c>
      <c r="B519" s="18" t="inlineStr">
        <is>
          <t>Mexico</t>
        </is>
      </c>
      <c r="C519" s="19" t="n">
        <v>131150866</v>
      </c>
      <c r="D519" s="18" t="inlineStr">
        <is>
          <t>MX</t>
        </is>
      </c>
      <c r="E519" s="18" t="inlineStr">
        <is>
          <t>14</t>
        </is>
      </c>
      <c r="F519" s="20" t="n">
        <v>203342</v>
      </c>
      <c r="G519" s="18" t="n"/>
      <c r="H519" s="18" t="inlineStr">
        <is>
          <t>PVR</t>
        </is>
      </c>
      <c r="I519" s="18" t="inlineStr">
        <is>
          <t>Puerto Vallarta International Airport</t>
        </is>
      </c>
      <c r="J519" s="21" t="n">
        <v>7.4</v>
      </c>
      <c r="K519" s="18" t="inlineStr">
        <is>
          <t>PVR</t>
        </is>
      </c>
      <c r="L519" s="18" t="inlineStr">
        <is>
          <t>100k +  pop + airport</t>
        </is>
      </c>
      <c r="M519" s="22" t="n">
        <v>0.655</v>
      </c>
      <c r="N519" s="22" t="n">
        <v>0</v>
      </c>
      <c r="O519" s="18" t="n"/>
      <c r="P519" s="22">
        <f>IF(O519="",(About!$B$5*M519+About!$B$6*N519)/(About!$B$5+About!$B$6),About!$B$5*M519+About!$B$6*N519+About!$B$7*O519)</f>
        <v/>
      </c>
      <c r="Q519" s="23" t="n">
        <v>20.617</v>
      </c>
      <c r="R519" s="23" t="n">
        <v>-105.2302</v>
      </c>
    </row>
    <row r="520" ht="15" customHeight="1" s="12">
      <c r="A520" s="18" t="inlineStr">
        <is>
          <t>Tashkent</t>
        </is>
      </c>
      <c r="B520" s="18" t="inlineStr">
        <is>
          <t>Uzbekistan</t>
        </is>
      </c>
      <c r="C520" s="19" t="n">
        <v>38382685</v>
      </c>
      <c r="D520" s="18" t="inlineStr">
        <is>
          <t>UZ</t>
        </is>
      </c>
      <c r="E520" s="18" t="inlineStr">
        <is>
          <t>13</t>
        </is>
      </c>
      <c r="F520" s="20" t="n">
        <v>1978028</v>
      </c>
      <c r="G520" s="18" t="inlineStr">
        <is>
          <t>Yes</t>
        </is>
      </c>
      <c r="H520" s="18" t="inlineStr">
        <is>
          <t>TAS</t>
        </is>
      </c>
      <c r="I520" s="18" t="inlineStr">
        <is>
          <t>Tashkent International Airport</t>
        </is>
      </c>
      <c r="J520" s="21" t="n">
        <v>5.5</v>
      </c>
      <c r="K520" s="18" t="inlineStr">
        <is>
          <t>TAS+TVT</t>
        </is>
      </c>
      <c r="L520" s="18" t="inlineStr">
        <is>
          <t>100k +  pop + capital + airport</t>
        </is>
      </c>
      <c r="M520" s="22" t="n">
        <v>0.654</v>
      </c>
      <c r="N520" s="22" t="n">
        <v>0</v>
      </c>
      <c r="O520" s="18" t="n"/>
      <c r="P520" s="22">
        <f>IF(O520="",(About!$B$5*M520+About!$B$6*N520)/(About!$B$5+About!$B$6),About!$B$5*M520+About!$B$6*N520+About!$B$7*O520)</f>
        <v/>
      </c>
      <c r="Q520" s="23" t="n">
        <v>41.2647</v>
      </c>
      <c r="R520" s="23" t="n">
        <v>69.2163</v>
      </c>
    </row>
    <row r="521" ht="15" customHeight="1" s="12">
      <c r="A521" s="18" t="inlineStr">
        <is>
          <t>Nagasaki</t>
        </is>
      </c>
      <c r="B521" s="18" t="inlineStr">
        <is>
          <t>Japan</t>
        </is>
      </c>
      <c r="C521" s="19" t="n">
        <v>122810000</v>
      </c>
      <c r="D521" s="18" t="inlineStr">
        <is>
          <t>JP</t>
        </is>
      </c>
      <c r="E521" s="18" t="inlineStr">
        <is>
          <t>27</t>
        </is>
      </c>
      <c r="F521" s="20" t="n">
        <v>410204</v>
      </c>
      <c r="G521" s="18" t="n"/>
      <c r="H521" s="18" t="inlineStr">
        <is>
          <t>NGS</t>
        </is>
      </c>
      <c r="I521" s="18" t="inlineStr">
        <is>
          <t>Nagasaki Airport</t>
        </is>
      </c>
      <c r="J521" s="21" t="n">
        <v>18.8</v>
      </c>
      <c r="K521" s="18" t="inlineStr">
        <is>
          <t>NGS</t>
        </is>
      </c>
      <c r="L521" s="18" t="inlineStr">
        <is>
          <t>100k +  pop + airport</t>
        </is>
      </c>
      <c r="M521" s="22" t="n">
        <v>0.654</v>
      </c>
      <c r="N521" s="22" t="n">
        <v>0</v>
      </c>
      <c r="O521" s="18" t="n"/>
      <c r="P521" s="22">
        <f>IF(O521="",(About!$B$5*M521+About!$B$6*N521)/(About!$B$5+About!$B$6),About!$B$5*M521+About!$B$6*N521+About!$B$7*O521)</f>
        <v/>
      </c>
      <c r="Q521" s="23" t="n">
        <v>32.75</v>
      </c>
      <c r="R521" s="23" t="n">
        <v>129.8833</v>
      </c>
    </row>
    <row r="522" ht="15" customHeight="1" s="12">
      <c r="A522" s="18" t="inlineStr">
        <is>
          <t>Victoria</t>
        </is>
      </c>
      <c r="B522" s="18" t="inlineStr">
        <is>
          <t>Canada</t>
        </is>
      </c>
      <c r="C522" s="19" t="n">
        <v>41472081</v>
      </c>
      <c r="D522" s="18" t="inlineStr">
        <is>
          <t>CA</t>
        </is>
      </c>
      <c r="E522" s="18" t="inlineStr">
        <is>
          <t>02</t>
        </is>
      </c>
      <c r="F522" s="20" t="n">
        <v>289625</v>
      </c>
      <c r="G522" s="18" t="n"/>
      <c r="H522" s="18" t="inlineStr">
        <is>
          <t>YYJ</t>
        </is>
      </c>
      <c r="I522" s="18" t="inlineStr">
        <is>
          <t>Victoria International Airport</t>
        </is>
      </c>
      <c r="J522" s="21" t="n">
        <v>24.2</v>
      </c>
      <c r="K522" s="18" t="inlineStr">
        <is>
          <t>YWH+YYJ</t>
        </is>
      </c>
      <c r="L522" s="18" t="inlineStr">
        <is>
          <t>100k +  pop + airport</t>
        </is>
      </c>
      <c r="M522" s="22" t="n">
        <v>0.655</v>
      </c>
      <c r="N522" s="22" t="n">
        <v>0</v>
      </c>
      <c r="O522" s="18" t="n"/>
      <c r="P522" s="22">
        <f>IF(O522="",(About!$B$5*M522+About!$B$6*N522)/(About!$B$5+About!$B$6),About!$B$5*M522+About!$B$6*N522+About!$B$7*O522)</f>
        <v/>
      </c>
      <c r="Q522" s="23" t="n">
        <v>48.4359</v>
      </c>
      <c r="R522" s="23" t="n">
        <v>-123.3516</v>
      </c>
    </row>
    <row r="523" ht="15" customHeight="1" s="12">
      <c r="A523" s="18" t="inlineStr">
        <is>
          <t>Strasbourg</t>
        </is>
      </c>
      <c r="B523" s="18" t="inlineStr">
        <is>
          <t>France</t>
        </is>
      </c>
      <c r="C523" s="19" t="n">
        <v>69081996</v>
      </c>
      <c r="D523" s="18" t="inlineStr">
        <is>
          <t>FR</t>
        </is>
      </c>
      <c r="E523" s="18" t="inlineStr">
        <is>
          <t>44</t>
        </is>
      </c>
      <c r="F523" s="20" t="n">
        <v>274845</v>
      </c>
      <c r="G523" s="18" t="n"/>
      <c r="H523" s="18" t="inlineStr">
        <is>
          <t>SXB</t>
        </is>
      </c>
      <c r="I523" s="18" t="inlineStr">
        <is>
          <t>Strasbourg Airport</t>
        </is>
      </c>
      <c r="J523" s="21" t="n">
        <v>10</v>
      </c>
      <c r="K523" s="18" t="inlineStr">
        <is>
          <t>SXB</t>
        </is>
      </c>
      <c r="L523" s="18" t="inlineStr">
        <is>
          <t>100k +  pop + airport</t>
        </is>
      </c>
      <c r="M523" s="22" t="n">
        <v>0.655</v>
      </c>
      <c r="N523" s="22" t="n">
        <v>0</v>
      </c>
      <c r="O523" s="18" t="n"/>
      <c r="P523" s="22">
        <f>IF(O523="",(About!$B$5*M523+About!$B$6*N523)/(About!$B$5+About!$B$6),About!$B$5*M523+About!$B$6*N523+About!$B$7*O523)</f>
        <v/>
      </c>
      <c r="Q523" s="23" t="n">
        <v>48.5839</v>
      </c>
      <c r="R523" s="23" t="n">
        <v>7.7455</v>
      </c>
    </row>
    <row r="524" ht="15" customHeight="1" s="12">
      <c r="A524" s="18" t="inlineStr">
        <is>
          <t>Mandalay</t>
        </is>
      </c>
      <c r="B524" s="18" t="inlineStr">
        <is>
          <t>Myanmar</t>
        </is>
      </c>
      <c r="C524" s="19" t="n">
        <v>51375327</v>
      </c>
      <c r="D524" s="18" t="inlineStr">
        <is>
          <t>MM</t>
        </is>
      </c>
      <c r="E524" s="18" t="inlineStr">
        <is>
          <t>08</t>
        </is>
      </c>
      <c r="F524" s="20" t="n">
        <v>1208099</v>
      </c>
      <c r="G524" s="18" t="n"/>
      <c r="H524" s="18" t="inlineStr">
        <is>
          <t>MDL</t>
        </is>
      </c>
      <c r="I524" s="18" t="inlineStr">
        <is>
          <t>Mandalay International Airport</t>
        </is>
      </c>
      <c r="J524" s="21" t="n">
        <v>32.2</v>
      </c>
      <c r="K524" s="18" t="inlineStr">
        <is>
          <t>MDL</t>
        </is>
      </c>
      <c r="L524" s="18" t="inlineStr">
        <is>
          <t>100k +  pop + airport</t>
        </is>
      </c>
      <c r="M524" s="22" t="n">
        <v>0.653</v>
      </c>
      <c r="N524" s="22" t="n">
        <v>0</v>
      </c>
      <c r="O524" s="18" t="n"/>
      <c r="P524" s="22">
        <f>IF(O524="",(About!$B$5*M524+About!$B$6*N524)/(About!$B$5+About!$B$6),About!$B$5*M524+About!$B$6*N524+About!$B$7*O524)</f>
        <v/>
      </c>
      <c r="Q524" s="23" t="n">
        <v>21.9747</v>
      </c>
      <c r="R524" s="23" t="n">
        <v>96.0836</v>
      </c>
    </row>
    <row r="525" ht="15" customHeight="1" s="12">
      <c r="A525" s="18" t="inlineStr">
        <is>
          <t>Montego Bay</t>
        </is>
      </c>
      <c r="B525" s="18" t="inlineStr">
        <is>
          <t>Jamaica</t>
        </is>
      </c>
      <c r="C525" s="19" t="n">
        <v>2774538</v>
      </c>
      <c r="D525" s="18" t="inlineStr">
        <is>
          <t>JM</t>
        </is>
      </c>
      <c r="E525" s="18" t="inlineStr">
        <is>
          <t>12</t>
        </is>
      </c>
      <c r="F525" s="20" t="n">
        <v>82867</v>
      </c>
      <c r="G525" s="18" t="n"/>
      <c r="H525" s="18" t="inlineStr">
        <is>
          <t>MBJ</t>
        </is>
      </c>
      <c r="I525" s="18" t="inlineStr">
        <is>
          <t>Sangster International Airport</t>
        </is>
      </c>
      <c r="J525" s="21" t="n">
        <v>3.6</v>
      </c>
      <c r="K525" s="18" t="inlineStr">
        <is>
          <t>MBJ</t>
        </is>
      </c>
      <c r="L525" s="18" t="inlineStr">
        <is>
          <t>airport</t>
        </is>
      </c>
      <c r="M525" s="22" t="n">
        <v>0.652</v>
      </c>
      <c r="N525" s="22" t="n">
        <v>0</v>
      </c>
      <c r="O525" s="18" t="n"/>
      <c r="P525" s="22">
        <f>IF(O525="",(About!$B$5*M525+About!$B$6*N525)/(About!$B$5+About!$B$6),About!$B$5*M525+About!$B$6*N525+About!$B$7*O525)</f>
        <v/>
      </c>
      <c r="Q525" s="23" t="n">
        <v>18.4712</v>
      </c>
      <c r="R525" s="23" t="n">
        <v>-77.9188</v>
      </c>
    </row>
    <row r="526" ht="15" customHeight="1" s="12">
      <c r="A526" s="18" t="inlineStr">
        <is>
          <t>Florianópolis</t>
        </is>
      </c>
      <c r="B526" s="18" t="inlineStr">
        <is>
          <t>Brazil</t>
        </is>
      </c>
      <c r="C526" s="19" t="n">
        <v>213421037</v>
      </c>
      <c r="D526" s="18" t="inlineStr">
        <is>
          <t>BR</t>
        </is>
      </c>
      <c r="E526" s="18" t="inlineStr">
        <is>
          <t>26</t>
        </is>
      </c>
      <c r="F526" s="20" t="n">
        <v>412724</v>
      </c>
      <c r="G526" s="18" t="n"/>
      <c r="H526" s="18" t="inlineStr">
        <is>
          <t>FLN</t>
        </is>
      </c>
      <c r="I526" s="18" t="inlineStr">
        <is>
          <t>Hercílio Luz International Airport</t>
        </is>
      </c>
      <c r="J526" s="21" t="n">
        <v>8.199999999999999</v>
      </c>
      <c r="K526" s="18" t="inlineStr">
        <is>
          <t>FLN</t>
        </is>
      </c>
      <c r="L526" s="18" t="inlineStr">
        <is>
          <t>100k +  pop + airport</t>
        </is>
      </c>
      <c r="M526" s="22" t="n">
        <v>0.649</v>
      </c>
      <c r="N526" s="22" t="n">
        <v>0</v>
      </c>
      <c r="O526" s="18" t="n"/>
      <c r="P526" s="22">
        <f>IF(O526="",(About!$B$5*M526+About!$B$6*N526)/(About!$B$5+About!$B$6),About!$B$5*M526+About!$B$6*N526+About!$B$7*O526)</f>
        <v/>
      </c>
      <c r="Q526" s="23" t="n">
        <v>-27.5967</v>
      </c>
      <c r="R526" s="23" t="n">
        <v>-48.5492</v>
      </c>
    </row>
    <row r="527" ht="15" customHeight="1" s="12">
      <c r="A527" s="18" t="inlineStr">
        <is>
          <t>Southampton</t>
        </is>
      </c>
      <c r="B527" s="18" t="inlineStr">
        <is>
          <t>United Kingdom</t>
        </is>
      </c>
      <c r="C527" s="19" t="n">
        <v>69487000</v>
      </c>
      <c r="D527" s="18" t="inlineStr">
        <is>
          <t>GB</t>
        </is>
      </c>
      <c r="E527" s="18" t="inlineStr">
        <is>
          <t>ENG</t>
        </is>
      </c>
      <c r="F527" s="20" t="n">
        <v>246201</v>
      </c>
      <c r="G527" s="18" t="n"/>
      <c r="H527" s="18" t="inlineStr">
        <is>
          <t>SOU</t>
        </is>
      </c>
      <c r="I527" s="18" t="inlineStr">
        <is>
          <t>Southampton Airport</t>
        </is>
      </c>
      <c r="J527" s="21" t="n">
        <v>6.1</v>
      </c>
      <c r="K527" s="18" t="inlineStr">
        <is>
          <t>SOU</t>
        </is>
      </c>
      <c r="L527" s="18" t="inlineStr">
        <is>
          <t>100k +  pop + airport</t>
        </is>
      </c>
      <c r="M527" s="22" t="n">
        <v>0.646</v>
      </c>
      <c r="N527" s="22" t="n">
        <v>0</v>
      </c>
      <c r="O527" s="18" t="n"/>
      <c r="P527" s="22">
        <f>IF(O527="",(About!$B$5*M527+About!$B$6*N527)/(About!$B$5+About!$B$6),About!$B$5*M527+About!$B$6*N527+About!$B$7*O527)</f>
        <v/>
      </c>
      <c r="Q527" s="23" t="n">
        <v>50.904</v>
      </c>
      <c r="R527" s="23" t="n">
        <v>-1.4043</v>
      </c>
    </row>
    <row r="528" ht="15" customHeight="1" s="12">
      <c r="A528" s="18" t="inlineStr">
        <is>
          <t>Graz</t>
        </is>
      </c>
      <c r="B528" s="18" t="inlineStr">
        <is>
          <t>Austria</t>
        </is>
      </c>
      <c r="C528" s="19" t="n">
        <v>9220882</v>
      </c>
      <c r="D528" s="18" t="inlineStr">
        <is>
          <t>AT</t>
        </is>
      </c>
      <c r="E528" s="18" t="inlineStr">
        <is>
          <t>06</t>
        </is>
      </c>
      <c r="F528" s="20" t="n">
        <v>222326</v>
      </c>
      <c r="G528" s="18" t="n"/>
      <c r="H528" s="18" t="inlineStr">
        <is>
          <t>GRZ</t>
        </is>
      </c>
      <c r="I528" s="18" t="inlineStr">
        <is>
          <t>Graz Airport</t>
        </is>
      </c>
      <c r="J528" s="21" t="n">
        <v>8.4</v>
      </c>
      <c r="K528" s="18" t="inlineStr">
        <is>
          <t>GRZ</t>
        </is>
      </c>
      <c r="L528" s="18" t="inlineStr">
        <is>
          <t>100k +  pop + airport</t>
        </is>
      </c>
      <c r="M528" s="22" t="n">
        <v>0.647</v>
      </c>
      <c r="N528" s="22" t="n">
        <v>0</v>
      </c>
      <c r="O528" s="18" t="n"/>
      <c r="P528" s="22">
        <f>IF(O528="",(About!$B$5*M528+About!$B$6*N528)/(About!$B$5+About!$B$6),About!$B$5*M528+About!$B$6*N528+About!$B$7*O528)</f>
        <v/>
      </c>
      <c r="Q528" s="23" t="n">
        <v>47.0667</v>
      </c>
      <c r="R528" s="23" t="n">
        <v>15.45</v>
      </c>
    </row>
    <row r="529" ht="15" customHeight="1" s="12">
      <c r="A529" s="18" t="inlineStr">
        <is>
          <t>Saint-Denis</t>
        </is>
      </c>
      <c r="B529" s="18" t="inlineStr">
        <is>
          <t>Réunion</t>
        </is>
      </c>
      <c r="C529" s="19" t="n">
        <v>885000</v>
      </c>
      <c r="D529" s="18" t="inlineStr">
        <is>
          <t>RE</t>
        </is>
      </c>
      <c r="E529" s="18" t="inlineStr">
        <is>
          <t>RE</t>
        </is>
      </c>
      <c r="F529" s="20" t="n">
        <v>137195</v>
      </c>
      <c r="G529" s="18" t="inlineStr">
        <is>
          <t>Yes</t>
        </is>
      </c>
      <c r="H529" s="18" t="inlineStr">
        <is>
          <t>RUN</t>
        </is>
      </c>
      <c r="I529" s="18" t="inlineStr">
        <is>
          <t>Roland Garros Airport</t>
        </is>
      </c>
      <c r="J529" s="21" t="n">
        <v>7.2</v>
      </c>
      <c r="K529" s="18" t="inlineStr">
        <is>
          <t>RUN</t>
        </is>
      </c>
      <c r="L529" s="18" t="inlineStr">
        <is>
          <t>100k +  pop + capital + airport</t>
        </is>
      </c>
      <c r="M529" s="22" t="n">
        <v>0.646</v>
      </c>
      <c r="N529" s="22" t="n">
        <v>0</v>
      </c>
      <c r="O529" s="18" t="n"/>
      <c r="P529" s="22">
        <f>IF(O529="",(About!$B$5*M529+About!$B$6*N529)/(About!$B$5+About!$B$6),About!$B$5*M529+About!$B$6*N529+About!$B$7*O529)</f>
        <v/>
      </c>
      <c r="Q529" s="23" t="n">
        <v>-20.8823</v>
      </c>
      <c r="R529" s="23" t="n">
        <v>55.4504</v>
      </c>
    </row>
    <row r="530" ht="15" customHeight="1" s="12">
      <c r="A530" s="18" t="inlineStr">
        <is>
          <t>Baghdad</t>
        </is>
      </c>
      <c r="B530" s="18" t="inlineStr">
        <is>
          <t>Iraq</t>
        </is>
      </c>
      <c r="C530" s="19" t="n">
        <v>46118793</v>
      </c>
      <c r="D530" s="18" t="inlineStr">
        <is>
          <t>IQ</t>
        </is>
      </c>
      <c r="E530" s="18" t="inlineStr">
        <is>
          <t>07</t>
        </is>
      </c>
      <c r="F530" s="20" t="n">
        <v>7216000</v>
      </c>
      <c r="G530" s="18" t="inlineStr">
        <is>
          <t>Yes</t>
        </is>
      </c>
      <c r="H530" s="18" t="inlineStr">
        <is>
          <t>BGW</t>
        </is>
      </c>
      <c r="I530" s="18" t="inlineStr">
        <is>
          <t>Baghdad International Airport / New Al Muthana Air Base</t>
        </is>
      </c>
      <c r="J530" s="21" t="n">
        <v>17.7</v>
      </c>
      <c r="K530" s="18" t="inlineStr">
        <is>
          <t>BGW</t>
        </is>
      </c>
      <c r="L530" s="18" t="inlineStr">
        <is>
          <t>100k +  pop + capital + airport</t>
        </is>
      </c>
      <c r="M530" s="22" t="n">
        <v>0.643</v>
      </c>
      <c r="N530" s="22" t="n">
        <v>0</v>
      </c>
      <c r="O530" s="18" t="n"/>
      <c r="P530" s="22">
        <f>IF(O530="",(About!$B$5*M530+About!$B$6*N530)/(About!$B$5+About!$B$6),About!$B$5*M530+About!$B$6*N530+About!$B$7*O530)</f>
        <v/>
      </c>
      <c r="Q530" s="23" t="n">
        <v>33.3406</v>
      </c>
      <c r="R530" s="23" t="n">
        <v>44.4009</v>
      </c>
    </row>
    <row r="531" ht="15" customHeight="1" s="12">
      <c r="A531" s="18" t="inlineStr">
        <is>
          <t>Mogadishu</t>
        </is>
      </c>
      <c r="B531" s="18" t="inlineStr">
        <is>
          <t>Somalia</t>
        </is>
      </c>
      <c r="C531" s="19" t="n">
        <v>19655000</v>
      </c>
      <c r="D531" s="18" t="inlineStr">
        <is>
          <t>SO</t>
        </is>
      </c>
      <c r="E531" s="18" t="inlineStr">
        <is>
          <t>02</t>
        </is>
      </c>
      <c r="F531" s="20" t="n">
        <v>2587183</v>
      </c>
      <c r="G531" s="18" t="inlineStr">
        <is>
          <t>Yes</t>
        </is>
      </c>
      <c r="H531" s="18" t="inlineStr">
        <is>
          <t>MGQ</t>
        </is>
      </c>
      <c r="I531" s="18" t="inlineStr">
        <is>
          <t>Aden Adde International Airport</t>
        </is>
      </c>
      <c r="J531" s="21" t="n">
        <v>5</v>
      </c>
      <c r="K531" s="18" t="inlineStr">
        <is>
          <t>MGQ</t>
        </is>
      </c>
      <c r="L531" s="18" t="inlineStr">
        <is>
          <t>100k +  pop + capital + airport</t>
        </is>
      </c>
      <c r="M531" s="22" t="n">
        <v>0.643</v>
      </c>
      <c r="N531" s="22" t="n">
        <v>0</v>
      </c>
      <c r="O531" s="18" t="n"/>
      <c r="P531" s="22">
        <f>IF(O531="",(About!$B$5*M531+About!$B$6*N531)/(About!$B$5+About!$B$6),About!$B$5*M531+About!$B$6*N531+About!$B$7*O531)</f>
        <v/>
      </c>
      <c r="Q531" s="23" t="n">
        <v>2.0371</v>
      </c>
      <c r="R531" s="23" t="n">
        <v>45.3438</v>
      </c>
    </row>
    <row r="532" ht="15" customHeight="1" s="12">
      <c r="A532" s="18" t="inlineStr">
        <is>
          <t>Abū Ghurayb</t>
        </is>
      </c>
      <c r="B532" s="18" t="inlineStr">
        <is>
          <t>Iraq</t>
        </is>
      </c>
      <c r="C532" s="19" t="n">
        <v>46118793</v>
      </c>
      <c r="D532" s="18" t="inlineStr">
        <is>
          <t>IQ</t>
        </is>
      </c>
      <c r="E532" s="18" t="inlineStr">
        <is>
          <t>07</t>
        </is>
      </c>
      <c r="F532" s="20" t="n">
        <v>900000</v>
      </c>
      <c r="G532" s="18" t="n"/>
      <c r="H532" s="18" t="inlineStr">
        <is>
          <t>BGW</t>
        </is>
      </c>
      <c r="I532" s="18" t="inlineStr">
        <is>
          <t>Baghdad International Airport / New Al Muthana Air Base</t>
        </is>
      </c>
      <c r="J532" s="21" t="n">
        <v>6.7</v>
      </c>
      <c r="K532" s="18" t="inlineStr">
        <is>
          <t>BGW</t>
        </is>
      </c>
      <c r="L532" s="18" t="inlineStr">
        <is>
          <t>100k +  pop + airport</t>
        </is>
      </c>
      <c r="M532" s="22" t="n">
        <v>0.643</v>
      </c>
      <c r="N532" s="22" t="n">
        <v>0</v>
      </c>
      <c r="O532" s="18" t="n"/>
      <c r="P532" s="22">
        <f>IF(O532="",(About!$B$5*M532+About!$B$6*N532)/(About!$B$5+About!$B$6),About!$B$5*M532+About!$B$6*N532+About!$B$7*O532)</f>
        <v/>
      </c>
      <c r="Q532" s="23" t="n">
        <v>33.3056</v>
      </c>
      <c r="R532" s="23" t="n">
        <v>44.1848</v>
      </c>
    </row>
    <row r="533" ht="15" customHeight="1" s="12">
      <c r="A533" s="18" t="inlineStr">
        <is>
          <t>Mwanza</t>
        </is>
      </c>
      <c r="B533" s="18" t="inlineStr">
        <is>
          <t>Tanzania</t>
        </is>
      </c>
      <c r="C533" s="19" t="n">
        <v>68153004</v>
      </c>
      <c r="D533" s="18" t="inlineStr">
        <is>
          <t>TZ</t>
        </is>
      </c>
      <c r="E533" s="18" t="inlineStr">
        <is>
          <t>12</t>
        </is>
      </c>
      <c r="F533" s="20" t="n">
        <v>436801</v>
      </c>
      <c r="G533" s="18" t="n"/>
      <c r="H533" s="18" t="inlineStr">
        <is>
          <t>MWZ</t>
        </is>
      </c>
      <c r="I533" s="18" t="inlineStr">
        <is>
          <t>Mwanza International Airport</t>
        </is>
      </c>
      <c r="J533" s="21" t="n">
        <v>8.800000000000001</v>
      </c>
      <c r="K533" s="18" t="inlineStr">
        <is>
          <t>MWZ</t>
        </is>
      </c>
      <c r="L533" s="18" t="inlineStr">
        <is>
          <t>100k +  pop + airport</t>
        </is>
      </c>
      <c r="M533" s="22" t="n">
        <v>0.644</v>
      </c>
      <c r="N533" s="22" t="n">
        <v>0</v>
      </c>
      <c r="O533" s="18" t="n"/>
      <c r="P533" s="22">
        <f>IF(O533="",(About!$B$5*M533+About!$B$6*N533)/(About!$B$5+About!$B$6),About!$B$5*M533+About!$B$6*N533+About!$B$7*O533)</f>
        <v/>
      </c>
      <c r="Q533" s="23" t="n">
        <v>-2.5167</v>
      </c>
      <c r="R533" s="23" t="n">
        <v>32.9</v>
      </c>
    </row>
    <row r="534" ht="15" customHeight="1" s="12">
      <c r="A534" s="18" t="inlineStr">
        <is>
          <t>Bandar Abbas</t>
        </is>
      </c>
      <c r="B534" s="18" t="inlineStr">
        <is>
          <t>Iran</t>
        </is>
      </c>
      <c r="C534" s="19" t="n">
        <v>87134000</v>
      </c>
      <c r="D534" s="18" t="inlineStr">
        <is>
          <t>IR</t>
        </is>
      </c>
      <c r="E534" s="18" t="inlineStr">
        <is>
          <t>11</t>
        </is>
      </c>
      <c r="F534" s="20" t="n">
        <v>352173</v>
      </c>
      <c r="G534" s="18" t="n"/>
      <c r="H534" s="18" t="inlineStr">
        <is>
          <t>BND</t>
        </is>
      </c>
      <c r="I534" s="18" t="inlineStr">
        <is>
          <t>Bandar Abbas International Airport</t>
        </is>
      </c>
      <c r="J534" s="21" t="n">
        <v>10.2</v>
      </c>
      <c r="K534" s="18" t="inlineStr">
        <is>
          <t>BND</t>
        </is>
      </c>
      <c r="L534" s="18" t="inlineStr">
        <is>
          <t>100k +  pop + airport</t>
        </is>
      </c>
      <c r="M534" s="22" t="n">
        <v>0.644</v>
      </c>
      <c r="N534" s="22" t="n">
        <v>0</v>
      </c>
      <c r="O534" s="18" t="n"/>
      <c r="P534" s="22">
        <f>IF(O534="",(About!$B$5*M534+About!$B$6*N534)/(About!$B$5+About!$B$6),About!$B$5*M534+About!$B$6*N534+About!$B$7*O534)</f>
        <v/>
      </c>
      <c r="Q534" s="23" t="n">
        <v>27.1865</v>
      </c>
      <c r="R534" s="23" t="n">
        <v>56.2808</v>
      </c>
    </row>
    <row r="535" ht="15" customHeight="1" s="12">
      <c r="A535" s="18" t="inlineStr">
        <is>
          <t>Hobart</t>
        </is>
      </c>
      <c r="B535" s="18" t="inlineStr">
        <is>
          <t>Australia</t>
        </is>
      </c>
      <c r="C535" s="19" t="n">
        <v>27724744</v>
      </c>
      <c r="D535" s="18" t="inlineStr">
        <is>
          <t>AU</t>
        </is>
      </c>
      <c r="E535" s="18" t="inlineStr">
        <is>
          <t>06</t>
        </is>
      </c>
      <c r="F535" s="20" t="n">
        <v>216656</v>
      </c>
      <c r="G535" s="18" t="n"/>
      <c r="H535" s="18" t="inlineStr">
        <is>
          <t>HBA</t>
        </is>
      </c>
      <c r="I535" s="18" t="inlineStr">
        <is>
          <t>Hobart International Airport</t>
        </is>
      </c>
      <c r="J535" s="21" t="n">
        <v>15.7</v>
      </c>
      <c r="K535" s="18" t="inlineStr">
        <is>
          <t>HBA</t>
        </is>
      </c>
      <c r="L535" s="18" t="inlineStr">
        <is>
          <t>100k +  pop</t>
        </is>
      </c>
      <c r="M535" s="22" t="n">
        <v>0.644</v>
      </c>
      <c r="N535" s="22" t="n">
        <v>0</v>
      </c>
      <c r="O535" s="18" t="n"/>
      <c r="P535" s="22">
        <f>IF(O535="",(About!$B$5*M535+About!$B$6*N535)/(About!$B$5+About!$B$6),About!$B$5*M535+About!$B$6*N535+About!$B$7*O535)</f>
        <v/>
      </c>
      <c r="Q535" s="23" t="n">
        <v>-42.8794</v>
      </c>
      <c r="R535" s="23" t="n">
        <v>147.3294</v>
      </c>
    </row>
    <row r="536" ht="15" customHeight="1" s="12">
      <c r="A536" s="18" t="inlineStr">
        <is>
          <t>Lijiang</t>
        </is>
      </c>
      <c r="B536" s="18" t="inlineStr">
        <is>
          <t>China</t>
        </is>
      </c>
      <c r="C536" s="19" t="n">
        <v>1404890000</v>
      </c>
      <c r="D536" s="18" t="inlineStr">
        <is>
          <t>CN</t>
        </is>
      </c>
      <c r="E536" s="18" t="inlineStr">
        <is>
          <t>29</t>
        </is>
      </c>
      <c r="F536" s="20" t="n">
        <v>1137600</v>
      </c>
      <c r="G536" s="18" t="n"/>
      <c r="H536" s="18" t="inlineStr">
        <is>
          <t>LJG</t>
        </is>
      </c>
      <c r="I536" s="18" t="inlineStr">
        <is>
          <t>Lijiang Sanyi International Airport</t>
        </is>
      </c>
      <c r="J536" s="21" t="n">
        <v>21.4</v>
      </c>
      <c r="K536" s="18" t="inlineStr">
        <is>
          <t>LJG</t>
        </is>
      </c>
      <c r="L536" s="18" t="inlineStr">
        <is>
          <t>100k +  pop + airport</t>
        </is>
      </c>
      <c r="M536" s="22" t="n">
        <v>0.642</v>
      </c>
      <c r="N536" s="22" t="n">
        <v>0</v>
      </c>
      <c r="O536" s="18" t="n"/>
      <c r="P536" s="22">
        <f>IF(O536="",(About!$B$5*M536+About!$B$6*N536)/(About!$B$5+About!$B$6),About!$B$5*M536+About!$B$6*N536+About!$B$7*O536)</f>
        <v/>
      </c>
      <c r="Q536" s="23" t="n">
        <v>26.8688</v>
      </c>
      <c r="R536" s="23" t="n">
        <v>100.2207</v>
      </c>
    </row>
    <row r="537" ht="15" customHeight="1" s="12">
      <c r="A537" s="18" t="inlineStr">
        <is>
          <t>St. Petersburg</t>
        </is>
      </c>
      <c r="B537" s="18" t="inlineStr">
        <is>
          <t>United States</t>
        </is>
      </c>
      <c r="C537" s="19" t="n">
        <v>341784857</v>
      </c>
      <c r="D537" s="18" t="inlineStr">
        <is>
          <t>US</t>
        </is>
      </c>
      <c r="E537" s="18" t="inlineStr">
        <is>
          <t>FL</t>
        </is>
      </c>
      <c r="F537" s="20" t="n">
        <v>257083</v>
      </c>
      <c r="G537" s="18" t="n"/>
      <c r="H537" s="18" t="inlineStr">
        <is>
          <t>PIE</t>
        </is>
      </c>
      <c r="I537" s="18" t="inlineStr">
        <is>
          <t>St. Petersburg Clearwater International Airport</t>
        </is>
      </c>
      <c r="J537" s="21" t="n">
        <v>15.5</v>
      </c>
      <c r="K537" s="18" t="inlineStr">
        <is>
          <t>PIE</t>
        </is>
      </c>
      <c r="L537" s="18" t="inlineStr">
        <is>
          <t>100k +  pop</t>
        </is>
      </c>
      <c r="M537" s="22" t="n">
        <v>0.642</v>
      </c>
      <c r="N537" s="22" t="n">
        <v>0</v>
      </c>
      <c r="O537" s="18" t="n"/>
      <c r="P537" s="22">
        <f>IF(O537="",(About!$B$5*M537+About!$B$6*N537)/(About!$B$5+About!$B$6),About!$B$5*M537+About!$B$6*N537+About!$B$7*O537)</f>
        <v/>
      </c>
      <c r="Q537" s="23" t="n">
        <v>27.7709</v>
      </c>
      <c r="R537" s="23" t="n">
        <v>-82.6793</v>
      </c>
    </row>
    <row r="538" ht="15" customHeight="1" s="12">
      <c r="A538" s="18" t="inlineStr">
        <is>
          <t>Saskatoon</t>
        </is>
      </c>
      <c r="B538" s="18" t="inlineStr">
        <is>
          <t>Canada</t>
        </is>
      </c>
      <c r="C538" s="19" t="n">
        <v>41472081</v>
      </c>
      <c r="D538" s="18" t="inlineStr">
        <is>
          <t>CA</t>
        </is>
      </c>
      <c r="E538" s="18" t="inlineStr">
        <is>
          <t>11</t>
        </is>
      </c>
      <c r="F538" s="20" t="n">
        <v>198958</v>
      </c>
      <c r="G538" s="18" t="n"/>
      <c r="H538" s="18" t="inlineStr">
        <is>
          <t>YXE</t>
        </is>
      </c>
      <c r="I538" s="18" t="inlineStr">
        <is>
          <t>Saskatoon John G. Diefenbaker International Airport</t>
        </is>
      </c>
      <c r="J538" s="21" t="n">
        <v>4.8</v>
      </c>
      <c r="K538" s="18" t="inlineStr">
        <is>
          <t>YXE</t>
        </is>
      </c>
      <c r="L538" s="18" t="inlineStr">
        <is>
          <t>100k +  pop + airport</t>
        </is>
      </c>
      <c r="M538" s="22" t="n">
        <v>0.642</v>
      </c>
      <c r="N538" s="22" t="n">
        <v>0</v>
      </c>
      <c r="O538" s="18" t="n"/>
      <c r="P538" s="22">
        <f>IF(O538="",(About!$B$5*M538+About!$B$6*N538)/(About!$B$5+About!$B$6),About!$B$5*M538+About!$B$6*N538+About!$B$7*O538)</f>
        <v/>
      </c>
      <c r="Q538" s="23" t="n">
        <v>52.1324</v>
      </c>
      <c r="R538" s="23" t="n">
        <v>-106.6689</v>
      </c>
    </row>
    <row r="539" ht="15" customHeight="1" s="12">
      <c r="A539" s="18" t="inlineStr">
        <is>
          <t>Cam Ranh</t>
        </is>
      </c>
      <c r="B539" s="18" t="inlineStr">
        <is>
          <t>Vietnam</t>
        </is>
      </c>
      <c r="C539" s="19" t="n">
        <v>102300000</v>
      </c>
      <c r="D539" s="18" t="inlineStr">
        <is>
          <t>VN</t>
        </is>
      </c>
      <c r="E539" s="18" t="inlineStr">
        <is>
          <t>54</t>
        </is>
      </c>
      <c r="F539" s="20" t="n">
        <v>146771</v>
      </c>
      <c r="G539" s="18" t="n"/>
      <c r="H539" s="18" t="inlineStr">
        <is>
          <t>CXR</t>
        </is>
      </c>
      <c r="I539" s="18" t="inlineStr">
        <is>
          <t>Cam Ranh International Airport / Cam Ranh Air Base</t>
        </is>
      </c>
      <c r="J539" s="21" t="n">
        <v>10.7</v>
      </c>
      <c r="K539" s="18" t="inlineStr">
        <is>
          <t>CXR</t>
        </is>
      </c>
      <c r="L539" s="18" t="inlineStr">
        <is>
          <t>100k +  pop</t>
        </is>
      </c>
      <c r="M539" s="22" t="n">
        <v>0.641</v>
      </c>
      <c r="N539" s="22" t="n">
        <v>0</v>
      </c>
      <c r="O539" s="18" t="n"/>
      <c r="P539" s="22">
        <f>IF(O539="",(About!$B$5*M539+About!$B$6*N539)/(About!$B$5+About!$B$6),About!$B$5*M539+About!$B$6*N539+About!$B$7*O539)</f>
        <v/>
      </c>
      <c r="Q539" s="23" t="n">
        <v>11.9214</v>
      </c>
      <c r="R539" s="23" t="n">
        <v>109.1591</v>
      </c>
    </row>
    <row r="540" ht="15" customHeight="1" s="12">
      <c r="A540" s="18" t="inlineStr">
        <is>
          <t>Dededo Village</t>
        </is>
      </c>
      <c r="B540" s="18" t="inlineStr">
        <is>
          <t>Guam</t>
        </is>
      </c>
      <c r="C540" s="19" t="n">
        <v>153836</v>
      </c>
      <c r="D540" s="18" t="inlineStr">
        <is>
          <t>GU</t>
        </is>
      </c>
      <c r="E540" s="18" t="inlineStr">
        <is>
          <t>DD</t>
        </is>
      </c>
      <c r="F540" s="20" t="n">
        <v>44943</v>
      </c>
      <c r="G540" s="18" t="n"/>
      <c r="H540" s="18" t="inlineStr">
        <is>
          <t>GUM</t>
        </is>
      </c>
      <c r="I540" s="18" t="inlineStr">
        <is>
          <t>Antonio B. Won Pat International Airport</t>
        </is>
      </c>
      <c r="J540" s="21" t="n">
        <v>5.8</v>
      </c>
      <c r="K540" s="18" t="inlineStr">
        <is>
          <t>GUM</t>
        </is>
      </c>
      <c r="L540" s="18" t="inlineStr">
        <is>
          <t>airport</t>
        </is>
      </c>
      <c r="M540" s="22" t="n">
        <v>0.642</v>
      </c>
      <c r="N540" s="22" t="n">
        <v>0</v>
      </c>
      <c r="O540" s="18" t="n"/>
      <c r="P540" s="22">
        <f>IF(O540="",(About!$B$5*M540+About!$B$6*N540)/(About!$B$5+About!$B$6),About!$B$5*M540+About!$B$6*N540+About!$B$7*O540)</f>
        <v/>
      </c>
      <c r="Q540" s="23" t="n">
        <v>13.5178</v>
      </c>
      <c r="R540" s="23" t="n">
        <v>144.8391</v>
      </c>
    </row>
    <row r="541" ht="15" customHeight="1" s="12">
      <c r="A541" s="18" t="inlineStr">
        <is>
          <t>Hagåtña</t>
        </is>
      </c>
      <c r="B541" s="18" t="inlineStr">
        <is>
          <t>Guam</t>
        </is>
      </c>
      <c r="C541" s="19" t="n">
        <v>153836</v>
      </c>
      <c r="D541" s="18" t="inlineStr">
        <is>
          <t>GU</t>
        </is>
      </c>
      <c r="E541" s="18" t="inlineStr">
        <is>
          <t>AN</t>
        </is>
      </c>
      <c r="F541" s="20" t="n">
        <v>1051</v>
      </c>
      <c r="G541" s="18" t="inlineStr">
        <is>
          <t>Yes</t>
        </is>
      </c>
      <c r="H541" s="18" t="inlineStr">
        <is>
          <t>GUM</t>
        </is>
      </c>
      <c r="I541" s="18" t="inlineStr">
        <is>
          <t>Antonio B. Won Pat International Airport</t>
        </is>
      </c>
      <c r="J541" s="21" t="n">
        <v>5.3</v>
      </c>
      <c r="K541" s="18" t="inlineStr">
        <is>
          <t>GUM</t>
        </is>
      </c>
      <c r="L541" s="18" t="inlineStr">
        <is>
          <t>capital</t>
        </is>
      </c>
      <c r="M541" s="22" t="n">
        <v>0.642</v>
      </c>
      <c r="N541" s="22" t="n">
        <v>0</v>
      </c>
      <c r="O541" s="18" t="n"/>
      <c r="P541" s="22">
        <f>IF(O541="",(About!$B$5*M541+About!$B$6*N541)/(About!$B$5+About!$B$6),About!$B$5*M541+About!$B$6*N541+About!$B$7*O541)</f>
        <v/>
      </c>
      <c r="Q541" s="23" t="n">
        <v>13.4757</v>
      </c>
      <c r="R541" s="23" t="n">
        <v>144.7489</v>
      </c>
    </row>
    <row r="542" ht="15" customHeight="1" s="12">
      <c r="A542" s="18" t="inlineStr">
        <is>
          <t>Guam Government House</t>
        </is>
      </c>
      <c r="B542" s="18" t="inlineStr">
        <is>
          <t>Guam</t>
        </is>
      </c>
      <c r="C542" s="19" t="n">
        <v>153836</v>
      </c>
      <c r="D542" s="18" t="inlineStr">
        <is>
          <t>GU</t>
        </is>
      </c>
      <c r="E542" s="18" t="inlineStr">
        <is>
          <t>AN</t>
        </is>
      </c>
      <c r="F542" s="20" t="n">
        <v>0</v>
      </c>
      <c r="G542" s="18" t="inlineStr">
        <is>
          <t>Yes</t>
        </is>
      </c>
      <c r="H542" s="18" t="inlineStr">
        <is>
          <t>GUM</t>
        </is>
      </c>
      <c r="I542" s="18" t="inlineStr">
        <is>
          <t>Antonio B. Won Pat International Airport</t>
        </is>
      </c>
      <c r="J542" s="21" t="n">
        <v>5.3</v>
      </c>
      <c r="K542" s="18" t="inlineStr">
        <is>
          <t>GUM</t>
        </is>
      </c>
      <c r="L542" s="18" t="inlineStr">
        <is>
          <t>capital</t>
        </is>
      </c>
      <c r="M542" s="22" t="n">
        <v>0.642</v>
      </c>
      <c r="N542" s="22" t="n">
        <v>0</v>
      </c>
      <c r="O542" s="18" t="n"/>
      <c r="P542" s="22">
        <f>IF(O542="",(About!$B$5*M542+About!$B$6*N542)/(About!$B$5+About!$B$6),About!$B$5*M542+About!$B$6*N542+About!$B$7*O542)</f>
        <v/>
      </c>
      <c r="Q542" s="23" t="n">
        <v>13.4719</v>
      </c>
      <c r="R542" s="23" t="n">
        <v>144.7498</v>
      </c>
    </row>
    <row r="543" ht="15" customHeight="1" s="12">
      <c r="A543" s="18" t="inlineStr">
        <is>
          <t>Gwangju</t>
        </is>
      </c>
      <c r="B543" s="18" t="inlineStr">
        <is>
          <t>South Korea</t>
        </is>
      </c>
      <c r="C543" s="19" t="n">
        <v>51111158</v>
      </c>
      <c r="D543" s="18" t="inlineStr">
        <is>
          <t>KR</t>
        </is>
      </c>
      <c r="E543" s="18" t="inlineStr">
        <is>
          <t>18</t>
        </is>
      </c>
      <c r="F543" s="20" t="n">
        <v>1416938</v>
      </c>
      <c r="G543" s="18" t="n"/>
      <c r="H543" s="18" t="inlineStr">
        <is>
          <t>KWJ</t>
        </is>
      </c>
      <c r="I543" s="18" t="inlineStr">
        <is>
          <t>Gwangju Airport</t>
        </is>
      </c>
      <c r="J543" s="21" t="n">
        <v>10.6</v>
      </c>
      <c r="K543" s="18" t="inlineStr">
        <is>
          <t>KWJ</t>
        </is>
      </c>
      <c r="L543" s="18" t="inlineStr">
        <is>
          <t>100k +  pop + airport</t>
        </is>
      </c>
      <c r="M543" s="22" t="n">
        <v>0.64</v>
      </c>
      <c r="N543" s="22" t="n">
        <v>0</v>
      </c>
      <c r="O543" s="18" t="n"/>
      <c r="P543" s="22">
        <f>IF(O543="",(About!$B$5*M543+About!$B$6*N543)/(About!$B$5+About!$B$6),About!$B$5*M543+About!$B$6*N543+About!$B$7*O543)</f>
        <v/>
      </c>
      <c r="Q543" s="23" t="n">
        <v>35.1547</v>
      </c>
      <c r="R543" s="23" t="n">
        <v>126.9156</v>
      </c>
    </row>
    <row r="544" ht="15" customHeight="1" s="12">
      <c r="A544" s="18" t="inlineStr">
        <is>
          <t>Maceió</t>
        </is>
      </c>
      <c r="B544" s="18" t="inlineStr">
        <is>
          <t>Brazil</t>
        </is>
      </c>
      <c r="C544" s="19" t="n">
        <v>213421037</v>
      </c>
      <c r="D544" s="18" t="inlineStr">
        <is>
          <t>BR</t>
        </is>
      </c>
      <c r="E544" s="18" t="inlineStr">
        <is>
          <t>02</t>
        </is>
      </c>
      <c r="F544" s="20" t="n">
        <v>954991</v>
      </c>
      <c r="G544" s="18" t="n"/>
      <c r="H544" s="18" t="inlineStr">
        <is>
          <t>MCZ</t>
        </is>
      </c>
      <c r="I544" s="18" t="inlineStr">
        <is>
          <t>Zumbi dos Palmares International Airport</t>
        </is>
      </c>
      <c r="J544" s="21" t="n">
        <v>18.1</v>
      </c>
      <c r="K544" s="18" t="inlineStr">
        <is>
          <t>MCZ</t>
        </is>
      </c>
      <c r="L544" s="18" t="inlineStr">
        <is>
          <t>100k +  pop + airport</t>
        </is>
      </c>
      <c r="M544" s="22" t="n">
        <v>0.641</v>
      </c>
      <c r="N544" s="22" t="n">
        <v>0</v>
      </c>
      <c r="O544" s="18" t="n"/>
      <c r="P544" s="22">
        <f>IF(O544="",(About!$B$5*M544+About!$B$6*N544)/(About!$B$5+About!$B$6),About!$B$5*M544+About!$B$6*N544+About!$B$7*O544)</f>
        <v/>
      </c>
      <c r="Q544" s="23" t="n">
        <v>-9.665800000000001</v>
      </c>
      <c r="R544" s="23" t="n">
        <v>-35.7353</v>
      </c>
    </row>
    <row r="545" ht="15" customHeight="1" s="12">
      <c r="A545" s="18" t="inlineStr">
        <is>
          <t>Gold Coast</t>
        </is>
      </c>
      <c r="B545" s="18" t="inlineStr">
        <is>
          <t>Australia</t>
        </is>
      </c>
      <c r="C545" s="19" t="n">
        <v>27724744</v>
      </c>
      <c r="D545" s="18" t="inlineStr">
        <is>
          <t>AU</t>
        </is>
      </c>
      <c r="E545" s="18" t="inlineStr">
        <is>
          <t>04</t>
        </is>
      </c>
      <c r="F545" s="20" t="n">
        <v>591473</v>
      </c>
      <c r="G545" s="18" t="n"/>
      <c r="H545" s="18" t="inlineStr">
        <is>
          <t>OOL</t>
        </is>
      </c>
      <c r="I545" s="18" t="inlineStr">
        <is>
          <t>Gold Coast Airport</t>
        </is>
      </c>
      <c r="J545" s="21" t="n">
        <v>19.9</v>
      </c>
      <c r="K545" s="18" t="inlineStr">
        <is>
          <t>OOL</t>
        </is>
      </c>
      <c r="L545" s="18" t="inlineStr">
        <is>
          <t>100k +  pop + airport</t>
        </is>
      </c>
      <c r="M545" s="22" t="n">
        <v>0.641</v>
      </c>
      <c r="N545" s="22" t="n">
        <v>0</v>
      </c>
      <c r="O545" s="18" t="n"/>
      <c r="P545" s="22">
        <f>IF(O545="",(About!$B$5*M545+About!$B$6*N545)/(About!$B$5+About!$B$6),About!$B$5*M545+About!$B$6*N545+About!$B$7*O545)</f>
        <v/>
      </c>
      <c r="Q545" s="23" t="n">
        <v>-28.0003</v>
      </c>
      <c r="R545" s="23" t="n">
        <v>153.4309</v>
      </c>
    </row>
    <row r="546" ht="15" customHeight="1" s="12">
      <c r="A546" s="18" t="inlineStr">
        <is>
          <t>Masan</t>
        </is>
      </c>
      <c r="B546" s="18" t="inlineStr">
        <is>
          <t>South Korea</t>
        </is>
      </c>
      <c r="C546" s="19" t="n">
        <v>51111158</v>
      </c>
      <c r="D546" s="18" t="inlineStr">
        <is>
          <t>KR</t>
        </is>
      </c>
      <c r="E546" s="18" t="inlineStr">
        <is>
          <t>18</t>
        </is>
      </c>
      <c r="F546" s="20" t="n">
        <v>434371</v>
      </c>
      <c r="G546" s="18" t="n"/>
      <c r="H546" s="18" t="inlineStr">
        <is>
          <t>KWJ</t>
        </is>
      </c>
      <c r="I546" s="18" t="inlineStr">
        <is>
          <t>Gwangju Airport</t>
        </is>
      </c>
      <c r="J546" s="21" t="n">
        <v>2.4</v>
      </c>
      <c r="K546" s="18" t="inlineStr">
        <is>
          <t>KWJ</t>
        </is>
      </c>
      <c r="L546" s="18" t="inlineStr">
        <is>
          <t>100k +  pop + airport</t>
        </is>
      </c>
      <c r="M546" s="22" t="n">
        <v>0.64</v>
      </c>
      <c r="N546" s="22" t="n">
        <v>0</v>
      </c>
      <c r="O546" s="18" t="n"/>
      <c r="P546" s="22">
        <f>IF(O546="",(About!$B$5*M546+About!$B$6*N546)/(About!$B$5+About!$B$6),About!$B$5*M546+About!$B$6*N546+About!$B$7*O546)</f>
        <v/>
      </c>
      <c r="Q546" s="23" t="n">
        <v>35.1272</v>
      </c>
      <c r="R546" s="23" t="n">
        <v>126.8315</v>
      </c>
    </row>
    <row r="547" ht="15" customHeight="1" s="12">
      <c r="A547" s="18" t="inlineStr">
        <is>
          <t>Valladolid</t>
        </is>
      </c>
      <c r="B547" s="18" t="inlineStr">
        <is>
          <t>Spain</t>
        </is>
      </c>
      <c r="C547" s="19" t="n">
        <v>49687120</v>
      </c>
      <c r="D547" s="18" t="inlineStr">
        <is>
          <t>ES</t>
        </is>
      </c>
      <c r="E547" s="18" t="inlineStr">
        <is>
          <t>55</t>
        </is>
      </c>
      <c r="F547" s="20" t="n">
        <v>317864</v>
      </c>
      <c r="G547" s="18" t="n"/>
      <c r="H547" s="18" t="inlineStr">
        <is>
          <t>VLL</t>
        </is>
      </c>
      <c r="I547" s="18" t="inlineStr">
        <is>
          <t>Valladolid Airport</t>
        </is>
      </c>
      <c r="J547" s="21" t="n">
        <v>12.1</v>
      </c>
      <c r="K547" s="18" t="inlineStr">
        <is>
          <t>VLL</t>
        </is>
      </c>
      <c r="L547" s="18" t="inlineStr">
        <is>
          <t>100k +  pop + airport</t>
        </is>
      </c>
      <c r="M547" s="22" t="n">
        <v>0.64</v>
      </c>
      <c r="N547" s="22" t="n">
        <v>0</v>
      </c>
      <c r="O547" s="18" t="n"/>
      <c r="P547" s="22">
        <f>IF(O547="",(About!$B$5*M547+About!$B$6*N547)/(About!$B$5+About!$B$6),About!$B$5*M547+About!$B$6*N547+About!$B$7*O547)</f>
        <v/>
      </c>
      <c r="Q547" s="23" t="n">
        <v>41.6552</v>
      </c>
      <c r="R547" s="23" t="n">
        <v>-4.7237</v>
      </c>
    </row>
    <row r="548" ht="15" customHeight="1" s="12">
      <c r="A548" s="18" t="inlineStr">
        <is>
          <t>Douala</t>
        </is>
      </c>
      <c r="B548" s="18" t="inlineStr">
        <is>
          <t>Cameroon</t>
        </is>
      </c>
      <c r="C548" s="19" t="n">
        <v>29442327</v>
      </c>
      <c r="D548" s="18" t="inlineStr">
        <is>
          <t>CM</t>
        </is>
      </c>
      <c r="E548" s="18" t="inlineStr">
        <is>
          <t>05</t>
        </is>
      </c>
      <c r="F548" s="20" t="n">
        <v>1338082</v>
      </c>
      <c r="G548" s="18" t="n"/>
      <c r="H548" s="18" t="inlineStr">
        <is>
          <t>DLA</t>
        </is>
      </c>
      <c r="I548" s="18" t="inlineStr">
        <is>
          <t>Douala International Airport</t>
        </is>
      </c>
      <c r="J548" s="21" t="n">
        <v>5</v>
      </c>
      <c r="K548" s="18" t="inlineStr">
        <is>
          <t>DLA</t>
        </is>
      </c>
      <c r="L548" s="18" t="inlineStr">
        <is>
          <t>100k +  pop + airport</t>
        </is>
      </c>
      <c r="M548" s="22" t="n">
        <v>0.639</v>
      </c>
      <c r="N548" s="22" t="n">
        <v>0</v>
      </c>
      <c r="O548" s="18" t="n"/>
      <c r="P548" s="22">
        <f>IF(O548="",(About!$B$5*M548+About!$B$6*N548)/(About!$B$5+About!$B$6),About!$B$5*M548+About!$B$6*N548+About!$B$7*O548)</f>
        <v/>
      </c>
      <c r="Q548" s="23" t="n">
        <v>4.0483</v>
      </c>
      <c r="R548" s="23" t="n">
        <v>9.7043</v>
      </c>
    </row>
    <row r="549" ht="15" customHeight="1" s="12">
      <c r="A549" s="18" t="inlineStr">
        <is>
          <t>Kerman</t>
        </is>
      </c>
      <c r="B549" s="18" t="inlineStr">
        <is>
          <t>Iran</t>
        </is>
      </c>
      <c r="C549" s="19" t="n">
        <v>87134000</v>
      </c>
      <c r="D549" s="18" t="inlineStr">
        <is>
          <t>IR</t>
        </is>
      </c>
      <c r="E549" s="18" t="inlineStr">
        <is>
          <t>29</t>
        </is>
      </c>
      <c r="F549" s="20" t="n">
        <v>577514</v>
      </c>
      <c r="G549" s="18" t="n"/>
      <c r="H549" s="18" t="inlineStr">
        <is>
          <t>KER</t>
        </is>
      </c>
      <c r="I549" s="18" t="inlineStr">
        <is>
          <t>Ayatollah Hashemi Rafsanjani International Airport</t>
        </is>
      </c>
      <c r="J549" s="21" t="n">
        <v>12.5</v>
      </c>
      <c r="K549" s="18" t="inlineStr">
        <is>
          <t>KER</t>
        </is>
      </c>
      <c r="L549" s="18" t="inlineStr">
        <is>
          <t>100k +  pop + airport</t>
        </is>
      </c>
      <c r="M549" s="22" t="n">
        <v>0.638</v>
      </c>
      <c r="N549" s="22" t="n">
        <v>0</v>
      </c>
      <c r="O549" s="18" t="n"/>
      <c r="P549" s="22">
        <f>IF(O549="",(About!$B$5*M549+About!$B$6*N549)/(About!$B$5+About!$B$6),About!$B$5*M549+About!$B$6*N549+About!$B$7*O549)</f>
        <v/>
      </c>
      <c r="Q549" s="23" t="n">
        <v>30.2832</v>
      </c>
      <c r="R549" s="23" t="n">
        <v>57.0788</v>
      </c>
    </row>
    <row r="550" ht="15" customHeight="1" s="12">
      <c r="A550" s="18" t="inlineStr">
        <is>
          <t>San Pedro Sula</t>
        </is>
      </c>
      <c r="B550" s="18" t="inlineStr">
        <is>
          <t>Honduras</t>
        </is>
      </c>
      <c r="C550" s="19" t="n">
        <v>10186738</v>
      </c>
      <c r="D550" s="18" t="inlineStr">
        <is>
          <t>HN</t>
        </is>
      </c>
      <c r="E550" s="18" t="inlineStr">
        <is>
          <t>06</t>
        </is>
      </c>
      <c r="F550" s="20" t="n">
        <v>489466</v>
      </c>
      <c r="G550" s="18" t="n"/>
      <c r="H550" s="18" t="inlineStr">
        <is>
          <t>SAP</t>
        </is>
      </c>
      <c r="I550" s="18" t="inlineStr">
        <is>
          <t>Ramón Villeda Morales International Airport</t>
        </is>
      </c>
      <c r="J550" s="21" t="n">
        <v>12.3</v>
      </c>
      <c r="K550" s="18" t="inlineStr">
        <is>
          <t>SAP</t>
        </is>
      </c>
      <c r="L550" s="18" t="inlineStr">
        <is>
          <t>100k +  pop + airport</t>
        </is>
      </c>
      <c r="M550" s="22" t="n">
        <v>0.637</v>
      </c>
      <c r="N550" s="22" t="n">
        <v>0</v>
      </c>
      <c r="O550" s="18" t="n"/>
      <c r="P550" s="22">
        <f>IF(O550="",(About!$B$5*M550+About!$B$6*N550)/(About!$B$5+About!$B$6),About!$B$5*M550+About!$B$6*N550+About!$B$7*O550)</f>
        <v/>
      </c>
      <c r="Q550" s="23" t="n">
        <v>15.5042</v>
      </c>
      <c r="R550" s="23" t="n">
        <v>-88.02500000000001</v>
      </c>
    </row>
    <row r="551" ht="15" customHeight="1" s="12">
      <c r="A551" s="18" t="inlineStr">
        <is>
          <t>Long Beach</t>
        </is>
      </c>
      <c r="B551" s="18" t="inlineStr">
        <is>
          <t>United States</t>
        </is>
      </c>
      <c r="C551" s="19" t="n">
        <v>341784857</v>
      </c>
      <c r="D551" s="18" t="inlineStr">
        <is>
          <t>US</t>
        </is>
      </c>
      <c r="E551" s="18" t="inlineStr">
        <is>
          <t>CA</t>
        </is>
      </c>
      <c r="F551" s="20" t="n">
        <v>474140</v>
      </c>
      <c r="G551" s="18" t="n"/>
      <c r="H551" s="18" t="inlineStr">
        <is>
          <t>LGB</t>
        </is>
      </c>
      <c r="I551" s="18" t="inlineStr">
        <is>
          <t>Long Beach International Airport</t>
        </is>
      </c>
      <c r="J551" s="21" t="n">
        <v>6.6</v>
      </c>
      <c r="K551" s="18" t="inlineStr">
        <is>
          <t>HHR+LGB</t>
        </is>
      </c>
      <c r="L551" s="18" t="inlineStr">
        <is>
          <t>100k +  pop + airport</t>
        </is>
      </c>
      <c r="M551" s="22" t="n">
        <v>0.639</v>
      </c>
      <c r="N551" s="22" t="n">
        <v>0</v>
      </c>
      <c r="O551" s="18" t="n"/>
      <c r="P551" s="22">
        <f>IF(O551="",(About!$B$5*M551+About!$B$6*N551)/(About!$B$5+About!$B$6),About!$B$5*M551+About!$B$6*N551+About!$B$7*O551)</f>
        <v/>
      </c>
      <c r="Q551" s="23" t="n">
        <v>33.767</v>
      </c>
      <c r="R551" s="23" t="n">
        <v>-118.1892</v>
      </c>
    </row>
    <row r="552" ht="15" customHeight="1" s="12">
      <c r="A552" s="18" t="inlineStr">
        <is>
          <t>Choloma</t>
        </is>
      </c>
      <c r="B552" s="18" t="inlineStr">
        <is>
          <t>Honduras</t>
        </is>
      </c>
      <c r="C552" s="19" t="n">
        <v>10186738</v>
      </c>
      <c r="D552" s="18" t="inlineStr">
        <is>
          <t>HN</t>
        </is>
      </c>
      <c r="E552" s="18" t="inlineStr">
        <is>
          <t>06</t>
        </is>
      </c>
      <c r="F552" s="20" t="n">
        <v>139100</v>
      </c>
      <c r="G552" s="18" t="n"/>
      <c r="H552" s="18" t="inlineStr">
        <is>
          <t>SAP</t>
        </is>
      </c>
      <c r="I552" s="18" t="inlineStr">
        <is>
          <t>Ramón Villeda Morales International Airport</t>
        </is>
      </c>
      <c r="J552" s="21" t="n">
        <v>18.3</v>
      </c>
      <c r="K552" s="18" t="inlineStr">
        <is>
          <t>SAP</t>
        </is>
      </c>
      <c r="L552" s="18" t="inlineStr">
        <is>
          <t>100k +  pop</t>
        </is>
      </c>
      <c r="M552" s="22" t="n">
        <v>0.637</v>
      </c>
      <c r="N552" s="22" t="n">
        <v>0</v>
      </c>
      <c r="O552" s="18" t="n"/>
      <c r="P552" s="22">
        <f>IF(O552="",(About!$B$5*M552+About!$B$6*N552)/(About!$B$5+About!$B$6),About!$B$5*M552+About!$B$6*N552+About!$B$7*O552)</f>
        <v/>
      </c>
      <c r="Q552" s="23" t="n">
        <v>15.6144</v>
      </c>
      <c r="R552" s="23" t="n">
        <v>-87.953</v>
      </c>
    </row>
    <row r="553" ht="15" customHeight="1" s="12">
      <c r="A553" s="18" t="inlineStr">
        <is>
          <t>Faro</t>
        </is>
      </c>
      <c r="B553" s="18" t="inlineStr">
        <is>
          <t>Portugal</t>
        </is>
      </c>
      <c r="C553" s="19" t="n">
        <v>10749635</v>
      </c>
      <c r="D553" s="18" t="inlineStr">
        <is>
          <t>PT</t>
        </is>
      </c>
      <c r="E553" s="18" t="inlineStr">
        <is>
          <t>09</t>
        </is>
      </c>
      <c r="F553" s="20" t="n">
        <v>41355</v>
      </c>
      <c r="G553" s="18" t="n"/>
      <c r="H553" s="18" t="inlineStr">
        <is>
          <t>FAO</t>
        </is>
      </c>
      <c r="I553" s="18" t="inlineStr">
        <is>
          <t>Faro - Gago Coutinho International Airport</t>
        </is>
      </c>
      <c r="J553" s="21" t="n">
        <v>3.9</v>
      </c>
      <c r="K553" s="18" t="inlineStr">
        <is>
          <t>FAO</t>
        </is>
      </c>
      <c r="L553" s="18" t="inlineStr">
        <is>
          <t>airport</t>
        </is>
      </c>
      <c r="M553" s="22" t="n">
        <v>0.638</v>
      </c>
      <c r="N553" s="22" t="n">
        <v>0</v>
      </c>
      <c r="O553" s="18" t="n"/>
      <c r="P553" s="22">
        <f>IF(O553="",(About!$B$5*M553+About!$B$6*N553)/(About!$B$5+About!$B$6),About!$B$5*M553+About!$B$6*N553+About!$B$7*O553)</f>
        <v/>
      </c>
      <c r="Q553" s="23" t="n">
        <v>37.0187</v>
      </c>
      <c r="R553" s="23" t="n">
        <v>-7.9272</v>
      </c>
    </row>
    <row r="554" ht="15" customHeight="1" s="12">
      <c r="A554" s="18" t="inlineStr">
        <is>
          <t>George Town</t>
        </is>
      </c>
      <c r="B554" s="18" t="inlineStr">
        <is>
          <t>Cayman Islands</t>
        </is>
      </c>
      <c r="C554" s="19" t="n">
        <v>88833</v>
      </c>
      <c r="D554" s="18" t="inlineStr">
        <is>
          <t>KY</t>
        </is>
      </c>
      <c r="E554" s="18" t="inlineStr">
        <is>
          <t>10346796</t>
        </is>
      </c>
      <c r="F554" s="20" t="n">
        <v>29370</v>
      </c>
      <c r="G554" s="18" t="inlineStr">
        <is>
          <t>Yes</t>
        </is>
      </c>
      <c r="H554" s="18" t="inlineStr">
        <is>
          <t>GCM</t>
        </is>
      </c>
      <c r="I554" s="18" t="inlineStr">
        <is>
          <t>Owen Roberts International Airport</t>
        </is>
      </c>
      <c r="J554" s="21" t="n">
        <v>1.9</v>
      </c>
      <c r="K554" s="18" t="inlineStr">
        <is>
          <t>GCM</t>
        </is>
      </c>
      <c r="L554" s="18" t="inlineStr">
        <is>
          <t>capital + airport</t>
        </is>
      </c>
      <c r="M554" s="22" t="n">
        <v>0.639</v>
      </c>
      <c r="N554" s="22" t="n">
        <v>0</v>
      </c>
      <c r="O554" s="18" t="n"/>
      <c r="P554" s="22">
        <f>IF(O554="",(About!$B$5*M554+About!$B$6*N554)/(About!$B$5+About!$B$6),About!$B$5*M554+About!$B$6*N554+About!$B$7*O554)</f>
        <v/>
      </c>
      <c r="Q554" s="23" t="n">
        <v>19.2866</v>
      </c>
      <c r="R554" s="23" t="n">
        <v>-81.37439999999999</v>
      </c>
    </row>
    <row r="555" ht="15" customHeight="1" s="12">
      <c r="A555" s="18" t="inlineStr">
        <is>
          <t>Cartagena</t>
        </is>
      </c>
      <c r="B555" s="18" t="inlineStr">
        <is>
          <t>Colombia</t>
        </is>
      </c>
      <c r="C555" s="19" t="n">
        <v>53057212</v>
      </c>
      <c r="D555" s="18" t="inlineStr">
        <is>
          <t>CO</t>
        </is>
      </c>
      <c r="E555" s="18" t="inlineStr">
        <is>
          <t>35</t>
        </is>
      </c>
      <c r="F555" s="20" t="n">
        <v>952024</v>
      </c>
      <c r="G555" s="18" t="n"/>
      <c r="H555" s="18" t="inlineStr">
        <is>
          <t>CTG</t>
        </is>
      </c>
      <c r="I555" s="18" t="inlineStr">
        <is>
          <t>Rafael Nuñez International Airport</t>
        </is>
      </c>
      <c r="J555" s="21" t="n">
        <v>4.7</v>
      </c>
      <c r="K555" s="18" t="inlineStr">
        <is>
          <t>CTG</t>
        </is>
      </c>
      <c r="L555" s="18" t="inlineStr">
        <is>
          <t>100k +  pop + airport</t>
        </is>
      </c>
      <c r="M555" s="22" t="n">
        <v>0.635</v>
      </c>
      <c r="N555" s="22" t="n">
        <v>0</v>
      </c>
      <c r="O555" s="18" t="n"/>
      <c r="P555" s="22">
        <f>IF(O555="",(About!$B$5*M555+About!$B$6*N555)/(About!$B$5+About!$B$6),About!$B$5*M555+About!$B$6*N555+About!$B$7*O555)</f>
        <v/>
      </c>
      <c r="Q555" s="23" t="n">
        <v>10.3997</v>
      </c>
      <c r="R555" s="23" t="n">
        <v>-75.51439999999999</v>
      </c>
    </row>
    <row r="556" ht="15" customHeight="1" s="12">
      <c r="A556" s="18" t="inlineStr">
        <is>
          <t>Arusha</t>
        </is>
      </c>
      <c r="B556" s="18" t="inlineStr">
        <is>
          <t>Tanzania</t>
        </is>
      </c>
      <c r="C556" s="19" t="n">
        <v>68153004</v>
      </c>
      <c r="D556" s="18" t="inlineStr">
        <is>
          <t>TZ</t>
        </is>
      </c>
      <c r="E556" s="18" t="inlineStr">
        <is>
          <t>26</t>
        </is>
      </c>
      <c r="F556" s="20" t="n">
        <v>341136</v>
      </c>
      <c r="G556" s="18" t="n"/>
      <c r="H556" s="18" t="inlineStr">
        <is>
          <t>JRO</t>
        </is>
      </c>
      <c r="I556" s="18" t="inlineStr">
        <is>
          <t>Kilimanjaro International Airport</t>
        </is>
      </c>
      <c r="J556" s="21" t="n">
        <v>43.8</v>
      </c>
      <c r="K556" s="18" t="inlineStr">
        <is>
          <t>ARK+JRO</t>
        </is>
      </c>
      <c r="L556" s="18" t="inlineStr">
        <is>
          <t>100k +  pop + airport</t>
        </is>
      </c>
      <c r="M556" s="22" t="n">
        <v>0.635</v>
      </c>
      <c r="N556" s="22" t="n">
        <v>0</v>
      </c>
      <c r="O556" s="18" t="n"/>
      <c r="P556" s="22">
        <f>IF(O556="",(About!$B$5*M556+About!$B$6*N556)/(About!$B$5+About!$B$6),About!$B$5*M556+About!$B$6*N556+About!$B$7*O556)</f>
        <v/>
      </c>
      <c r="Q556" s="23" t="n">
        <v>-3.3667</v>
      </c>
      <c r="R556" s="23" t="n">
        <v>36.6833</v>
      </c>
    </row>
    <row r="557" ht="15" customHeight="1" s="12">
      <c r="A557" s="18" t="inlineStr">
        <is>
          <t>Cluj-Napoca</t>
        </is>
      </c>
      <c r="B557" s="18" t="inlineStr">
        <is>
          <t>Romania</t>
        </is>
      </c>
      <c r="C557" s="19" t="n">
        <v>19036031</v>
      </c>
      <c r="D557" s="18" t="inlineStr">
        <is>
          <t>RO</t>
        </is>
      </c>
      <c r="E557" s="18" t="inlineStr">
        <is>
          <t>13</t>
        </is>
      </c>
      <c r="F557" s="20" t="n">
        <v>316748</v>
      </c>
      <c r="G557" s="18" t="n"/>
      <c r="H557" s="18" t="inlineStr">
        <is>
          <t>CLJ</t>
        </is>
      </c>
      <c r="I557" s="18" t="inlineStr">
        <is>
          <t>Avram Iancu Cluj International Airport</t>
        </is>
      </c>
      <c r="J557" s="21" t="n">
        <v>6.9</v>
      </c>
      <c r="K557" s="18" t="inlineStr">
        <is>
          <t>CLJ</t>
        </is>
      </c>
      <c r="L557" s="18" t="inlineStr">
        <is>
          <t>100k +  pop + airport</t>
        </is>
      </c>
      <c r="M557" s="22" t="n">
        <v>0.636</v>
      </c>
      <c r="N557" s="22" t="n">
        <v>0</v>
      </c>
      <c r="O557" s="18" t="n"/>
      <c r="P557" s="22">
        <f>IF(O557="",(About!$B$5*M557+About!$B$6*N557)/(About!$B$5+About!$B$6),About!$B$5*M557+About!$B$6*N557+About!$B$7*O557)</f>
        <v/>
      </c>
      <c r="Q557" s="23" t="n">
        <v>46.7667</v>
      </c>
      <c r="R557" s="23" t="n">
        <v>23.6</v>
      </c>
    </row>
    <row r="558" ht="15" customHeight="1" s="12">
      <c r="A558" s="18" t="inlineStr">
        <is>
          <t>Praia</t>
        </is>
      </c>
      <c r="B558" s="18" t="inlineStr">
        <is>
          <t>Cabo Verde</t>
        </is>
      </c>
      <c r="C558" s="19" t="n">
        <v>491233</v>
      </c>
      <c r="D558" s="18" t="inlineStr">
        <is>
          <t>CV</t>
        </is>
      </c>
      <c r="E558" s="18" t="inlineStr">
        <is>
          <t>14</t>
        </is>
      </c>
      <c r="F558" s="20" t="n">
        <v>113364</v>
      </c>
      <c r="G558" s="18" t="inlineStr">
        <is>
          <t>Yes</t>
        </is>
      </c>
      <c r="H558" s="18" t="inlineStr">
        <is>
          <t>RAI</t>
        </is>
      </c>
      <c r="I558" s="18" t="inlineStr">
        <is>
          <t>Nelson Mandela International Airport</t>
        </is>
      </c>
      <c r="J558" s="21" t="n">
        <v>3.2</v>
      </c>
      <c r="K558" s="18" t="inlineStr">
        <is>
          <t>RAI</t>
        </is>
      </c>
      <c r="L558" s="18" t="inlineStr">
        <is>
          <t>100k +  pop + capital + airport</t>
        </is>
      </c>
      <c r="M558" s="22" t="n">
        <v>0.636</v>
      </c>
      <c r="N558" s="22" t="n">
        <v>0</v>
      </c>
      <c r="O558" s="18" t="n"/>
      <c r="P558" s="22">
        <f>IF(O558="",(About!$B$5*M558+About!$B$6*N558)/(About!$B$5+About!$B$6),About!$B$5*M558+About!$B$6*N558+About!$B$7*O558)</f>
        <v/>
      </c>
      <c r="Q558" s="23" t="n">
        <v>14.9315</v>
      </c>
      <c r="R558" s="23" t="n">
        <v>-23.5125</v>
      </c>
    </row>
    <row r="559" ht="15" customHeight="1" s="12">
      <c r="A559" s="18" t="inlineStr">
        <is>
          <t>Genoa</t>
        </is>
      </c>
      <c r="B559" s="18" t="inlineStr">
        <is>
          <t>Italy</t>
        </is>
      </c>
      <c r="C559" s="19" t="n">
        <v>58932330</v>
      </c>
      <c r="D559" s="18" t="inlineStr">
        <is>
          <t>IT</t>
        </is>
      </c>
      <c r="E559" s="18" t="inlineStr">
        <is>
          <t>08</t>
        </is>
      </c>
      <c r="F559" s="20" t="n">
        <v>580223</v>
      </c>
      <c r="G559" s="18" t="n"/>
      <c r="H559" s="18" t="inlineStr">
        <is>
          <t>GOA</t>
        </is>
      </c>
      <c r="I559" s="18" t="inlineStr">
        <is>
          <t>Genoa Cristoforo Colombo Airport</t>
        </is>
      </c>
      <c r="J559" s="21" t="n">
        <v>8.300000000000001</v>
      </c>
      <c r="K559" s="18" t="inlineStr">
        <is>
          <t>GOA</t>
        </is>
      </c>
      <c r="L559" s="18" t="inlineStr">
        <is>
          <t>100k +  pop + airport</t>
        </is>
      </c>
      <c r="M559" s="22" t="n">
        <v>0.635</v>
      </c>
      <c r="N559" s="22" t="n">
        <v>0</v>
      </c>
      <c r="O559" s="18" t="n"/>
      <c r="P559" s="22">
        <f>IF(O559="",(About!$B$5*M559+About!$B$6*N559)/(About!$B$5+About!$B$6),About!$B$5*M559+About!$B$6*N559+About!$B$7*O559)</f>
        <v/>
      </c>
      <c r="Q559" s="23" t="n">
        <v>44.4048</v>
      </c>
      <c r="R559" s="23" t="n">
        <v>8.9444</v>
      </c>
    </row>
    <row r="560" ht="15" customHeight="1" s="12">
      <c r="A560" s="18" t="inlineStr">
        <is>
          <t>Yangzhou</t>
        </is>
      </c>
      <c r="B560" s="18" t="inlineStr">
        <is>
          <t>China</t>
        </is>
      </c>
      <c r="C560" s="19" t="n">
        <v>1404890000</v>
      </c>
      <c r="D560" s="18" t="inlineStr">
        <is>
          <t>CN</t>
        </is>
      </c>
      <c r="E560" s="18" t="inlineStr">
        <is>
          <t>04</t>
        </is>
      </c>
      <c r="F560" s="20" t="n">
        <v>539715</v>
      </c>
      <c r="G560" s="18" t="n"/>
      <c r="H560" s="18" t="inlineStr">
        <is>
          <t>YTY</t>
        </is>
      </c>
      <c r="I560" s="18" t="inlineStr">
        <is>
          <t>Yangzhou Taizhou Airport</t>
        </is>
      </c>
      <c r="J560" s="21" t="n">
        <v>32.4</v>
      </c>
      <c r="K560" s="18" t="inlineStr">
        <is>
          <t>YTY</t>
        </is>
      </c>
      <c r="L560" s="18" t="inlineStr">
        <is>
          <t>100k +  pop + airport</t>
        </is>
      </c>
      <c r="M560" s="22" t="n">
        <v>0.635</v>
      </c>
      <c r="N560" s="22" t="n">
        <v>0</v>
      </c>
      <c r="O560" s="18" t="n"/>
      <c r="P560" s="22">
        <f>IF(O560="",(About!$B$5*M560+About!$B$6*N560)/(About!$B$5+About!$B$6),About!$B$5*M560+About!$B$6*N560+About!$B$7*O560)</f>
        <v/>
      </c>
      <c r="Q560" s="23" t="n">
        <v>32.3972</v>
      </c>
      <c r="R560" s="23" t="n">
        <v>119.4358</v>
      </c>
    </row>
    <row r="561" ht="15" customHeight="1" s="12">
      <c r="A561" s="18" t="inlineStr">
        <is>
          <t>Natal</t>
        </is>
      </c>
      <c r="B561" s="18" t="inlineStr">
        <is>
          <t>Brazil</t>
        </is>
      </c>
      <c r="C561" s="19" t="n">
        <v>213421037</v>
      </c>
      <c r="D561" s="18" t="inlineStr">
        <is>
          <t>BR</t>
        </is>
      </c>
      <c r="E561" s="18" t="inlineStr">
        <is>
          <t>22</t>
        </is>
      </c>
      <c r="F561" s="20" t="n">
        <v>763043</v>
      </c>
      <c r="G561" s="18" t="n"/>
      <c r="H561" s="18" t="inlineStr">
        <is>
          <t>NAT</t>
        </is>
      </c>
      <c r="I561" s="18" t="inlineStr">
        <is>
          <t>Rio Grande do Norte/São Gonçalo do Amarante–Governador Aluízio Alves International Airport</t>
        </is>
      </c>
      <c r="J561" s="21" t="n">
        <v>17.6</v>
      </c>
      <c r="K561" s="18" t="inlineStr">
        <is>
          <t>NAT</t>
        </is>
      </c>
      <c r="L561" s="18" t="inlineStr">
        <is>
          <t>100k +  pop + airport</t>
        </is>
      </c>
      <c r="M561" s="22" t="n">
        <v>0.632</v>
      </c>
      <c r="N561" s="22" t="n">
        <v>0</v>
      </c>
      <c r="O561" s="18" t="n"/>
      <c r="P561" s="22">
        <f>IF(O561="",(About!$B$5*M561+About!$B$6*N561)/(About!$B$5+About!$B$6),About!$B$5*M561+About!$B$6*N561+About!$B$7*O561)</f>
        <v/>
      </c>
      <c r="Q561" s="23" t="n">
        <v>-5.795</v>
      </c>
      <c r="R561" s="23" t="n">
        <v>-35.2094</v>
      </c>
    </row>
    <row r="562" ht="15" customHeight="1" s="12">
      <c r="A562" s="18" t="inlineStr">
        <is>
          <t>Québec</t>
        </is>
      </c>
      <c r="B562" s="18" t="inlineStr">
        <is>
          <t>Canada</t>
        </is>
      </c>
      <c r="C562" s="19" t="n">
        <v>41472081</v>
      </c>
      <c r="D562" s="18" t="inlineStr">
        <is>
          <t>CA</t>
        </is>
      </c>
      <c r="E562" s="18" t="inlineStr">
        <is>
          <t>10</t>
        </is>
      </c>
      <c r="F562" s="20" t="n">
        <v>528595</v>
      </c>
      <c r="G562" s="18" t="n"/>
      <c r="H562" s="18" t="inlineStr">
        <is>
          <t>YQB</t>
        </is>
      </c>
      <c r="I562" s="18" t="inlineStr">
        <is>
          <t>Quebec Jean Lesage International Airport</t>
        </is>
      </c>
      <c r="J562" s="21" t="n">
        <v>13.8</v>
      </c>
      <c r="K562" s="18" t="inlineStr">
        <is>
          <t>YQB</t>
        </is>
      </c>
      <c r="L562" s="18" t="inlineStr">
        <is>
          <t>100k +  pop + airport</t>
        </is>
      </c>
      <c r="M562" s="22" t="n">
        <v>0.632</v>
      </c>
      <c r="N562" s="22" t="n">
        <v>0</v>
      </c>
      <c r="O562" s="18" t="n"/>
      <c r="P562" s="22">
        <f>IF(O562="",(About!$B$5*M562+About!$B$6*N562)/(About!$B$5+About!$B$6),About!$B$5*M562+About!$B$6*N562+About!$B$7*O562)</f>
        <v/>
      </c>
      <c r="Q562" s="23" t="n">
        <v>46.8123</v>
      </c>
      <c r="R562" s="23" t="n">
        <v>-71.2145</v>
      </c>
    </row>
    <row r="563" ht="15" customHeight="1" s="12">
      <c r="A563" s="18" t="inlineStr">
        <is>
          <t>Coquitlam</t>
        </is>
      </c>
      <c r="B563" s="18" t="inlineStr">
        <is>
          <t>Canada</t>
        </is>
      </c>
      <c r="C563" s="19" t="n">
        <v>41472081</v>
      </c>
      <c r="D563" s="18" t="inlineStr">
        <is>
          <t>CA</t>
        </is>
      </c>
      <c r="E563" s="18" t="inlineStr">
        <is>
          <t>02</t>
        </is>
      </c>
      <c r="F563" s="20" t="n">
        <v>140000</v>
      </c>
      <c r="G563" s="18" t="n"/>
      <c r="H563" s="18" t="inlineStr">
        <is>
          <t>CXH</t>
        </is>
      </c>
      <c r="I563" s="18" t="inlineStr">
        <is>
          <t>Vancouver Harbour Water Aerodrome</t>
        </is>
      </c>
      <c r="J563" s="21" t="n">
        <v>24.3</v>
      </c>
      <c r="K563" s="18" t="inlineStr">
        <is>
          <t>CXH</t>
        </is>
      </c>
      <c r="L563" s="18" t="inlineStr">
        <is>
          <t>100k +  pop</t>
        </is>
      </c>
      <c r="M563" s="22" t="n">
        <v>0.632</v>
      </c>
      <c r="N563" s="22" t="n">
        <v>0</v>
      </c>
      <c r="O563" s="18" t="n"/>
      <c r="P563" s="22">
        <f>IF(O563="",(About!$B$5*M563+About!$B$6*N563)/(About!$B$5+About!$B$6),About!$B$5*M563+About!$B$6*N563+About!$B$7*O563)</f>
        <v/>
      </c>
      <c r="Q563" s="23" t="n">
        <v>49.2846</v>
      </c>
      <c r="R563" s="23" t="n">
        <v>-122.7822</v>
      </c>
    </row>
    <row r="564" ht="15" customHeight="1" s="12">
      <c r="A564" s="18" t="inlineStr">
        <is>
          <t>Lévis</t>
        </is>
      </c>
      <c r="B564" s="18" t="inlineStr">
        <is>
          <t>Canada</t>
        </is>
      </c>
      <c r="C564" s="19" t="n">
        <v>41472081</v>
      </c>
      <c r="D564" s="18" t="inlineStr">
        <is>
          <t>CA</t>
        </is>
      </c>
      <c r="E564" s="18" t="inlineStr">
        <is>
          <t>10</t>
        </is>
      </c>
      <c r="F564" s="20" t="n">
        <v>126396</v>
      </c>
      <c r="G564" s="18" t="n"/>
      <c r="H564" s="18" t="inlineStr">
        <is>
          <t>YQB</t>
        </is>
      </c>
      <c r="I564" s="18" t="inlineStr">
        <is>
          <t>Quebec Jean Lesage International Airport</t>
        </is>
      </c>
      <c r="J564" s="21" t="n">
        <v>16.5</v>
      </c>
      <c r="K564" s="18" t="inlineStr">
        <is>
          <t>YQB</t>
        </is>
      </c>
      <c r="L564" s="18" t="inlineStr">
        <is>
          <t>100k +  pop</t>
        </is>
      </c>
      <c r="M564" s="22" t="n">
        <v>0.632</v>
      </c>
      <c r="N564" s="22" t="n">
        <v>0</v>
      </c>
      <c r="O564" s="18" t="n"/>
      <c r="P564" s="22">
        <f>IF(O564="",(About!$B$5*M564+About!$B$6*N564)/(About!$B$5+About!$B$6),About!$B$5*M564+About!$B$6*N564+About!$B$7*O564)</f>
        <v/>
      </c>
      <c r="Q564" s="23" t="n">
        <v>46.8033</v>
      </c>
      <c r="R564" s="23" t="n">
        <v>-71.17789999999999</v>
      </c>
    </row>
    <row r="565" ht="15" customHeight="1" s="12">
      <c r="A565" s="18" t="inlineStr">
        <is>
          <t>Kobe</t>
        </is>
      </c>
      <c r="B565" s="18" t="inlineStr">
        <is>
          <t>Japan</t>
        </is>
      </c>
      <c r="C565" s="19" t="n">
        <v>122810000</v>
      </c>
      <c r="D565" s="18" t="inlineStr">
        <is>
          <t>JP</t>
        </is>
      </c>
      <c r="E565" s="18" t="inlineStr">
        <is>
          <t>13</t>
        </is>
      </c>
      <c r="F565" s="20" t="n">
        <v>1528478</v>
      </c>
      <c r="G565" s="18" t="n"/>
      <c r="H565" s="18" t="inlineStr">
        <is>
          <t>UKB</t>
        </is>
      </c>
      <c r="I565" s="18" t="inlineStr">
        <is>
          <t>Kobe Airport</t>
        </is>
      </c>
      <c r="J565" s="21" t="n">
        <v>7.5</v>
      </c>
      <c r="K565" s="18" t="inlineStr">
        <is>
          <t>UKB</t>
        </is>
      </c>
      <c r="L565" s="18" t="inlineStr">
        <is>
          <t>100k +  pop + airport</t>
        </is>
      </c>
      <c r="M565" s="22" t="n">
        <v>0.63</v>
      </c>
      <c r="N565" s="22" t="n">
        <v>0</v>
      </c>
      <c r="O565" s="18" t="n"/>
      <c r="P565" s="22">
        <f>IF(O565="",(About!$B$5*M565+About!$B$6*N565)/(About!$B$5+About!$B$6),About!$B$5*M565+About!$B$6*N565+About!$B$7*O565)</f>
        <v/>
      </c>
      <c r="Q565" s="23" t="n">
        <v>34.6913</v>
      </c>
      <c r="R565" s="23" t="n">
        <v>135.183</v>
      </c>
    </row>
    <row r="566" ht="15" customHeight="1" s="12">
      <c r="A566" s="18" t="inlineStr">
        <is>
          <t>Liverpool</t>
        </is>
      </c>
      <c r="B566" s="18" t="inlineStr">
        <is>
          <t>United Kingdom</t>
        </is>
      </c>
      <c r="C566" s="19" t="n">
        <v>69487000</v>
      </c>
      <c r="D566" s="18" t="inlineStr">
        <is>
          <t>GB</t>
        </is>
      </c>
      <c r="E566" s="18" t="inlineStr">
        <is>
          <t>ENG</t>
        </is>
      </c>
      <c r="F566" s="20" t="n">
        <v>864122</v>
      </c>
      <c r="G566" s="18" t="n"/>
      <c r="H566" s="18" t="inlineStr">
        <is>
          <t>LPL</t>
        </is>
      </c>
      <c r="I566" s="18" t="inlineStr">
        <is>
          <t>Liverpool John Lennon Airport</t>
        </is>
      </c>
      <c r="J566" s="21" t="n">
        <v>12</v>
      </c>
      <c r="K566" s="18" t="inlineStr">
        <is>
          <t>LPL</t>
        </is>
      </c>
      <c r="L566" s="18" t="inlineStr">
        <is>
          <t>100k +  pop + airport</t>
        </is>
      </c>
      <c r="M566" s="22" t="n">
        <v>0.629</v>
      </c>
      <c r="N566" s="22" t="n">
        <v>0</v>
      </c>
      <c r="O566" s="18" t="n"/>
      <c r="P566" s="22">
        <f>IF(O566="",(About!$B$5*M566+About!$B$6*N566)/(About!$B$5+About!$B$6),About!$B$5*M566+About!$B$6*N566+About!$B$7*O566)</f>
        <v/>
      </c>
      <c r="Q566" s="23" t="n">
        <v>53.4106</v>
      </c>
      <c r="R566" s="23" t="n">
        <v>-2.9779</v>
      </c>
    </row>
    <row r="567" ht="15" customHeight="1" s="12">
      <c r="A567" s="18" t="inlineStr">
        <is>
          <t>Birkenhead</t>
        </is>
      </c>
      <c r="B567" s="18" t="inlineStr">
        <is>
          <t>United Kingdom</t>
        </is>
      </c>
      <c r="C567" s="19" t="n">
        <v>69487000</v>
      </c>
      <c r="D567" s="18" t="inlineStr">
        <is>
          <t>GB</t>
        </is>
      </c>
      <c r="E567" s="18" t="inlineStr">
        <is>
          <t>ENG</t>
        </is>
      </c>
      <c r="F567" s="20" t="n">
        <v>325264</v>
      </c>
      <c r="G567" s="18" t="n"/>
      <c r="H567" s="18" t="inlineStr">
        <is>
          <t>LPL</t>
        </is>
      </c>
      <c r="I567" s="18" t="inlineStr">
        <is>
          <t>Liverpool John Lennon Airport</t>
        </is>
      </c>
      <c r="J567" s="21" t="n">
        <v>12.7</v>
      </c>
      <c r="K567" s="18" t="inlineStr">
        <is>
          <t>LPL</t>
        </is>
      </c>
      <c r="L567" s="18" t="inlineStr">
        <is>
          <t>100k +  pop</t>
        </is>
      </c>
      <c r="M567" s="22" t="n">
        <v>0.629</v>
      </c>
      <c r="N567" s="22" t="n">
        <v>0</v>
      </c>
      <c r="O567" s="18" t="n"/>
      <c r="P567" s="22">
        <f>IF(O567="",(About!$B$5*M567+About!$B$6*N567)/(About!$B$5+About!$B$6),About!$B$5*M567+About!$B$6*N567+About!$B$7*O567)</f>
        <v/>
      </c>
      <c r="Q567" s="23" t="n">
        <v>53.3934</v>
      </c>
      <c r="R567" s="23" t="n">
        <v>-3.0148</v>
      </c>
    </row>
    <row r="568" ht="15" customHeight="1" s="12">
      <c r="A568" s="18" t="inlineStr">
        <is>
          <t>Stavanger</t>
        </is>
      </c>
      <c r="B568" s="18" t="inlineStr">
        <is>
          <t>Norway</t>
        </is>
      </c>
      <c r="C568" s="19" t="n">
        <v>5633770</v>
      </c>
      <c r="D568" s="18" t="inlineStr">
        <is>
          <t>NO</t>
        </is>
      </c>
      <c r="E568" s="18" t="inlineStr">
        <is>
          <t>14</t>
        </is>
      </c>
      <c r="F568" s="20" t="n">
        <v>121610</v>
      </c>
      <c r="G568" s="18" t="n"/>
      <c r="H568" s="18" t="inlineStr">
        <is>
          <t>SVG</t>
        </is>
      </c>
      <c r="I568" s="18" t="inlineStr">
        <is>
          <t>Stavanger Airport, Sola</t>
        </is>
      </c>
      <c r="J568" s="21" t="n">
        <v>11.7</v>
      </c>
      <c r="K568" s="18" t="inlineStr">
        <is>
          <t>SVG</t>
        </is>
      </c>
      <c r="L568" s="18" t="inlineStr">
        <is>
          <t>100k +  pop + airport</t>
        </is>
      </c>
      <c r="M568" s="22" t="n">
        <v>0.63</v>
      </c>
      <c r="N568" s="22" t="n">
        <v>0</v>
      </c>
      <c r="O568" s="18" t="n"/>
      <c r="P568" s="22">
        <f>IF(O568="",(About!$B$5*M568+About!$B$6*N568)/(About!$B$5+About!$B$6),About!$B$5*M568+About!$B$6*N568+About!$B$7*O568)</f>
        <v/>
      </c>
      <c r="Q568" s="23" t="n">
        <v>58.9701</v>
      </c>
      <c r="R568" s="23" t="n">
        <v>5.7333</v>
      </c>
    </row>
    <row r="569" ht="15" customHeight="1" s="12">
      <c r="A569" s="18" t="inlineStr">
        <is>
          <t>St Helens</t>
        </is>
      </c>
      <c r="B569" s="18" t="inlineStr">
        <is>
          <t>United Kingdom</t>
        </is>
      </c>
      <c r="C569" s="19" t="n">
        <v>69487000</v>
      </c>
      <c r="D569" s="18" t="inlineStr">
        <is>
          <t>GB</t>
        </is>
      </c>
      <c r="E569" s="18" t="inlineStr">
        <is>
          <t>ENG</t>
        </is>
      </c>
      <c r="F569" s="20" t="n">
        <v>102555</v>
      </c>
      <c r="G569" s="18" t="n"/>
      <c r="H569" s="18" t="inlineStr">
        <is>
          <t>LPL</t>
        </is>
      </c>
      <c r="I569" s="18" t="inlineStr">
        <is>
          <t>Liverpool John Lennon Airport</t>
        </is>
      </c>
      <c r="J569" s="21" t="n">
        <v>14.9</v>
      </c>
      <c r="K569" s="18" t="inlineStr">
        <is>
          <t>LPL</t>
        </is>
      </c>
      <c r="L569" s="18" t="inlineStr">
        <is>
          <t>100k +  pop</t>
        </is>
      </c>
      <c r="M569" s="22" t="n">
        <v>0.629</v>
      </c>
      <c r="N569" s="22" t="n">
        <v>0</v>
      </c>
      <c r="O569" s="18" t="n"/>
      <c r="P569" s="22">
        <f>IF(O569="",(About!$B$5*M569+About!$B$6*N569)/(About!$B$5+About!$B$6),About!$B$5*M569+About!$B$6*N569+About!$B$7*O569)</f>
        <v/>
      </c>
      <c r="Q569" s="23" t="n">
        <v>53.45</v>
      </c>
      <c r="R569" s="23" t="n">
        <v>-2.7333</v>
      </c>
    </row>
    <row r="570" ht="15" customHeight="1" s="12">
      <c r="A570" s="18" t="inlineStr">
        <is>
          <t>Saint Croix</t>
        </is>
      </c>
      <c r="B570" s="18" t="inlineStr">
        <is>
          <t>Virgin Islands, U.S.</t>
        </is>
      </c>
      <c r="C570" s="19" t="n">
        <v>87146</v>
      </c>
      <c r="D570" s="18" t="inlineStr">
        <is>
          <t>VI</t>
        </is>
      </c>
      <c r="E570" s="18" t="inlineStr">
        <is>
          <t>010</t>
        </is>
      </c>
      <c r="F570" s="20" t="n">
        <v>50601</v>
      </c>
      <c r="G570" s="18" t="n"/>
      <c r="H570" s="18" t="inlineStr">
        <is>
          <t>STX</t>
        </is>
      </c>
      <c r="I570" s="18" t="inlineStr">
        <is>
          <t>Henry E. Rohlsen Airport</t>
        </is>
      </c>
      <c r="J570" s="21" t="n">
        <v>6.6</v>
      </c>
      <c r="K570" s="18" t="inlineStr">
        <is>
          <t>SSB+STX</t>
        </is>
      </c>
      <c r="L570" s="18" t="inlineStr">
        <is>
          <t>airport</t>
        </is>
      </c>
      <c r="M570" s="22" t="n">
        <v>0.63</v>
      </c>
      <c r="N570" s="22" t="n">
        <v>0</v>
      </c>
      <c r="O570" s="18" t="n"/>
      <c r="P570" s="22">
        <f>IF(O570="",(About!$B$5*M570+About!$B$6*N570)/(About!$B$5+About!$B$6),About!$B$5*M570+About!$B$6*N570+About!$B$7*O570)</f>
        <v/>
      </c>
      <c r="Q570" s="23" t="n">
        <v>17.7275</v>
      </c>
      <c r="R570" s="23" t="n">
        <v>-64.747</v>
      </c>
    </row>
    <row r="571" ht="15" customHeight="1" s="12">
      <c r="A571" s="18" t="inlineStr">
        <is>
          <t>Kazan</t>
        </is>
      </c>
      <c r="B571" s="18" t="inlineStr">
        <is>
          <t>Russia</t>
        </is>
      </c>
      <c r="C571" s="19" t="n">
        <v>146028325</v>
      </c>
      <c r="D571" s="18" t="inlineStr">
        <is>
          <t>RU</t>
        </is>
      </c>
      <c r="E571" s="18" t="inlineStr">
        <is>
          <t>73</t>
        </is>
      </c>
      <c r="F571" s="20" t="n">
        <v>1104738</v>
      </c>
      <c r="G571" s="18" t="n"/>
      <c r="H571" s="18" t="inlineStr">
        <is>
          <t>KZN</t>
        </is>
      </c>
      <c r="I571" s="18" t="inlineStr">
        <is>
          <t>Kazan International Airport</t>
        </is>
      </c>
      <c r="J571" s="21" t="n">
        <v>22.5</v>
      </c>
      <c r="K571" s="18" t="inlineStr">
        <is>
          <t>KZN</t>
        </is>
      </c>
      <c r="L571" s="18" t="inlineStr">
        <is>
          <t>100k +  pop + airport</t>
        </is>
      </c>
      <c r="M571" s="22" t="n">
        <v>0.627</v>
      </c>
      <c r="N571" s="22" t="n">
        <v>0</v>
      </c>
      <c r="O571" s="18" t="n"/>
      <c r="P571" s="22">
        <f>IF(O571="",(About!$B$5*M571+About!$B$6*N571)/(About!$B$5+About!$B$6),About!$B$5*M571+About!$B$6*N571+About!$B$7*O571)</f>
        <v/>
      </c>
      <c r="Q571" s="23" t="n">
        <v>55.7887</v>
      </c>
      <c r="R571" s="23" t="n">
        <v>49.1221</v>
      </c>
    </row>
    <row r="572" ht="15" customHeight="1" s="12">
      <c r="A572" s="18" t="inlineStr">
        <is>
          <t>Da Nang</t>
        </is>
      </c>
      <c r="B572" s="18" t="inlineStr">
        <is>
          <t>Vietnam</t>
        </is>
      </c>
      <c r="C572" s="19" t="n">
        <v>102300000</v>
      </c>
      <c r="D572" s="18" t="inlineStr">
        <is>
          <t>VN</t>
        </is>
      </c>
      <c r="E572" s="18" t="inlineStr">
        <is>
          <t>78</t>
        </is>
      </c>
      <c r="F572" s="20" t="n">
        <v>752493</v>
      </c>
      <c r="G572" s="18" t="n"/>
      <c r="H572" s="18" t="inlineStr">
        <is>
          <t>DAD</t>
        </is>
      </c>
      <c r="I572" s="18" t="inlineStr">
        <is>
          <t>Da Nang International Airport</t>
        </is>
      </c>
      <c r="J572" s="21" t="n">
        <v>3.5</v>
      </c>
      <c r="K572" s="18" t="inlineStr">
        <is>
          <t>DAD</t>
        </is>
      </c>
      <c r="L572" s="18" t="inlineStr">
        <is>
          <t>100k +  pop + airport</t>
        </is>
      </c>
      <c r="M572" s="22" t="n">
        <v>0.627</v>
      </c>
      <c r="N572" s="22" t="n">
        <v>0</v>
      </c>
      <c r="O572" s="18" t="n"/>
      <c r="P572" s="22">
        <f>IF(O572="",(About!$B$5*M572+About!$B$6*N572)/(About!$B$5+About!$B$6),About!$B$5*M572+About!$B$6*N572+About!$B$7*O572)</f>
        <v/>
      </c>
      <c r="Q572" s="23" t="n">
        <v>16.0678</v>
      </c>
      <c r="R572" s="23" t="n">
        <v>108.2208</v>
      </c>
    </row>
    <row r="573" ht="15" customHeight="1" s="12">
      <c r="A573" s="18" t="inlineStr">
        <is>
          <t>Hat Yai</t>
        </is>
      </c>
      <c r="B573" s="18" t="inlineStr">
        <is>
          <t>Thailand</t>
        </is>
      </c>
      <c r="C573" s="19" t="n">
        <v>65826149</v>
      </c>
      <c r="D573" s="18" t="inlineStr">
        <is>
          <t>TH</t>
        </is>
      </c>
      <c r="E573" s="18" t="inlineStr">
        <is>
          <t>68</t>
        </is>
      </c>
      <c r="F573" s="20" t="n">
        <v>191696</v>
      </c>
      <c r="G573" s="18" t="n"/>
      <c r="H573" s="18" t="inlineStr">
        <is>
          <t>HDY</t>
        </is>
      </c>
      <c r="I573" s="18" t="inlineStr">
        <is>
          <t>Hat Yai International Airport</t>
        </is>
      </c>
      <c r="J573" s="21" t="n">
        <v>12.5</v>
      </c>
      <c r="K573" s="18" t="inlineStr">
        <is>
          <t>HDY</t>
        </is>
      </c>
      <c r="L573" s="18" t="inlineStr">
        <is>
          <t>100k +  pop + airport</t>
        </is>
      </c>
      <c r="M573" s="22" t="n">
        <v>0.629</v>
      </c>
      <c r="N573" s="22" t="n">
        <v>0</v>
      </c>
      <c r="O573" s="18" t="n"/>
      <c r="P573" s="22">
        <f>IF(O573="",(About!$B$5*M573+About!$B$6*N573)/(About!$B$5+About!$B$6),About!$B$5*M573+About!$B$6*N573+About!$B$7*O573)</f>
        <v/>
      </c>
      <c r="Q573" s="23" t="n">
        <v>7.0084</v>
      </c>
      <c r="R573" s="23" t="n">
        <v>100.4767</v>
      </c>
    </row>
    <row r="574" ht="15" customHeight="1" s="12">
      <c r="A574" s="18" t="inlineStr">
        <is>
          <t>Oranjestad</t>
        </is>
      </c>
      <c r="B574" s="18" t="inlineStr">
        <is>
          <t>Aruba</t>
        </is>
      </c>
      <c r="C574" s="19" t="n">
        <v>110625</v>
      </c>
      <c r="D574" s="18" t="inlineStr">
        <is>
          <t>AW</t>
        </is>
      </c>
      <c r="E574" s="18" t="inlineStr">
        <is>
          <t>00</t>
        </is>
      </c>
      <c r="F574" s="20" t="n">
        <v>29998</v>
      </c>
      <c r="G574" s="18" t="inlineStr">
        <is>
          <t>Yes</t>
        </is>
      </c>
      <c r="H574" s="18" t="inlineStr">
        <is>
          <t>AUA</t>
        </is>
      </c>
      <c r="I574" s="18" t="inlineStr">
        <is>
          <t>Queen Beatrix International Airport</t>
        </is>
      </c>
      <c r="J574" s="21" t="n">
        <v>2.9</v>
      </c>
      <c r="K574" s="18" t="inlineStr">
        <is>
          <t>AUA</t>
        </is>
      </c>
      <c r="L574" s="18" t="inlineStr">
        <is>
          <t>capital + airport</t>
        </is>
      </c>
      <c r="M574" s="22" t="n">
        <v>0.628</v>
      </c>
      <c r="N574" s="22" t="n">
        <v>0</v>
      </c>
      <c r="O574" s="18" t="n"/>
      <c r="P574" s="22">
        <f>IF(O574="",(About!$B$5*M574+About!$B$6*N574)/(About!$B$5+About!$B$6),About!$B$5*M574+About!$B$6*N574+About!$B$7*O574)</f>
        <v/>
      </c>
      <c r="Q574" s="23" t="n">
        <v>12.524</v>
      </c>
      <c r="R574" s="23" t="n">
        <v>-70.027</v>
      </c>
    </row>
    <row r="575" ht="15" customHeight="1" s="12">
      <c r="A575" s="18" t="inlineStr">
        <is>
          <t>Tanki Leendert</t>
        </is>
      </c>
      <c r="B575" s="18" t="inlineStr">
        <is>
          <t>Aruba</t>
        </is>
      </c>
      <c r="C575" s="19" t="n">
        <v>110625</v>
      </c>
      <c r="D575" s="18" t="inlineStr">
        <is>
          <t>AW</t>
        </is>
      </c>
      <c r="E575" s="18" t="inlineStr">
        <is>
          <t>00</t>
        </is>
      </c>
      <c r="F575" s="20" t="n">
        <v>21500</v>
      </c>
      <c r="G575" s="18" t="n"/>
      <c r="H575" s="18" t="inlineStr">
        <is>
          <t>AUA</t>
        </is>
      </c>
      <c r="I575" s="18" t="inlineStr">
        <is>
          <t>Queen Beatrix International Airport</t>
        </is>
      </c>
      <c r="J575" s="21" t="n">
        <v>4.3</v>
      </c>
      <c r="K575" s="18" t="inlineStr">
        <is>
          <t>AUA</t>
        </is>
      </c>
      <c r="L575" s="18" t="inlineStr">
        <is>
          <t>airport</t>
        </is>
      </c>
      <c r="M575" s="22" t="n">
        <v>0.628</v>
      </c>
      <c r="N575" s="22" t="n">
        <v>0</v>
      </c>
      <c r="O575" s="18" t="n"/>
      <c r="P575" s="22">
        <f>IF(O575="",(About!$B$5*M575+About!$B$6*N575)/(About!$B$5+About!$B$6),About!$B$5*M575+About!$B$6*N575+About!$B$7*O575)</f>
        <v/>
      </c>
      <c r="Q575" s="23" t="n">
        <v>12.5391</v>
      </c>
      <c r="R575" s="23" t="n">
        <v>-70.02</v>
      </c>
    </row>
    <row r="576" ht="15" customHeight="1" s="12">
      <c r="A576" s="18" t="inlineStr">
        <is>
          <t>Kaohsiung</t>
        </is>
      </c>
      <c r="B576" s="18" t="inlineStr">
        <is>
          <t>Taiwan</t>
        </is>
      </c>
      <c r="C576" s="19" t="n">
        <v>23262544</v>
      </c>
      <c r="D576" s="18" t="inlineStr">
        <is>
          <t>TW</t>
        </is>
      </c>
      <c r="E576" s="18" t="inlineStr">
        <is>
          <t>02</t>
        </is>
      </c>
      <c r="F576" s="20" t="n">
        <v>1519711</v>
      </c>
      <c r="G576" s="18" t="n"/>
      <c r="H576" s="18" t="inlineStr">
        <is>
          <t>KHH</t>
        </is>
      </c>
      <c r="I576" s="18" t="inlineStr">
        <is>
          <t>Kaohsiung International Airport</t>
        </is>
      </c>
      <c r="J576" s="21" t="n">
        <v>5.8</v>
      </c>
      <c r="K576" s="18" t="inlineStr">
        <is>
          <t>KHH</t>
        </is>
      </c>
      <c r="L576" s="18" t="inlineStr">
        <is>
          <t>100k +  pop + airport</t>
        </is>
      </c>
      <c r="M576" s="22" t="n">
        <v>0.625</v>
      </c>
      <c r="N576" s="22" t="n">
        <v>0</v>
      </c>
      <c r="O576" s="18" t="n"/>
      <c r="P576" s="22">
        <f>IF(O576="",(About!$B$5*M576+About!$B$6*N576)/(About!$B$5+About!$B$6),About!$B$5*M576+About!$B$6*N576+About!$B$7*O576)</f>
        <v/>
      </c>
      <c r="Q576" s="23" t="n">
        <v>22.6163</v>
      </c>
      <c r="R576" s="23" t="n">
        <v>120.3133</v>
      </c>
    </row>
    <row r="577" ht="15" customHeight="1" s="12">
      <c r="A577" s="18" t="inlineStr">
        <is>
          <t>Davao</t>
        </is>
      </c>
      <c r="B577" s="18" t="inlineStr">
        <is>
          <t>Philippines</t>
        </is>
      </c>
      <c r="C577" s="19" t="n">
        <v>114123600</v>
      </c>
      <c r="D577" s="18" t="inlineStr">
        <is>
          <t>PH</t>
        </is>
      </c>
      <c r="E577" s="18" t="inlineStr">
        <is>
          <t>11</t>
        </is>
      </c>
      <c r="F577" s="20" t="n">
        <v>1212504</v>
      </c>
      <c r="G577" s="18" t="n"/>
      <c r="H577" s="18" t="inlineStr">
        <is>
          <t>DVO</t>
        </is>
      </c>
      <c r="I577" s="18" t="inlineStr">
        <is>
          <t>Francisco Bangoy International Airport</t>
        </is>
      </c>
      <c r="J577" s="21" t="n">
        <v>6.9</v>
      </c>
      <c r="K577" s="18" t="inlineStr">
        <is>
          <t>DVO</t>
        </is>
      </c>
      <c r="L577" s="18" t="inlineStr">
        <is>
          <t>100k +  pop + airport</t>
        </is>
      </c>
      <c r="M577" s="22" t="n">
        <v>0.627</v>
      </c>
      <c r="N577" s="22" t="n">
        <v>0</v>
      </c>
      <c r="O577" s="18" t="n"/>
      <c r="P577" s="22">
        <f>IF(O577="",(About!$B$5*M577+About!$B$6*N577)/(About!$B$5+About!$B$6),About!$B$5*M577+About!$B$6*N577+About!$B$7*O577)</f>
        <v/>
      </c>
      <c r="Q577" s="23" t="n">
        <v>7.0731</v>
      </c>
      <c r="R577" s="23" t="n">
        <v>125.6128</v>
      </c>
    </row>
    <row r="578" ht="15" customHeight="1" s="12">
      <c r="A578" s="18" t="inlineStr">
        <is>
          <t>Hakodate</t>
        </is>
      </c>
      <c r="B578" s="18" t="inlineStr">
        <is>
          <t>Japan</t>
        </is>
      </c>
      <c r="C578" s="19" t="n">
        <v>122810000</v>
      </c>
      <c r="D578" s="18" t="inlineStr">
        <is>
          <t>JP</t>
        </is>
      </c>
      <c r="E578" s="18" t="inlineStr">
        <is>
          <t>12</t>
        </is>
      </c>
      <c r="F578" s="20" t="n">
        <v>275730</v>
      </c>
      <c r="G578" s="18" t="n"/>
      <c r="H578" s="18" t="inlineStr">
        <is>
          <t>HKD</t>
        </is>
      </c>
      <c r="I578" s="18" t="inlineStr">
        <is>
          <t>Hakodate Airport</t>
        </is>
      </c>
      <c r="J578" s="21" t="n">
        <v>7.1</v>
      </c>
      <c r="K578" s="18" t="inlineStr">
        <is>
          <t>HKD</t>
        </is>
      </c>
      <c r="L578" s="18" t="inlineStr">
        <is>
          <t>100k +  pop + airport</t>
        </is>
      </c>
      <c r="M578" s="22" t="n">
        <v>0.624</v>
      </c>
      <c r="N578" s="22" t="n">
        <v>0</v>
      </c>
      <c r="O578" s="18" t="n"/>
      <c r="P578" s="22">
        <f>IF(O578="",(About!$B$5*M578+About!$B$6*N578)/(About!$B$5+About!$B$6),About!$B$5*M578+About!$B$6*N578+About!$B$7*O578)</f>
        <v/>
      </c>
      <c r="Q578" s="23" t="n">
        <v>41.7758</v>
      </c>
      <c r="R578" s="23" t="n">
        <v>140.7367</v>
      </c>
    </row>
    <row r="579" ht="15" customHeight="1" s="12">
      <c r="A579" s="18" t="inlineStr">
        <is>
          <t>Pyatigorsk</t>
        </is>
      </c>
      <c r="B579" s="18" t="inlineStr">
        <is>
          <t>Russia</t>
        </is>
      </c>
      <c r="C579" s="19" t="n">
        <v>146028325</v>
      </c>
      <c r="D579" s="18" t="inlineStr">
        <is>
          <t>RU</t>
        </is>
      </c>
      <c r="E579" s="18" t="inlineStr">
        <is>
          <t>70</t>
        </is>
      </c>
      <c r="F579" s="20" t="n">
        <v>142865</v>
      </c>
      <c r="G579" s="18" t="n"/>
      <c r="H579" s="18" t="inlineStr">
        <is>
          <t>MRV</t>
        </is>
      </c>
      <c r="I579" s="18" t="inlineStr">
        <is>
          <t>Mineralnye Vody Airport</t>
        </is>
      </c>
      <c r="J579" s="21" t="n">
        <v>19.7</v>
      </c>
      <c r="K579" s="18" t="inlineStr">
        <is>
          <t>MRV</t>
        </is>
      </c>
      <c r="L579" s="18" t="inlineStr">
        <is>
          <t>100k +  pop</t>
        </is>
      </c>
      <c r="M579" s="22" t="n">
        <v>0.625</v>
      </c>
      <c r="N579" s="22" t="n">
        <v>0</v>
      </c>
      <c r="O579" s="18" t="n"/>
      <c r="P579" s="22">
        <f>IF(O579="",(About!$B$5*M579+About!$B$6*N579)/(About!$B$5+About!$B$6),About!$B$5*M579+About!$B$6*N579+About!$B$7*O579)</f>
        <v/>
      </c>
      <c r="Q579" s="23" t="n">
        <v>44.0486</v>
      </c>
      <c r="R579" s="23" t="n">
        <v>43.0594</v>
      </c>
    </row>
    <row r="580" ht="15" customHeight="1" s="12">
      <c r="A580" s="18" t="inlineStr">
        <is>
          <t>Nelson</t>
        </is>
      </c>
      <c r="B580" s="18" t="inlineStr">
        <is>
          <t>New Zealand</t>
        </is>
      </c>
      <c r="C580" s="19" t="n">
        <v>5361300</v>
      </c>
      <c r="D580" s="18" t="inlineStr">
        <is>
          <t>NZ</t>
        </is>
      </c>
      <c r="E580" s="18" t="inlineStr">
        <is>
          <t>F5</t>
        </is>
      </c>
      <c r="F580" s="20" t="n">
        <v>59200</v>
      </c>
      <c r="G580" s="18" t="n"/>
      <c r="H580" s="18" t="inlineStr">
        <is>
          <t>NSN</t>
        </is>
      </c>
      <c r="I580" s="18" t="inlineStr">
        <is>
          <t>Nelson Airport</t>
        </is>
      </c>
      <c r="J580" s="21" t="n">
        <v>6.1</v>
      </c>
      <c r="K580" s="18" t="inlineStr">
        <is>
          <t>NSN</t>
        </is>
      </c>
      <c r="L580" s="18" t="inlineStr">
        <is>
          <t>airport</t>
        </is>
      </c>
      <c r="M580" s="22" t="n">
        <v>0.623</v>
      </c>
      <c r="N580" s="22" t="n">
        <v>0</v>
      </c>
      <c r="O580" s="18" t="n"/>
      <c r="P580" s="22">
        <f>IF(O580="",(About!$B$5*M580+About!$B$6*N580)/(About!$B$5+About!$B$6),About!$B$5*M580+About!$B$6*N580+About!$B$7*O580)</f>
        <v/>
      </c>
      <c r="Q580" s="23" t="n">
        <v>-41.2708</v>
      </c>
      <c r="R580" s="23" t="n">
        <v>173.284</v>
      </c>
    </row>
    <row r="581" ht="15" customHeight="1" s="12">
      <c r="A581" s="18" t="inlineStr">
        <is>
          <t>Tegucigalpa</t>
        </is>
      </c>
      <c r="B581" s="18" t="inlineStr">
        <is>
          <t>Honduras</t>
        </is>
      </c>
      <c r="C581" s="19" t="n">
        <v>10186738</v>
      </c>
      <c r="D581" s="18" t="inlineStr">
        <is>
          <t>HN</t>
        </is>
      </c>
      <c r="E581" s="18" t="inlineStr">
        <is>
          <t>08</t>
        </is>
      </c>
      <c r="F581" s="20" t="n">
        <v>850848</v>
      </c>
      <c r="G581" s="18" t="inlineStr">
        <is>
          <t>Yes</t>
        </is>
      </c>
      <c r="H581" s="18" t="inlineStr">
        <is>
          <t>TGU</t>
        </is>
      </c>
      <c r="I581" s="18" t="inlineStr">
        <is>
          <t>Toncontín Airport</t>
        </is>
      </c>
      <c r="J581" s="21" t="n">
        <v>2.6</v>
      </c>
      <c r="K581" s="18" t="inlineStr">
        <is>
          <t>TGU</t>
        </is>
      </c>
      <c r="L581" s="18" t="inlineStr">
        <is>
          <t>100k +  pop + capital + airport</t>
        </is>
      </c>
      <c r="M581" s="22" t="n">
        <v>0.621</v>
      </c>
      <c r="N581" s="22" t="n">
        <v>0</v>
      </c>
      <c r="O581" s="18" t="n"/>
      <c r="P581" s="22">
        <f>IF(O581="",(About!$B$5*M581+About!$B$6*N581)/(About!$B$5+About!$B$6),About!$B$5*M581+About!$B$6*N581+About!$B$7*O581)</f>
        <v/>
      </c>
      <c r="Q581" s="23" t="n">
        <v>14.0818</v>
      </c>
      <c r="R581" s="23" t="n">
        <v>-87.2068</v>
      </c>
    </row>
    <row r="582" ht="15" customHeight="1" s="12">
      <c r="A582" s="18" t="inlineStr">
        <is>
          <t>Aomori</t>
        </is>
      </c>
      <c r="B582" s="18" t="inlineStr">
        <is>
          <t>Japan</t>
        </is>
      </c>
      <c r="C582" s="19" t="n">
        <v>122810000</v>
      </c>
      <c r="D582" s="18" t="inlineStr">
        <is>
          <t>JP</t>
        </is>
      </c>
      <c r="E582" s="18" t="inlineStr">
        <is>
          <t>03</t>
        </is>
      </c>
      <c r="F582" s="20" t="n">
        <v>298394</v>
      </c>
      <c r="G582" s="18" t="n"/>
      <c r="H582" s="18" t="inlineStr">
        <is>
          <t>AOJ</t>
        </is>
      </c>
      <c r="I582" s="18" t="inlineStr">
        <is>
          <t>Aomori Airport</t>
        </is>
      </c>
      <c r="J582" s="21" t="n">
        <v>9.9</v>
      </c>
      <c r="K582" s="18" t="inlineStr">
        <is>
          <t>AOJ</t>
        </is>
      </c>
      <c r="L582" s="18" t="inlineStr">
        <is>
          <t>100k +  pop + airport</t>
        </is>
      </c>
      <c r="M582" s="22" t="n">
        <v>0.623</v>
      </c>
      <c r="N582" s="22" t="n">
        <v>0</v>
      </c>
      <c r="O582" s="18" t="n"/>
      <c r="P582" s="22">
        <f>IF(O582="",(About!$B$5*M582+About!$B$6*N582)/(About!$B$5+About!$B$6),About!$B$5*M582+About!$B$6*N582+About!$B$7*O582)</f>
        <v/>
      </c>
      <c r="Q582" s="23" t="n">
        <v>40.8167</v>
      </c>
      <c r="R582" s="23" t="n">
        <v>140.7333</v>
      </c>
    </row>
    <row r="583" ht="15" customHeight="1" s="12">
      <c r="A583" s="18" t="inlineStr">
        <is>
          <t>Hirosaki</t>
        </is>
      </c>
      <c r="B583" s="18" t="inlineStr">
        <is>
          <t>Japan</t>
        </is>
      </c>
      <c r="C583" s="19" t="n">
        <v>122810000</v>
      </c>
      <c r="D583" s="18" t="inlineStr">
        <is>
          <t>JP</t>
        </is>
      </c>
      <c r="E583" s="18" t="inlineStr">
        <is>
          <t>03</t>
        </is>
      </c>
      <c r="F583" s="20" t="n">
        <v>174972</v>
      </c>
      <c r="G583" s="18" t="n"/>
      <c r="H583" s="18" t="inlineStr">
        <is>
          <t>AOJ</t>
        </is>
      </c>
      <c r="I583" s="18" t="inlineStr">
        <is>
          <t>Aomori Airport</t>
        </is>
      </c>
      <c r="J583" s="21" t="n">
        <v>24.1</v>
      </c>
      <c r="K583" s="18" t="inlineStr">
        <is>
          <t>AOJ</t>
        </is>
      </c>
      <c r="L583" s="18" t="inlineStr">
        <is>
          <t>100k +  pop</t>
        </is>
      </c>
      <c r="M583" s="22" t="n">
        <v>0.623</v>
      </c>
      <c r="N583" s="22" t="n">
        <v>0</v>
      </c>
      <c r="O583" s="18" t="n"/>
      <c r="P583" s="22">
        <f>IF(O583="",(About!$B$5*M583+About!$B$6*N583)/(About!$B$5+About!$B$6),About!$B$5*M583+About!$B$6*N583+About!$B$7*O583)</f>
        <v/>
      </c>
      <c r="Q583" s="23" t="n">
        <v>40.5931</v>
      </c>
      <c r="R583" s="23" t="n">
        <v>140.4725</v>
      </c>
    </row>
    <row r="584" ht="15" customHeight="1" s="12">
      <c r="A584" s="18" t="inlineStr">
        <is>
          <t>Bahir Dar</t>
        </is>
      </c>
      <c r="B584" s="18" t="inlineStr">
        <is>
          <t>Ethiopia</t>
        </is>
      </c>
      <c r="C584" s="19" t="n">
        <v>111652998</v>
      </c>
      <c r="D584" s="18" t="inlineStr">
        <is>
          <t>ET</t>
        </is>
      </c>
      <c r="E584" s="18" t="inlineStr">
        <is>
          <t>46</t>
        </is>
      </c>
      <c r="F584" s="20" t="n">
        <v>168899</v>
      </c>
      <c r="G584" s="18" t="n"/>
      <c r="H584" s="18" t="inlineStr">
        <is>
          <t>BJR</t>
        </is>
      </c>
      <c r="I584" s="18" t="inlineStr">
        <is>
          <t>Bahir Dar Airport</t>
        </is>
      </c>
      <c r="J584" s="21" t="n">
        <v>7.7</v>
      </c>
      <c r="K584" s="18" t="inlineStr">
        <is>
          <t>BJR</t>
        </is>
      </c>
      <c r="L584" s="18" t="inlineStr">
        <is>
          <t>100k +  pop + airport</t>
        </is>
      </c>
      <c r="M584" s="22" t="n">
        <v>0.622</v>
      </c>
      <c r="N584" s="22" t="n">
        <v>0</v>
      </c>
      <c r="O584" s="18" t="n"/>
      <c r="P584" s="22">
        <f>IF(O584="",(About!$B$5*M584+About!$B$6*N584)/(About!$B$5+About!$B$6),About!$B$5*M584+About!$B$6*N584+About!$B$7*O584)</f>
        <v/>
      </c>
      <c r="Q584" s="23" t="n">
        <v>11.5936</v>
      </c>
      <c r="R584" s="23" t="n">
        <v>37.3908</v>
      </c>
    </row>
    <row r="585" ht="15" customHeight="1" s="12">
      <c r="A585" s="18" t="inlineStr">
        <is>
          <t>Goma</t>
        </is>
      </c>
      <c r="B585" s="18" t="inlineStr">
        <is>
          <t>DR Congo</t>
        </is>
      </c>
      <c r="C585" s="19" t="n">
        <v>112832000</v>
      </c>
      <c r="D585" s="18" t="inlineStr">
        <is>
          <t>CD</t>
        </is>
      </c>
      <c r="E585" s="18" t="inlineStr">
        <is>
          <t>11</t>
        </is>
      </c>
      <c r="F585" s="20" t="n">
        <v>144124</v>
      </c>
      <c r="G585" s="18" t="n"/>
      <c r="H585" s="18" t="inlineStr">
        <is>
          <t>GOM</t>
        </is>
      </c>
      <c r="I585" s="18" t="inlineStr">
        <is>
          <t>Goma International Airport</t>
        </is>
      </c>
      <c r="J585" s="21" t="n">
        <v>1.3</v>
      </c>
      <c r="K585" s="18" t="inlineStr">
        <is>
          <t>GOM</t>
        </is>
      </c>
      <c r="L585" s="18" t="inlineStr">
        <is>
          <t>100k +  pop + airport</t>
        </is>
      </c>
      <c r="M585" s="22" t="n">
        <v>0.622</v>
      </c>
      <c r="N585" s="22" t="n">
        <v>0</v>
      </c>
      <c r="O585" s="18" t="n"/>
      <c r="P585" s="22">
        <f>IF(O585="",(About!$B$5*M585+About!$B$6*N585)/(About!$B$5+About!$B$6),About!$B$5*M585+About!$B$6*N585+About!$B$7*O585)</f>
        <v/>
      </c>
      <c r="Q585" s="23" t="n">
        <v>-1.6741</v>
      </c>
      <c r="R585" s="23" t="n">
        <v>29.2284</v>
      </c>
    </row>
    <row r="586" ht="15" customHeight="1" s="12">
      <c r="A586" s="18" t="inlineStr">
        <is>
          <t>Gisenyi</t>
        </is>
      </c>
      <c r="B586" s="18" t="inlineStr">
        <is>
          <t>Rwanda</t>
        </is>
      </c>
      <c r="C586" s="19" t="n">
        <v>14104969</v>
      </c>
      <c r="D586" s="18" t="inlineStr">
        <is>
          <t>RW</t>
        </is>
      </c>
      <c r="E586" s="18" t="inlineStr">
        <is>
          <t>14</t>
        </is>
      </c>
      <c r="F586" s="20" t="n">
        <v>83623</v>
      </c>
      <c r="G586" s="18" t="n"/>
      <c r="H586" s="18" t="inlineStr">
        <is>
          <t>GOM</t>
        </is>
      </c>
      <c r="I586" s="18" t="inlineStr">
        <is>
          <t>Goma International Airport</t>
        </is>
      </c>
      <c r="J586" s="21" t="n">
        <v>4.5</v>
      </c>
      <c r="K586" s="18" t="inlineStr">
        <is>
          <t>GOM</t>
        </is>
      </c>
      <c r="L586" s="18" t="inlineStr">
        <is>
          <t>airport</t>
        </is>
      </c>
      <c r="M586" s="22" t="n">
        <v>0.622</v>
      </c>
      <c r="N586" s="22" t="n">
        <v>0</v>
      </c>
      <c r="O586" s="18" t="n"/>
      <c r="P586" s="22">
        <f>IF(O586="",(About!$B$5*M586+About!$B$6*N586)/(About!$B$5+About!$B$6),About!$B$5*M586+About!$B$6*N586+About!$B$7*O586)</f>
        <v/>
      </c>
      <c r="Q586" s="23" t="n">
        <v>-1.7028</v>
      </c>
      <c r="R586" s="23" t="n">
        <v>29.2564</v>
      </c>
    </row>
    <row r="587" ht="15" customHeight="1" s="12">
      <c r="A587" s="18" t="inlineStr">
        <is>
          <t>Labasa</t>
        </is>
      </c>
      <c r="B587" s="18" t="inlineStr">
        <is>
          <t>Fiji</t>
        </is>
      </c>
      <c r="C587" s="19" t="n">
        <v>902623</v>
      </c>
      <c r="D587" s="18" t="inlineStr">
        <is>
          <t>FJ</t>
        </is>
      </c>
      <c r="E587" s="18" t="inlineStr">
        <is>
          <t>03</t>
        </is>
      </c>
      <c r="F587" s="20" t="n">
        <v>27949</v>
      </c>
      <c r="G587" s="18" t="n"/>
      <c r="H587" s="18" t="inlineStr">
        <is>
          <t>LBS</t>
        </is>
      </c>
      <c r="I587" s="18" t="inlineStr">
        <is>
          <t>Labasa Airport</t>
        </is>
      </c>
      <c r="J587" s="21" t="n">
        <v>4.6</v>
      </c>
      <c r="K587" s="18" t="inlineStr">
        <is>
          <t>LBS</t>
        </is>
      </c>
      <c r="L587" s="18" t="inlineStr">
        <is>
          <t>airport</t>
        </is>
      </c>
      <c r="M587" s="22" t="n">
        <v>0.623</v>
      </c>
      <c r="N587" s="22" t="n">
        <v>0</v>
      </c>
      <c r="O587" s="18" t="n"/>
      <c r="P587" s="22">
        <f>IF(O587="",(About!$B$5*M587+About!$B$6*N587)/(About!$B$5+About!$B$6),About!$B$5*M587+About!$B$6*N587+About!$B$7*O587)</f>
        <v/>
      </c>
      <c r="Q587" s="23" t="n">
        <v>-16.4332</v>
      </c>
      <c r="R587" s="23" t="n">
        <v>179.3645</v>
      </c>
    </row>
    <row r="588" ht="15" customHeight="1" s="12">
      <c r="A588" s="18" t="inlineStr">
        <is>
          <t>Ouagadougou</t>
        </is>
      </c>
      <c r="B588" s="18" t="inlineStr">
        <is>
          <t>Burkina Faso</t>
        </is>
      </c>
      <c r="C588" s="19" t="n">
        <v>24070553</v>
      </c>
      <c r="D588" s="18" t="inlineStr">
        <is>
          <t>BF</t>
        </is>
      </c>
      <c r="E588" s="18" t="inlineStr">
        <is>
          <t>03</t>
        </is>
      </c>
      <c r="F588" s="20" t="n">
        <v>1086505</v>
      </c>
      <c r="G588" s="18" t="inlineStr">
        <is>
          <t>Yes</t>
        </is>
      </c>
      <c r="H588" s="18" t="inlineStr">
        <is>
          <t>OUA</t>
        </is>
      </c>
      <c r="I588" s="18" t="inlineStr">
        <is>
          <t>Ouagadougou Thomas Sankara International Airport</t>
        </is>
      </c>
      <c r="J588" s="21" t="n">
        <v>2.7</v>
      </c>
      <c r="K588" s="18" t="inlineStr">
        <is>
          <t>OUA</t>
        </is>
      </c>
      <c r="L588" s="18" t="inlineStr">
        <is>
          <t>100k +  pop + capital + airport</t>
        </is>
      </c>
      <c r="M588" s="22" t="n">
        <v>0.619</v>
      </c>
      <c r="N588" s="22" t="n">
        <v>0</v>
      </c>
      <c r="O588" s="18" t="n"/>
      <c r="P588" s="22">
        <f>IF(O588="",(About!$B$5*M588+About!$B$6*N588)/(About!$B$5+About!$B$6),About!$B$5*M588+About!$B$6*N588+About!$B$7*O588)</f>
        <v/>
      </c>
      <c r="Q588" s="23" t="n">
        <v>12.3657</v>
      </c>
      <c r="R588" s="23" t="n">
        <v>-1.5339</v>
      </c>
    </row>
    <row r="589" ht="15" customHeight="1" s="12">
      <c r="A589" s="18" t="inlineStr">
        <is>
          <t>Skopje</t>
        </is>
      </c>
      <c r="B589" s="18" t="inlineStr">
        <is>
          <t>North Macedonia</t>
        </is>
      </c>
      <c r="C589" s="19" t="n">
        <v>1822612</v>
      </c>
      <c r="D589" s="18" t="inlineStr">
        <is>
          <t>MK</t>
        </is>
      </c>
      <c r="E589" s="18" t="inlineStr">
        <is>
          <t>F6</t>
        </is>
      </c>
      <c r="F589" s="20" t="n">
        <v>474889</v>
      </c>
      <c r="G589" s="18" t="inlineStr">
        <is>
          <t>Yes</t>
        </is>
      </c>
      <c r="H589" s="18" t="inlineStr">
        <is>
          <t>SKP</t>
        </is>
      </c>
      <c r="I589" s="18" t="inlineStr">
        <is>
          <t>Skopje International Airport</t>
        </is>
      </c>
      <c r="J589" s="21" t="n">
        <v>16.4</v>
      </c>
      <c r="K589" s="18" t="inlineStr">
        <is>
          <t>SKP</t>
        </is>
      </c>
      <c r="L589" s="18" t="inlineStr">
        <is>
          <t>100k +  pop + capital</t>
        </is>
      </c>
      <c r="M589" s="22" t="n">
        <v>0.619</v>
      </c>
      <c r="N589" s="22" t="n">
        <v>0</v>
      </c>
      <c r="O589" s="18" t="n"/>
      <c r="P589" s="22">
        <f>IF(O589="",(About!$B$5*M589+About!$B$6*N589)/(About!$B$5+About!$B$6),About!$B$5*M589+About!$B$6*N589+About!$B$7*O589)</f>
        <v/>
      </c>
      <c r="Q589" s="23" t="n">
        <v>41.9965</v>
      </c>
      <c r="R589" s="23" t="n">
        <v>21.4314</v>
      </c>
    </row>
    <row r="590" ht="15" customHeight="1" s="12">
      <c r="A590" s="18" t="inlineStr">
        <is>
          <t>Kisela Voda</t>
        </is>
      </c>
      <c r="B590" s="18" t="inlineStr">
        <is>
          <t>North Macedonia</t>
        </is>
      </c>
      <c r="C590" s="19" t="n">
        <v>1822612</v>
      </c>
      <c r="D590" s="18" t="inlineStr">
        <is>
          <t>MK</t>
        </is>
      </c>
      <c r="E590" s="18" t="inlineStr">
        <is>
          <t>F6</t>
        </is>
      </c>
      <c r="F590" s="20" t="n">
        <v>58216</v>
      </c>
      <c r="G590" s="18" t="n"/>
      <c r="H590" s="18" t="inlineStr">
        <is>
          <t>SKP</t>
        </is>
      </c>
      <c r="I590" s="18" t="inlineStr">
        <is>
          <t>Skopje International Airport</t>
        </is>
      </c>
      <c r="J590" s="21" t="n">
        <v>10</v>
      </c>
      <c r="K590" s="18" t="inlineStr">
        <is>
          <t>SKP</t>
        </is>
      </c>
      <c r="L590" s="18" t="inlineStr">
        <is>
          <t>airport</t>
        </is>
      </c>
      <c r="M590" s="22" t="n">
        <v>0.619</v>
      </c>
      <c r="N590" s="22" t="n">
        <v>0</v>
      </c>
      <c r="O590" s="18" t="n"/>
      <c r="P590" s="22">
        <f>IF(O590="",(About!$B$5*M590+About!$B$6*N590)/(About!$B$5+About!$B$6),About!$B$5*M590+About!$B$6*N590+About!$B$7*O590)</f>
        <v/>
      </c>
      <c r="Q590" s="23" t="n">
        <v>41.9489</v>
      </c>
      <c r="R590" s="23" t="n">
        <v>21.5028</v>
      </c>
    </row>
    <row r="591" ht="15" customHeight="1" s="12">
      <c r="A591" s="18" t="inlineStr">
        <is>
          <t>Harare</t>
        </is>
      </c>
      <c r="B591" s="18" t="inlineStr">
        <is>
          <t>Zimbabwe</t>
        </is>
      </c>
      <c r="C591" s="19" t="n">
        <v>17073087</v>
      </c>
      <c r="D591" s="18" t="inlineStr">
        <is>
          <t>ZW</t>
        </is>
      </c>
      <c r="E591" s="18" t="inlineStr">
        <is>
          <t>10</t>
        </is>
      </c>
      <c r="F591" s="20" t="n">
        <v>1542813</v>
      </c>
      <c r="G591" s="18" t="inlineStr">
        <is>
          <t>Yes</t>
        </is>
      </c>
      <c r="H591" s="18" t="inlineStr">
        <is>
          <t>HRE</t>
        </is>
      </c>
      <c r="I591" s="18" t="inlineStr">
        <is>
          <t>Robert Gabriel Mugabe International Airport</t>
        </is>
      </c>
      <c r="J591" s="21" t="n">
        <v>12.3</v>
      </c>
      <c r="K591" s="18" t="inlineStr">
        <is>
          <t>HRE</t>
        </is>
      </c>
      <c r="L591" s="18" t="inlineStr">
        <is>
          <t>100k +  pop + capital + airport</t>
        </is>
      </c>
      <c r="M591" s="22" t="n">
        <v>0.618</v>
      </c>
      <c r="N591" s="22" t="n">
        <v>0</v>
      </c>
      <c r="O591" s="18" t="n"/>
      <c r="P591" s="22">
        <f>IF(O591="",(About!$B$5*M591+About!$B$6*N591)/(About!$B$5+About!$B$6),About!$B$5*M591+About!$B$6*N591+About!$B$7*O591)</f>
        <v/>
      </c>
      <c r="Q591" s="23" t="n">
        <v>-17.8277</v>
      </c>
      <c r="R591" s="23" t="n">
        <v>31.0534</v>
      </c>
    </row>
    <row r="592" ht="15" customHeight="1" s="12">
      <c r="A592" s="18" t="inlineStr">
        <is>
          <t>Chitungwiza</t>
        </is>
      </c>
      <c r="B592" s="18" t="inlineStr">
        <is>
          <t>Zimbabwe</t>
        </is>
      </c>
      <c r="C592" s="19" t="n">
        <v>17073087</v>
      </c>
      <c r="D592" s="18" t="inlineStr">
        <is>
          <t>ZW</t>
        </is>
      </c>
      <c r="E592" s="18" t="inlineStr">
        <is>
          <t>10</t>
        </is>
      </c>
      <c r="F592" s="20" t="n">
        <v>340360</v>
      </c>
      <c r="G592" s="18" t="n"/>
      <c r="H592" s="18" t="inlineStr">
        <is>
          <t>HRE</t>
        </is>
      </c>
      <c r="I592" s="18" t="inlineStr">
        <is>
          <t>Robert Gabriel Mugabe International Airport</t>
        </is>
      </c>
      <c r="J592" s="21" t="n">
        <v>9.199999999999999</v>
      </c>
      <c r="K592" s="18" t="inlineStr">
        <is>
          <t>HRE</t>
        </is>
      </c>
      <c r="L592" s="18" t="inlineStr">
        <is>
          <t>100k +  pop + airport</t>
        </is>
      </c>
      <c r="M592" s="22" t="n">
        <v>0.618</v>
      </c>
      <c r="N592" s="22" t="n">
        <v>0</v>
      </c>
      <c r="O592" s="18" t="n"/>
      <c r="P592" s="22">
        <f>IF(O592="",(About!$B$5*M592+About!$B$6*N592)/(About!$B$5+About!$B$6),About!$B$5*M592+About!$B$6*N592+About!$B$7*O592)</f>
        <v/>
      </c>
      <c r="Q592" s="23" t="n">
        <v>-18.0127</v>
      </c>
      <c r="R592" s="23" t="n">
        <v>31.0755</v>
      </c>
    </row>
    <row r="593" ht="15" customHeight="1" s="12">
      <c r="A593" s="18" t="inlineStr">
        <is>
          <t>Maastricht</t>
        </is>
      </c>
      <c r="B593" s="18" t="inlineStr">
        <is>
          <t>Netherlands</t>
        </is>
      </c>
      <c r="C593" s="19" t="n">
        <v>18147273</v>
      </c>
      <c r="D593" s="18" t="inlineStr">
        <is>
          <t>NL</t>
        </is>
      </c>
      <c r="E593" s="18" t="inlineStr">
        <is>
          <t>05</t>
        </is>
      </c>
      <c r="F593" s="20" t="n">
        <v>122378</v>
      </c>
      <c r="G593" s="18" t="n"/>
      <c r="H593" s="18" t="inlineStr">
        <is>
          <t>MST</t>
        </is>
      </c>
      <c r="I593" s="18" t="inlineStr">
        <is>
          <t>Maastricht Aachen Airport</t>
        </is>
      </c>
      <c r="J593" s="21" t="n">
        <v>9</v>
      </c>
      <c r="K593" s="18" t="inlineStr">
        <is>
          <t>MST</t>
        </is>
      </c>
      <c r="L593" s="18" t="inlineStr">
        <is>
          <t>100k +  pop + airport</t>
        </is>
      </c>
      <c r="M593" s="22" t="n">
        <v>0.619</v>
      </c>
      <c r="N593" s="22" t="n">
        <v>0</v>
      </c>
      <c r="O593" s="18" t="n"/>
      <c r="P593" s="22">
        <f>IF(O593="",(About!$B$5*M593+About!$B$6*N593)/(About!$B$5+About!$B$6),About!$B$5*M593+About!$B$6*N593+About!$B$7*O593)</f>
        <v/>
      </c>
      <c r="Q593" s="23" t="n">
        <v>50.8483</v>
      </c>
      <c r="R593" s="23" t="n">
        <v>5.6889</v>
      </c>
    </row>
    <row r="594" ht="15" customHeight="1" s="12">
      <c r="A594" s="18" t="inlineStr">
        <is>
          <t>Les Abymes</t>
        </is>
      </c>
      <c r="B594" s="18" t="inlineStr">
        <is>
          <t>Guadeloupe</t>
        </is>
      </c>
      <c r="C594" s="19" t="n">
        <v>375000</v>
      </c>
      <c r="D594" s="18" t="inlineStr">
        <is>
          <t>GP</t>
        </is>
      </c>
      <c r="E594" s="18" t="inlineStr">
        <is>
          <t>GP</t>
        </is>
      </c>
      <c r="F594" s="20" t="n">
        <v>63058</v>
      </c>
      <c r="G594" s="18" t="n"/>
      <c r="H594" s="18" t="inlineStr">
        <is>
          <t>PTP</t>
        </is>
      </c>
      <c r="I594" s="18" t="inlineStr">
        <is>
          <t>Maryse Condé International Airport</t>
        </is>
      </c>
      <c r="J594" s="21" t="n">
        <v>3.1</v>
      </c>
      <c r="K594" s="18" t="inlineStr">
        <is>
          <t>PTP</t>
        </is>
      </c>
      <c r="L594" s="18" t="inlineStr">
        <is>
          <t>airport</t>
        </is>
      </c>
      <c r="M594" s="22" t="n">
        <v>0.618</v>
      </c>
      <c r="N594" s="22" t="n">
        <v>0</v>
      </c>
      <c r="O594" s="18" t="n"/>
      <c r="P594" s="22">
        <f>IF(O594="",(About!$B$5*M594+About!$B$6*N594)/(About!$B$5+About!$B$6),About!$B$5*M594+About!$B$6*N594+About!$B$7*O594)</f>
        <v/>
      </c>
      <c r="Q594" s="23" t="n">
        <v>16.273</v>
      </c>
      <c r="R594" s="23" t="n">
        <v>-61.5051</v>
      </c>
    </row>
    <row r="595" ht="15" customHeight="1" s="12">
      <c r="A595" s="18" t="inlineStr">
        <is>
          <t>Baie-Mahault</t>
        </is>
      </c>
      <c r="B595" s="18" t="inlineStr">
        <is>
          <t>Guadeloupe</t>
        </is>
      </c>
      <c r="C595" s="19" t="n">
        <v>375000</v>
      </c>
      <c r="D595" s="18" t="inlineStr">
        <is>
          <t>GP</t>
        </is>
      </c>
      <c r="E595" s="18" t="inlineStr">
        <is>
          <t>GP</t>
        </is>
      </c>
      <c r="F595" s="20" t="n">
        <v>30551</v>
      </c>
      <c r="G595" s="18" t="n"/>
      <c r="H595" s="18" t="inlineStr">
        <is>
          <t>PTP</t>
        </is>
      </c>
      <c r="I595" s="18" t="inlineStr">
        <is>
          <t>Maryse Condé International Airport</t>
        </is>
      </c>
      <c r="J595" s="21" t="n">
        <v>5.6</v>
      </c>
      <c r="K595" s="18" t="inlineStr">
        <is>
          <t>PTP</t>
        </is>
      </c>
      <c r="L595" s="18" t="inlineStr">
        <is>
          <t>airport</t>
        </is>
      </c>
      <c r="M595" s="22" t="n">
        <v>0.618</v>
      </c>
      <c r="N595" s="22" t="n">
        <v>0</v>
      </c>
      <c r="O595" s="18" t="n"/>
      <c r="P595" s="22">
        <f>IF(O595="",(About!$B$5*M595+About!$B$6*N595)/(About!$B$5+About!$B$6),About!$B$5*M595+About!$B$6*N595+About!$B$7*O595)</f>
        <v/>
      </c>
      <c r="Q595" s="23" t="n">
        <v>16.2674</v>
      </c>
      <c r="R595" s="23" t="n">
        <v>-61.5854</v>
      </c>
    </row>
    <row r="596" ht="15" customHeight="1" s="12">
      <c r="A596" s="18" t="inlineStr">
        <is>
          <t>Le Gosier</t>
        </is>
      </c>
      <c r="B596" s="18" t="inlineStr">
        <is>
          <t>Guadeloupe</t>
        </is>
      </c>
      <c r="C596" s="19" t="n">
        <v>375000</v>
      </c>
      <c r="D596" s="18" t="inlineStr">
        <is>
          <t>GP</t>
        </is>
      </c>
      <c r="E596" s="18" t="inlineStr">
        <is>
          <t>GP</t>
        </is>
      </c>
      <c r="F596" s="20" t="n">
        <v>28698</v>
      </c>
      <c r="G596" s="18" t="n"/>
      <c r="H596" s="18" t="inlineStr">
        <is>
          <t>PTP</t>
        </is>
      </c>
      <c r="I596" s="18" t="inlineStr">
        <is>
          <t>Maryse Condé International Airport</t>
        </is>
      </c>
      <c r="J596" s="21" t="n">
        <v>7.8</v>
      </c>
      <c r="K596" s="18" t="inlineStr">
        <is>
          <t>PTP</t>
        </is>
      </c>
      <c r="L596" s="18" t="inlineStr">
        <is>
          <t>airport</t>
        </is>
      </c>
      <c r="M596" s="22" t="n">
        <v>0.618</v>
      </c>
      <c r="N596" s="22" t="n">
        <v>0</v>
      </c>
      <c r="O596" s="18" t="n"/>
      <c r="P596" s="22">
        <f>IF(O596="",(About!$B$5*M596+About!$B$6*N596)/(About!$B$5+About!$B$6),About!$B$5*M596+About!$B$6*N596+About!$B$7*O596)</f>
        <v/>
      </c>
      <c r="Q596" s="23" t="n">
        <v>16.2062</v>
      </c>
      <c r="R596" s="23" t="n">
        <v>-61.4931</v>
      </c>
    </row>
    <row r="597" ht="15" customHeight="1" s="12">
      <c r="A597" s="18" t="inlineStr">
        <is>
          <t>Alexandria</t>
        </is>
      </c>
      <c r="B597" s="18" t="inlineStr">
        <is>
          <t>Egypt</t>
        </is>
      </c>
      <c r="C597" s="19" t="n">
        <v>108613296</v>
      </c>
      <c r="D597" s="18" t="inlineStr">
        <is>
          <t>EG</t>
        </is>
      </c>
      <c r="E597" s="18" t="inlineStr">
        <is>
          <t>06</t>
        </is>
      </c>
      <c r="F597" s="20" t="n">
        <v>3811516</v>
      </c>
      <c r="G597" s="18" t="n"/>
      <c r="H597" s="18" t="inlineStr">
        <is>
          <t>HBE</t>
        </is>
      </c>
      <c r="I597" s="18" t="inlineStr">
        <is>
          <t>Alexandria International Airport</t>
        </is>
      </c>
      <c r="J597" s="21" t="n">
        <v>36.5</v>
      </c>
      <c r="K597" s="18" t="inlineStr">
        <is>
          <t>HBE</t>
        </is>
      </c>
      <c r="L597" s="18" t="inlineStr">
        <is>
          <t>100k +  pop + airport</t>
        </is>
      </c>
      <c r="M597" s="22" t="n">
        <v>0.617</v>
      </c>
      <c r="N597" s="22" t="n">
        <v>0</v>
      </c>
      <c r="O597" s="18" t="n"/>
      <c r="P597" s="22">
        <f>IF(O597="",(About!$B$5*M597+About!$B$6*N597)/(About!$B$5+About!$B$6),About!$B$5*M597+About!$B$6*N597+About!$B$7*O597)</f>
        <v/>
      </c>
      <c r="Q597" s="23" t="n">
        <v>31.2018</v>
      </c>
      <c r="R597" s="23" t="n">
        <v>29.9158</v>
      </c>
    </row>
    <row r="598" ht="15" customHeight="1" s="12">
      <c r="A598" s="18" t="inlineStr">
        <is>
          <t>Montevideo</t>
        </is>
      </c>
      <c r="B598" s="18" t="inlineStr">
        <is>
          <t>Uruguay</t>
        </is>
      </c>
      <c r="C598" s="19" t="n">
        <v>3485931</v>
      </c>
      <c r="D598" s="18" t="inlineStr">
        <is>
          <t>UY</t>
        </is>
      </c>
      <c r="E598" s="18" t="inlineStr">
        <is>
          <t>10</t>
        </is>
      </c>
      <c r="F598" s="20" t="n">
        <v>1270737</v>
      </c>
      <c r="G598" s="18" t="inlineStr">
        <is>
          <t>Yes</t>
        </is>
      </c>
      <c r="H598" s="18" t="inlineStr">
        <is>
          <t>MVD</t>
        </is>
      </c>
      <c r="I598" s="18" t="inlineStr">
        <is>
          <t>Carrasco General Cesáreo L. Berisso International Airport</t>
        </is>
      </c>
      <c r="J598" s="21" t="n">
        <v>16.6</v>
      </c>
      <c r="K598" s="18" t="inlineStr">
        <is>
          <t>MVD</t>
        </is>
      </c>
      <c r="L598" s="18" t="inlineStr">
        <is>
          <t>100k +  pop + capital</t>
        </is>
      </c>
      <c r="M598" s="22" t="n">
        <v>0.616</v>
      </c>
      <c r="N598" s="22" t="n">
        <v>0</v>
      </c>
      <c r="O598" s="18" t="n"/>
      <c r="P598" s="22">
        <f>IF(O598="",(About!$B$5*M598+About!$B$6*N598)/(About!$B$5+About!$B$6),About!$B$5*M598+About!$B$6*N598+About!$B$7*O598)</f>
        <v/>
      </c>
      <c r="Q598" s="23" t="n">
        <v>-34.9033</v>
      </c>
      <c r="R598" s="23" t="n">
        <v>-56.1882</v>
      </c>
    </row>
    <row r="599" ht="15" customHeight="1" s="12">
      <c r="A599" s="18" t="inlineStr">
        <is>
          <t>João Pessoa</t>
        </is>
      </c>
      <c r="B599" s="18" t="inlineStr">
        <is>
          <t>Brazil</t>
        </is>
      </c>
      <c r="C599" s="19" t="n">
        <v>213421037</v>
      </c>
      <c r="D599" s="18" t="inlineStr">
        <is>
          <t>BR</t>
        </is>
      </c>
      <c r="E599" s="18" t="inlineStr">
        <is>
          <t>17</t>
        </is>
      </c>
      <c r="F599" s="20" t="n">
        <v>650883</v>
      </c>
      <c r="G599" s="18" t="n"/>
      <c r="H599" s="18" t="inlineStr">
        <is>
          <t>JPA</t>
        </is>
      </c>
      <c r="I599" s="18" t="inlineStr">
        <is>
          <t>Presidente Castro Pinto International Airport</t>
        </is>
      </c>
      <c r="J599" s="21" t="n">
        <v>10.4</v>
      </c>
      <c r="K599" s="18" t="inlineStr">
        <is>
          <t>JPA</t>
        </is>
      </c>
      <c r="L599" s="18" t="inlineStr">
        <is>
          <t>100k +  pop + airport</t>
        </is>
      </c>
      <c r="M599" s="22" t="n">
        <v>0.615</v>
      </c>
      <c r="N599" s="22" t="n">
        <v>0</v>
      </c>
      <c r="O599" s="18" t="n"/>
      <c r="P599" s="22">
        <f>IF(O599="",(About!$B$5*M599+About!$B$6*N599)/(About!$B$5+About!$B$6),About!$B$5*M599+About!$B$6*N599+About!$B$7*O599)</f>
        <v/>
      </c>
      <c r="Q599" s="23" t="n">
        <v>-7.115</v>
      </c>
      <c r="R599" s="23" t="n">
        <v>-34.8631</v>
      </c>
    </row>
    <row r="600" ht="15" customHeight="1" s="12">
      <c r="A600" s="18" t="inlineStr">
        <is>
          <t>Tirana</t>
        </is>
      </c>
      <c r="B600" s="18" t="inlineStr">
        <is>
          <t>Albania</t>
        </is>
      </c>
      <c r="C600" s="19" t="n">
        <v>2363314</v>
      </c>
      <c r="D600" s="18" t="inlineStr">
        <is>
          <t>AL</t>
        </is>
      </c>
      <c r="E600" s="18" t="inlineStr">
        <is>
          <t>50</t>
        </is>
      </c>
      <c r="F600" s="20" t="n">
        <v>374801</v>
      </c>
      <c r="G600" s="18" t="inlineStr">
        <is>
          <t>Yes</t>
        </is>
      </c>
      <c r="H600" s="18" t="inlineStr">
        <is>
          <t>TIA</t>
        </is>
      </c>
      <c r="I600" s="18" t="inlineStr">
        <is>
          <t>Tirana International Airport Mother Teresa</t>
        </is>
      </c>
      <c r="J600" s="21" t="n">
        <v>12.7</v>
      </c>
      <c r="K600" s="18" t="inlineStr">
        <is>
          <t>TIA</t>
        </is>
      </c>
      <c r="L600" s="18" t="inlineStr">
        <is>
          <t>100k +  pop + capital</t>
        </is>
      </c>
      <c r="M600" s="22" t="n">
        <v>0.616</v>
      </c>
      <c r="N600" s="22" t="n">
        <v>0</v>
      </c>
      <c r="O600" s="18" t="n"/>
      <c r="P600" s="22">
        <f>IF(O600="",(About!$B$5*M600+About!$B$6*N600)/(About!$B$5+About!$B$6),About!$B$5*M600+About!$B$6*N600+About!$B$7*O600)</f>
        <v/>
      </c>
      <c r="Q600" s="23" t="n">
        <v>41.3275</v>
      </c>
      <c r="R600" s="23" t="n">
        <v>19.8189</v>
      </c>
    </row>
    <row r="601" ht="15" customHeight="1" s="12">
      <c r="A601" s="18" t="inlineStr">
        <is>
          <t>Durrës</t>
        </is>
      </c>
      <c r="B601" s="18" t="inlineStr">
        <is>
          <t>Albania</t>
        </is>
      </c>
      <c r="C601" s="19" t="n">
        <v>2363314</v>
      </c>
      <c r="D601" s="18" t="inlineStr">
        <is>
          <t>AL</t>
        </is>
      </c>
      <c r="E601" s="18" t="inlineStr">
        <is>
          <t>42</t>
        </is>
      </c>
      <c r="F601" s="20" t="n">
        <v>122034</v>
      </c>
      <c r="G601" s="18" t="n"/>
      <c r="H601" s="18" t="inlineStr">
        <is>
          <t>TIA</t>
        </is>
      </c>
      <c r="I601" s="18" t="inlineStr">
        <is>
          <t>Tirana International Airport Mother Teresa</t>
        </is>
      </c>
      <c r="J601" s="21" t="n">
        <v>24.4</v>
      </c>
      <c r="K601" s="18" t="inlineStr">
        <is>
          <t>TIA</t>
        </is>
      </c>
      <c r="L601" s="18" t="inlineStr">
        <is>
          <t>100k +  pop</t>
        </is>
      </c>
      <c r="M601" s="22" t="n">
        <v>0.616</v>
      </c>
      <c r="N601" s="22" t="n">
        <v>0</v>
      </c>
      <c r="O601" s="18" t="n"/>
      <c r="P601" s="22">
        <f>IF(O601="",(About!$B$5*M601+About!$B$6*N601)/(About!$B$5+About!$B$6),About!$B$5*M601+About!$B$6*N601+About!$B$7*O601)</f>
        <v/>
      </c>
      <c r="Q601" s="23" t="n">
        <v>41.3235</v>
      </c>
      <c r="R601" s="23" t="n">
        <v>19.4547</v>
      </c>
    </row>
    <row r="602" ht="15" customHeight="1" s="12">
      <c r="A602" s="18" t="inlineStr">
        <is>
          <t>Barros Blancos</t>
        </is>
      </c>
      <c r="B602" s="18" t="inlineStr">
        <is>
          <t>Uruguay</t>
        </is>
      </c>
      <c r="C602" s="19" t="n">
        <v>3485931</v>
      </c>
      <c r="D602" s="18" t="inlineStr">
        <is>
          <t>UY</t>
        </is>
      </c>
      <c r="E602" s="18" t="inlineStr">
        <is>
          <t>02</t>
        </is>
      </c>
      <c r="F602" s="20" t="n">
        <v>31650</v>
      </c>
      <c r="G602" s="18" t="n"/>
      <c r="H602" s="18" t="inlineStr">
        <is>
          <t>MVD</t>
        </is>
      </c>
      <c r="I602" s="18" t="inlineStr">
        <is>
          <t>Carrasco General Cesáreo L. Berisso International Airport</t>
        </is>
      </c>
      <c r="J602" s="21" t="n">
        <v>9.5</v>
      </c>
      <c r="K602" s="18" t="inlineStr">
        <is>
          <t>MVD</t>
        </is>
      </c>
      <c r="L602" s="18" t="inlineStr">
        <is>
          <t>airport</t>
        </is>
      </c>
      <c r="M602" s="22" t="n">
        <v>0.616</v>
      </c>
      <c r="N602" s="22" t="n">
        <v>0</v>
      </c>
      <c r="O602" s="18" t="n"/>
      <c r="P602" s="22">
        <f>IF(O602="",(About!$B$5*M602+About!$B$6*N602)/(About!$B$5+About!$B$6),About!$B$5*M602+About!$B$6*N602+About!$B$7*O602)</f>
        <v/>
      </c>
      <c r="Q602" s="23" t="n">
        <v>-34.7524</v>
      </c>
      <c r="R602" s="23" t="n">
        <v>-56.0026</v>
      </c>
    </row>
    <row r="603" ht="15" customHeight="1" s="12">
      <c r="A603" s="18" t="inlineStr">
        <is>
          <t>Yaoundé</t>
        </is>
      </c>
      <c r="B603" s="18" t="inlineStr">
        <is>
          <t>Cameroon</t>
        </is>
      </c>
      <c r="C603" s="19" t="n">
        <v>29442327</v>
      </c>
      <c r="D603" s="18" t="inlineStr">
        <is>
          <t>CM</t>
        </is>
      </c>
      <c r="E603" s="18" t="inlineStr">
        <is>
          <t>11</t>
        </is>
      </c>
      <c r="F603" s="20" t="n">
        <v>1299369</v>
      </c>
      <c r="G603" s="18" t="inlineStr">
        <is>
          <t>Yes</t>
        </is>
      </c>
      <c r="H603" s="18" t="inlineStr">
        <is>
          <t>NSI</t>
        </is>
      </c>
      <c r="I603" s="18" t="inlineStr">
        <is>
          <t>Yaoundé Nsimalen International Airport</t>
        </is>
      </c>
      <c r="J603" s="21" t="n">
        <v>16.5</v>
      </c>
      <c r="K603" s="18" t="inlineStr">
        <is>
          <t>NSI</t>
        </is>
      </c>
      <c r="L603" s="18" t="inlineStr">
        <is>
          <t>100k +  pop + capital + airport</t>
        </is>
      </c>
      <c r="M603" s="22" t="n">
        <v>0.614</v>
      </c>
      <c r="N603" s="22" t="n">
        <v>0</v>
      </c>
      <c r="O603" s="18" t="n"/>
      <c r="P603" s="22">
        <f>IF(O603="",(About!$B$5*M603+About!$B$6*N603)/(About!$B$5+About!$B$6),About!$B$5*M603+About!$B$6*N603+About!$B$7*O603)</f>
        <v/>
      </c>
      <c r="Q603" s="23" t="n">
        <v>3.8667</v>
      </c>
      <c r="R603" s="23" t="n">
        <v>11.5167</v>
      </c>
    </row>
    <row r="604" ht="15" customHeight="1" s="12">
      <c r="A604" s="18" t="inlineStr">
        <is>
          <t>Oran</t>
        </is>
      </c>
      <c r="B604" s="18" t="inlineStr">
        <is>
          <t>Algeria</t>
        </is>
      </c>
      <c r="C604" s="19" t="n">
        <v>47400000</v>
      </c>
      <c r="D604" s="18" t="inlineStr">
        <is>
          <t>DZ</t>
        </is>
      </c>
      <c r="E604" s="18" t="inlineStr">
        <is>
          <t>09</t>
        </is>
      </c>
      <c r="F604" s="20" t="n">
        <v>645984</v>
      </c>
      <c r="G604" s="18" t="n"/>
      <c r="H604" s="18" t="inlineStr">
        <is>
          <t>ORN</t>
        </is>
      </c>
      <c r="I604" s="18" t="inlineStr">
        <is>
          <t>Oran Es-Sénia (Ahmed Ben Bella) International Airport</t>
        </is>
      </c>
      <c r="J604" s="21" t="n">
        <v>8.800000000000001</v>
      </c>
      <c r="K604" s="18" t="inlineStr">
        <is>
          <t>ORN</t>
        </is>
      </c>
      <c r="L604" s="18" t="inlineStr">
        <is>
          <t>100k +  pop + airport</t>
        </is>
      </c>
      <c r="M604" s="22" t="n">
        <v>0.614</v>
      </c>
      <c r="N604" s="22" t="n">
        <v>0</v>
      </c>
      <c r="O604" s="18" t="n"/>
      <c r="P604" s="22">
        <f>IF(O604="",(About!$B$5*M604+About!$B$6*N604)/(About!$B$5+About!$B$6),About!$B$5*M604+About!$B$6*N604+About!$B$7*O604)</f>
        <v/>
      </c>
      <c r="Q604" s="23" t="n">
        <v>35.6991</v>
      </c>
      <c r="R604" s="23" t="n">
        <v>-0.6359</v>
      </c>
    </row>
    <row r="605" ht="15" customHeight="1" s="12">
      <c r="A605" s="18" t="inlineStr">
        <is>
          <t>Poznań</t>
        </is>
      </c>
      <c r="B605" s="18" t="inlineStr">
        <is>
          <t>Poland</t>
        </is>
      </c>
      <c r="C605" s="19" t="n">
        <v>37281000</v>
      </c>
      <c r="D605" s="18" t="inlineStr">
        <is>
          <t>PL</t>
        </is>
      </c>
      <c r="E605" s="18" t="inlineStr">
        <is>
          <t>86</t>
        </is>
      </c>
      <c r="F605" s="20" t="n">
        <v>570352</v>
      </c>
      <c r="G605" s="18" t="n"/>
      <c r="H605" s="18" t="inlineStr">
        <is>
          <t>POZ</t>
        </is>
      </c>
      <c r="I605" s="18" t="inlineStr">
        <is>
          <t>Poznań-Ławica Airport</t>
        </is>
      </c>
      <c r="J605" s="21" t="n">
        <v>7.4</v>
      </c>
      <c r="K605" s="18" t="inlineStr">
        <is>
          <t>POZ</t>
        </is>
      </c>
      <c r="L605" s="18" t="inlineStr">
        <is>
          <t>100k +  pop + airport</t>
        </is>
      </c>
      <c r="M605" s="22" t="n">
        <v>0.615</v>
      </c>
      <c r="N605" s="22" t="n">
        <v>0</v>
      </c>
      <c r="O605" s="18" t="n"/>
      <c r="P605" s="22">
        <f>IF(O605="",(About!$B$5*M605+About!$B$6*N605)/(About!$B$5+About!$B$6),About!$B$5*M605+About!$B$6*N605+About!$B$7*O605)</f>
        <v/>
      </c>
      <c r="Q605" s="23" t="n">
        <v>52.4069</v>
      </c>
      <c r="R605" s="23" t="n">
        <v>16.9299</v>
      </c>
    </row>
    <row r="606" ht="15" customHeight="1" s="12">
      <c r="A606" s="18" t="inlineStr">
        <is>
          <t>Münster</t>
        </is>
      </c>
      <c r="B606" s="18" t="inlineStr">
        <is>
          <t>Germany</t>
        </is>
      </c>
      <c r="C606" s="19" t="n">
        <v>83497147</v>
      </c>
      <c r="D606" s="18" t="inlineStr">
        <is>
          <t>DE</t>
        </is>
      </c>
      <c r="E606" s="18" t="inlineStr">
        <is>
          <t>07</t>
        </is>
      </c>
      <c r="F606" s="20" t="n">
        <v>270184</v>
      </c>
      <c r="G606" s="18" t="n"/>
      <c r="H606" s="18" t="inlineStr">
        <is>
          <t>FMO</t>
        </is>
      </c>
      <c r="I606" s="18" t="inlineStr">
        <is>
          <t>Münster Osnabrück Airport</t>
        </is>
      </c>
      <c r="J606" s="21" t="n">
        <v>19.5</v>
      </c>
      <c r="K606" s="18" t="inlineStr">
        <is>
          <t>FMO</t>
        </is>
      </c>
      <c r="L606" s="18" t="inlineStr">
        <is>
          <t>100k +  pop</t>
        </is>
      </c>
      <c r="M606" s="22" t="n">
        <v>0.614</v>
      </c>
      <c r="N606" s="22" t="n">
        <v>0</v>
      </c>
      <c r="O606" s="18" t="n"/>
      <c r="P606" s="22">
        <f>IF(O606="",(About!$B$5*M606+About!$B$6*N606)/(About!$B$5+About!$B$6),About!$B$5*M606+About!$B$6*N606+About!$B$7*O606)</f>
        <v/>
      </c>
      <c r="Q606" s="23" t="n">
        <v>51.9624</v>
      </c>
      <c r="R606" s="23" t="n">
        <v>7.6257</v>
      </c>
    </row>
    <row r="607" ht="15" customHeight="1" s="12">
      <c r="A607" s="18" t="inlineStr">
        <is>
          <t>Birkirkara</t>
        </is>
      </c>
      <c r="B607" s="18" t="inlineStr">
        <is>
          <t>Malta</t>
        </is>
      </c>
      <c r="C607" s="19" t="n">
        <v>574250</v>
      </c>
      <c r="D607" s="18" t="inlineStr">
        <is>
          <t>MT</t>
        </is>
      </c>
      <c r="E607" s="18" t="inlineStr">
        <is>
          <t>04</t>
        </is>
      </c>
      <c r="F607" s="20" t="n">
        <v>21676</v>
      </c>
      <c r="G607" s="18" t="n"/>
      <c r="H607" s="18" t="inlineStr">
        <is>
          <t>MLA</t>
        </is>
      </c>
      <c r="I607" s="18" t="inlineStr">
        <is>
          <t>Malta International Airport</t>
        </is>
      </c>
      <c r="J607" s="21" t="n">
        <v>6.3</v>
      </c>
      <c r="K607" s="18" t="inlineStr">
        <is>
          <t>GZM+MLA</t>
        </is>
      </c>
      <c r="L607" s="18" t="inlineStr">
        <is>
          <t>airport</t>
        </is>
      </c>
      <c r="M607" s="22" t="n">
        <v>0.614</v>
      </c>
      <c r="N607" s="22" t="n">
        <v>0</v>
      </c>
      <c r="O607" s="18" t="n"/>
      <c r="P607" s="22">
        <f>IF(O607="",(About!$B$5*M607+About!$B$6*N607)/(About!$B$5+About!$B$6),About!$B$5*M607+About!$B$6*N607+About!$B$7*O607)</f>
        <v/>
      </c>
      <c r="Q607" s="23" t="n">
        <v>35.8972</v>
      </c>
      <c r="R607" s="23" t="n">
        <v>14.4611</v>
      </c>
    </row>
    <row r="608" ht="15" customHeight="1" s="12">
      <c r="A608" s="18" t="inlineStr">
        <is>
          <t>Valletta</t>
        </is>
      </c>
      <c r="B608" s="18" t="inlineStr">
        <is>
          <t>Malta</t>
        </is>
      </c>
      <c r="C608" s="19" t="n">
        <v>574250</v>
      </c>
      <c r="D608" s="18" t="inlineStr">
        <is>
          <t>MT</t>
        </is>
      </c>
      <c r="E608" s="18" t="inlineStr">
        <is>
          <t>60</t>
        </is>
      </c>
      <c r="F608" s="20" t="n">
        <v>6794</v>
      </c>
      <c r="G608" s="18" t="inlineStr">
        <is>
          <t>Yes</t>
        </is>
      </c>
      <c r="H608" s="18" t="inlineStr">
        <is>
          <t>MLA</t>
        </is>
      </c>
      <c r="I608" s="18" t="inlineStr">
        <is>
          <t>Malta International Airport</t>
        </is>
      </c>
      <c r="J608" s="21" t="n">
        <v>6.3</v>
      </c>
      <c r="K608" s="18" t="inlineStr">
        <is>
          <t>MLA</t>
        </is>
      </c>
      <c r="L608" s="18" t="inlineStr">
        <is>
          <t>capital</t>
        </is>
      </c>
      <c r="M608" s="22" t="n">
        <v>0.614</v>
      </c>
      <c r="N608" s="22" t="n">
        <v>0</v>
      </c>
      <c r="O608" s="18" t="n"/>
      <c r="P608" s="22">
        <f>IF(O608="",(About!$B$5*M608+About!$B$6*N608)/(About!$B$5+About!$B$6),About!$B$5*M608+About!$B$6*N608+About!$B$7*O608)</f>
        <v/>
      </c>
      <c r="Q608" s="23" t="n">
        <v>35.8997</v>
      </c>
      <c r="R608" s="23" t="n">
        <v>14.5148</v>
      </c>
    </row>
    <row r="609" ht="15" customHeight="1" s="12">
      <c r="A609" s="18" t="inlineStr">
        <is>
          <t>Tabriz</t>
        </is>
      </c>
      <c r="B609" s="18" t="inlineStr">
        <is>
          <t>Iran</t>
        </is>
      </c>
      <c r="C609" s="19" t="n">
        <v>87134000</v>
      </c>
      <c r="D609" s="18" t="inlineStr">
        <is>
          <t>IR</t>
        </is>
      </c>
      <c r="E609" s="18" t="inlineStr">
        <is>
          <t>33</t>
        </is>
      </c>
      <c r="F609" s="20" t="n">
        <v>1424641</v>
      </c>
      <c r="G609" s="18" t="n"/>
      <c r="H609" s="18" t="inlineStr">
        <is>
          <t>TBZ</t>
        </is>
      </c>
      <c r="I609" s="18" t="inlineStr">
        <is>
          <t>Tabriz International Airport</t>
        </is>
      </c>
      <c r="J609" s="21" t="n">
        <v>7.8</v>
      </c>
      <c r="K609" s="18" t="inlineStr">
        <is>
          <t>TBZ</t>
        </is>
      </c>
      <c r="L609" s="18" t="inlineStr">
        <is>
          <t>100k +  pop + airport</t>
        </is>
      </c>
      <c r="M609" s="22" t="n">
        <v>0.612</v>
      </c>
      <c r="N609" s="22" t="n">
        <v>0</v>
      </c>
      <c r="O609" s="18" t="n"/>
      <c r="P609" s="22">
        <f>IF(O609="",(About!$B$5*M609+About!$B$6*N609)/(About!$B$5+About!$B$6),About!$B$5*M609+About!$B$6*N609+About!$B$7*O609)</f>
        <v/>
      </c>
      <c r="Q609" s="23" t="n">
        <v>38.08</v>
      </c>
      <c r="R609" s="23" t="n">
        <v>46.2919</v>
      </c>
    </row>
    <row r="610" ht="15" customHeight="1" s="12">
      <c r="A610" s="18" t="inlineStr">
        <is>
          <t>Adana</t>
        </is>
      </c>
      <c r="B610" s="18" t="inlineStr">
        <is>
          <t>Türkiye</t>
        </is>
      </c>
      <c r="C610" s="19" t="n">
        <v>86092168</v>
      </c>
      <c r="D610" s="18" t="inlineStr">
        <is>
          <t>TR</t>
        </is>
      </c>
      <c r="E610" s="18" t="inlineStr">
        <is>
          <t>81</t>
        </is>
      </c>
      <c r="F610" s="20" t="n">
        <v>1248988</v>
      </c>
      <c r="G610" s="18" t="n"/>
      <c r="H610" s="18" t="inlineStr">
        <is>
          <t>ADA</t>
        </is>
      </c>
      <c r="I610" s="18" t="inlineStr">
        <is>
          <t>Adana Şakirpaşa Airport</t>
        </is>
      </c>
      <c r="J610" s="21" t="n">
        <v>4</v>
      </c>
      <c r="K610" s="18" t="inlineStr">
        <is>
          <t>ADA+COV</t>
        </is>
      </c>
      <c r="L610" s="18" t="inlineStr">
        <is>
          <t>100k +  pop + airport</t>
        </is>
      </c>
      <c r="M610" s="22" t="n">
        <v>0.613</v>
      </c>
      <c r="N610" s="22" t="n">
        <v>0</v>
      </c>
      <c r="O610" s="18" t="n"/>
      <c r="P610" s="22">
        <f>IF(O610="",(About!$B$5*M610+About!$B$6*N610)/(About!$B$5+About!$B$6),About!$B$5*M610+About!$B$6*N610+About!$B$7*O610)</f>
        <v/>
      </c>
      <c r="Q610" s="23" t="n">
        <v>36.9862</v>
      </c>
      <c r="R610" s="23" t="n">
        <v>35.3253</v>
      </c>
    </row>
    <row r="611" ht="15" customHeight="1" s="12">
      <c r="A611" s="18" t="inlineStr">
        <is>
          <t>Baku</t>
        </is>
      </c>
      <c r="B611" s="18" t="inlineStr">
        <is>
          <t>Azerbaijan</t>
        </is>
      </c>
      <c r="C611" s="19" t="n">
        <v>10259701</v>
      </c>
      <c r="D611" s="18" t="inlineStr">
        <is>
          <t>AZ</t>
        </is>
      </c>
      <c r="E611" s="18" t="inlineStr">
        <is>
          <t>09</t>
        </is>
      </c>
      <c r="F611" s="20" t="n">
        <v>1116513</v>
      </c>
      <c r="G611" s="18" t="inlineStr">
        <is>
          <t>Yes</t>
        </is>
      </c>
      <c r="H611" s="18" t="inlineStr">
        <is>
          <t>GYD</t>
        </is>
      </c>
      <c r="I611" s="18" t="inlineStr">
        <is>
          <t>Heydar Aliyev International Airport</t>
        </is>
      </c>
      <c r="J611" s="21" t="n">
        <v>17.1</v>
      </c>
      <c r="K611" s="18" t="inlineStr">
        <is>
          <t>GYD</t>
        </is>
      </c>
      <c r="L611" s="18" t="inlineStr">
        <is>
          <t>100k +  pop + capital + airport</t>
        </is>
      </c>
      <c r="M611" s="22" t="n">
        <v>0.612</v>
      </c>
      <c r="N611" s="22" t="n">
        <v>0</v>
      </c>
      <c r="O611" s="18" t="n"/>
      <c r="P611" s="22">
        <f>IF(O611="",(About!$B$5*M611+About!$B$6*N611)/(About!$B$5+About!$B$6),About!$B$5*M611+About!$B$6*N611+About!$B$7*O611)</f>
        <v/>
      </c>
      <c r="Q611" s="23" t="n">
        <v>40.3777</v>
      </c>
      <c r="R611" s="23" t="n">
        <v>49.892</v>
      </c>
    </row>
    <row r="612" ht="15" customHeight="1" s="12">
      <c r="A612" s="18" t="inlineStr">
        <is>
          <t>Yerevan</t>
        </is>
      </c>
      <c r="B612" s="18" t="inlineStr">
        <is>
          <t>Armenia</t>
        </is>
      </c>
      <c r="C612" s="19" t="n">
        <v>3096900</v>
      </c>
      <c r="D612" s="18" t="inlineStr">
        <is>
          <t>AM</t>
        </is>
      </c>
      <c r="E612" s="18" t="inlineStr">
        <is>
          <t>11</t>
        </is>
      </c>
      <c r="F612" s="20" t="n">
        <v>1093485</v>
      </c>
      <c r="G612" s="18" t="inlineStr">
        <is>
          <t>Yes</t>
        </is>
      </c>
      <c r="H612" s="18" t="inlineStr">
        <is>
          <t>EVN</t>
        </is>
      </c>
      <c r="I612" s="18" t="inlineStr">
        <is>
          <t>Zvartnots International Airport</t>
        </is>
      </c>
      <c r="J612" s="21" t="n">
        <v>10.5</v>
      </c>
      <c r="K612" s="18" t="inlineStr">
        <is>
          <t>EVN</t>
        </is>
      </c>
      <c r="L612" s="18" t="inlineStr">
        <is>
          <t>100k +  pop + capital + airport</t>
        </is>
      </c>
      <c r="M612" s="22" t="n">
        <v>0.613</v>
      </c>
      <c r="N612" s="22" t="n">
        <v>0</v>
      </c>
      <c r="O612" s="18" t="n"/>
      <c r="P612" s="22">
        <f>IF(O612="",(About!$B$5*M612+About!$B$6*N612)/(About!$B$5+About!$B$6),About!$B$5*M612+About!$B$6*N612+About!$B$7*O612)</f>
        <v/>
      </c>
      <c r="Q612" s="23" t="n">
        <v>40.1811</v>
      </c>
      <c r="R612" s="23" t="n">
        <v>44.5136</v>
      </c>
    </row>
    <row r="613" ht="15" customHeight="1" s="12">
      <c r="A613" s="18" t="inlineStr">
        <is>
          <t>Amritsar</t>
        </is>
      </c>
      <c r="B613" s="18" t="inlineStr">
        <is>
          <t>India</t>
        </is>
      </c>
      <c r="C613" s="19" t="n">
        <v>1417492000</v>
      </c>
      <c r="D613" s="18" t="inlineStr">
        <is>
          <t>IN</t>
        </is>
      </c>
      <c r="E613" s="18" t="inlineStr">
        <is>
          <t>23</t>
        </is>
      </c>
      <c r="F613" s="20" t="n">
        <v>1092450</v>
      </c>
      <c r="G613" s="18" t="n"/>
      <c r="H613" s="18" t="inlineStr">
        <is>
          <t>ATQ</t>
        </is>
      </c>
      <c r="I613" s="18" t="inlineStr">
        <is>
          <t>Sri Guru Ram Das Ji International Airport</t>
        </is>
      </c>
      <c r="J613" s="21" t="n">
        <v>12.2</v>
      </c>
      <c r="K613" s="18" t="inlineStr">
        <is>
          <t>ATQ</t>
        </is>
      </c>
      <c r="L613" s="18" t="inlineStr">
        <is>
          <t>100k +  pop + airport</t>
        </is>
      </c>
      <c r="M613" s="22" t="n">
        <v>0.612</v>
      </c>
      <c r="N613" s="22" t="n">
        <v>0</v>
      </c>
      <c r="O613" s="18" t="n"/>
      <c r="P613" s="22">
        <f>IF(O613="",(About!$B$5*M613+About!$B$6*N613)/(About!$B$5+About!$B$6),About!$B$5*M613+About!$B$6*N613+About!$B$7*O613)</f>
        <v/>
      </c>
      <c r="Q613" s="23" t="n">
        <v>31.6223</v>
      </c>
      <c r="R613" s="23" t="n">
        <v>74.8753</v>
      </c>
    </row>
    <row r="614" ht="15" customHeight="1" s="12">
      <c r="A614" s="18" t="inlineStr">
        <is>
          <t>Erbil</t>
        </is>
      </c>
      <c r="B614" s="18" t="inlineStr">
        <is>
          <t>Iraq</t>
        </is>
      </c>
      <c r="C614" s="19" t="n">
        <v>46118793</v>
      </c>
      <c r="D614" s="18" t="inlineStr">
        <is>
          <t>IQ</t>
        </is>
      </c>
      <c r="E614" s="18" t="inlineStr">
        <is>
          <t>11</t>
        </is>
      </c>
      <c r="F614" s="20" t="n">
        <v>932800</v>
      </c>
      <c r="G614" s="18" t="n"/>
      <c r="H614" s="18" t="inlineStr">
        <is>
          <t>EBL</t>
        </is>
      </c>
      <c r="I614" s="18" t="inlineStr">
        <is>
          <t>Erbil International Airport</t>
        </is>
      </c>
      <c r="J614" s="21" t="n">
        <v>8.300000000000001</v>
      </c>
      <c r="K614" s="18" t="inlineStr">
        <is>
          <t>EBL</t>
        </is>
      </c>
      <c r="L614" s="18" t="inlineStr">
        <is>
          <t>100k +  pop + airport</t>
        </is>
      </c>
      <c r="M614" s="22" t="n">
        <v>0.612</v>
      </c>
      <c r="N614" s="22" t="n">
        <v>0</v>
      </c>
      <c r="O614" s="18" t="n"/>
      <c r="P614" s="22">
        <f>IF(O614="",(About!$B$5*M614+About!$B$6*N614)/(About!$B$5+About!$B$6),About!$B$5*M614+About!$B$6*N614+About!$B$7*O614)</f>
        <v/>
      </c>
      <c r="Q614" s="23" t="n">
        <v>36.1833</v>
      </c>
      <c r="R614" s="23" t="n">
        <v>44.0119</v>
      </c>
    </row>
    <row r="615" ht="15" customHeight="1" s="12">
      <c r="A615" s="18" t="inlineStr">
        <is>
          <t>Thiruvananthapuram</t>
        </is>
      </c>
      <c r="B615" s="18" t="inlineStr">
        <is>
          <t>India</t>
        </is>
      </c>
      <c r="C615" s="19" t="n">
        <v>1417492000</v>
      </c>
      <c r="D615" s="18" t="inlineStr">
        <is>
          <t>IN</t>
        </is>
      </c>
      <c r="E615" s="18" t="inlineStr">
        <is>
          <t>13</t>
        </is>
      </c>
      <c r="F615" s="20" t="n">
        <v>784153</v>
      </c>
      <c r="G615" s="18" t="n"/>
      <c r="H615" s="18" t="inlineStr">
        <is>
          <t>TRV</t>
        </is>
      </c>
      <c r="I615" s="18" t="inlineStr">
        <is>
          <t>Thiruvananthapuram International Airport</t>
        </is>
      </c>
      <c r="J615" s="21" t="n">
        <v>3.2</v>
      </c>
      <c r="K615" s="18" t="inlineStr">
        <is>
          <t>TRV</t>
        </is>
      </c>
      <c r="L615" s="18" t="inlineStr">
        <is>
          <t>100k +  pop + airport</t>
        </is>
      </c>
      <c r="M615" s="22" t="n">
        <v>0.613</v>
      </c>
      <c r="N615" s="22" t="n">
        <v>0</v>
      </c>
      <c r="O615" s="18" t="n"/>
      <c r="P615" s="22">
        <f>IF(O615="",(About!$B$5*M615+About!$B$6*N615)/(About!$B$5+About!$B$6),About!$B$5*M615+About!$B$6*N615+About!$B$7*O615)</f>
        <v/>
      </c>
      <c r="Q615" s="23" t="n">
        <v>8.4855</v>
      </c>
      <c r="R615" s="23" t="n">
        <v>76.9492</v>
      </c>
    </row>
    <row r="616" ht="15" customHeight="1" s="12">
      <c r="A616" s="18" t="inlineStr">
        <is>
          <t>Ashgabat</t>
        </is>
      </c>
      <c r="B616" s="18" t="inlineStr">
        <is>
          <t>Turkmenistan</t>
        </is>
      </c>
      <c r="C616" s="19" t="n">
        <v>7057841</v>
      </c>
      <c r="D616" s="18" t="inlineStr">
        <is>
          <t>TM</t>
        </is>
      </c>
      <c r="E616" s="18" t="inlineStr">
        <is>
          <t>S</t>
        </is>
      </c>
      <c r="F616" s="20" t="n">
        <v>727700</v>
      </c>
      <c r="G616" s="18" t="inlineStr">
        <is>
          <t>Yes</t>
        </is>
      </c>
      <c r="H616" s="18" t="inlineStr">
        <is>
          <t>ASB</t>
        </is>
      </c>
      <c r="I616" s="18" t="inlineStr">
        <is>
          <t>Ashgabat International Airport</t>
        </is>
      </c>
      <c r="J616" s="21" t="n">
        <v>4.5</v>
      </c>
      <c r="K616" s="18" t="inlineStr">
        <is>
          <t>ASB</t>
        </is>
      </c>
      <c r="L616" s="18" t="inlineStr">
        <is>
          <t>100k +  pop + capital + airport</t>
        </is>
      </c>
      <c r="M616" s="22" t="n">
        <v>0.612</v>
      </c>
      <c r="N616" s="22" t="n">
        <v>0</v>
      </c>
      <c r="O616" s="18" t="n"/>
      <c r="P616" s="22">
        <f>IF(O616="",(About!$B$5*M616+About!$B$6*N616)/(About!$B$5+About!$B$6),About!$B$5*M616+About!$B$6*N616+About!$B$7*O616)</f>
        <v/>
      </c>
      <c r="Q616" s="23" t="n">
        <v>37.95</v>
      </c>
      <c r="R616" s="23" t="n">
        <v>58.3833</v>
      </c>
    </row>
    <row r="617" ht="15" customHeight="1" s="12">
      <c r="A617" s="18" t="inlineStr">
        <is>
          <t>Matsuyama</t>
        </is>
      </c>
      <c r="B617" s="18" t="inlineStr">
        <is>
          <t>Japan</t>
        </is>
      </c>
      <c r="C617" s="19" t="n">
        <v>122810000</v>
      </c>
      <c r="D617" s="18" t="inlineStr">
        <is>
          <t>JP</t>
        </is>
      </c>
      <c r="E617" s="18" t="inlineStr">
        <is>
          <t>05</t>
        </is>
      </c>
      <c r="F617" s="20" t="n">
        <v>443322</v>
      </c>
      <c r="G617" s="18" t="n"/>
      <c r="H617" s="18" t="inlineStr">
        <is>
          <t>MYJ</t>
        </is>
      </c>
      <c r="I617" s="18" t="inlineStr">
        <is>
          <t>Matsuyama Airport</t>
        </is>
      </c>
      <c r="J617" s="21" t="n">
        <v>6.2</v>
      </c>
      <c r="K617" s="18" t="inlineStr">
        <is>
          <t>MYJ</t>
        </is>
      </c>
      <c r="L617" s="18" t="inlineStr">
        <is>
          <t>100k +  pop + airport</t>
        </is>
      </c>
      <c r="M617" s="22" t="n">
        <v>0.612</v>
      </c>
      <c r="N617" s="22" t="n">
        <v>0</v>
      </c>
      <c r="O617" s="18" t="n"/>
      <c r="P617" s="22">
        <f>IF(O617="",(About!$B$5*M617+About!$B$6*N617)/(About!$B$5+About!$B$6),About!$B$5*M617+About!$B$6*N617+About!$B$7*O617)</f>
        <v/>
      </c>
      <c r="Q617" s="23" t="n">
        <v>33.8392</v>
      </c>
      <c r="R617" s="23" t="n">
        <v>132.7657</v>
      </c>
    </row>
    <row r="618" ht="15" customHeight="1" s="12">
      <c r="A618" s="18" t="inlineStr">
        <is>
          <t>Durban</t>
        </is>
      </c>
      <c r="B618" s="18" t="inlineStr">
        <is>
          <t>South Africa</t>
        </is>
      </c>
      <c r="C618" s="19" t="n">
        <v>63100945</v>
      </c>
      <c r="D618" s="18" t="inlineStr">
        <is>
          <t>ZA</t>
        </is>
      </c>
      <c r="E618" s="18" t="inlineStr">
        <is>
          <t>02</t>
        </is>
      </c>
      <c r="F618" s="20" t="n">
        <v>3120282</v>
      </c>
      <c r="G618" s="18" t="n"/>
      <c r="H618" s="18" t="inlineStr">
        <is>
          <t>DUR</t>
        </is>
      </c>
      <c r="I618" s="18" t="inlineStr">
        <is>
          <t>King Shaka International Airport</t>
        </is>
      </c>
      <c r="J618" s="21" t="n">
        <v>28.4</v>
      </c>
      <c r="K618" s="18" t="inlineStr">
        <is>
          <t>DUR</t>
        </is>
      </c>
      <c r="L618" s="18" t="inlineStr">
        <is>
          <t>100k +  pop + airport</t>
        </is>
      </c>
      <c r="M618" s="22" t="n">
        <v>0.609</v>
      </c>
      <c r="N618" s="22" t="n">
        <v>0</v>
      </c>
      <c r="O618" s="18" t="n"/>
      <c r="P618" s="22">
        <f>IF(O618="",(About!$B$5*M618+About!$B$6*N618)/(About!$B$5+About!$B$6),About!$B$5*M618+About!$B$6*N618+About!$B$7*O618)</f>
        <v/>
      </c>
      <c r="Q618" s="23" t="n">
        <v>-29.8579</v>
      </c>
      <c r="R618" s="23" t="n">
        <v>31.0292</v>
      </c>
    </row>
    <row r="619" ht="15" customHeight="1" s="12">
      <c r="A619" s="18" t="inlineStr">
        <is>
          <t>Port-au-Prince</t>
        </is>
      </c>
      <c r="B619" s="18" t="inlineStr">
        <is>
          <t>Haiti</t>
        </is>
      </c>
      <c r="C619" s="19" t="n">
        <v>11867032</v>
      </c>
      <c r="D619" s="18" t="inlineStr">
        <is>
          <t>HT</t>
        </is>
      </c>
      <c r="E619" s="18" t="inlineStr">
        <is>
          <t>11</t>
        </is>
      </c>
      <c r="F619" s="20" t="n">
        <v>1234742</v>
      </c>
      <c r="G619" s="18" t="inlineStr">
        <is>
          <t>Yes</t>
        </is>
      </c>
      <c r="H619" s="18" t="inlineStr">
        <is>
          <t>PAP</t>
        </is>
      </c>
      <c r="I619" s="18" t="inlineStr">
        <is>
          <t>Toussaint Louverture International Airport</t>
        </is>
      </c>
      <c r="J619" s="21" t="n">
        <v>6.3</v>
      </c>
      <c r="K619" s="18" t="inlineStr">
        <is>
          <t>PAP</t>
        </is>
      </c>
      <c r="L619" s="18" t="inlineStr">
        <is>
          <t>100k +  pop + capital + airport</t>
        </is>
      </c>
      <c r="M619" s="22" t="n">
        <v>0.61</v>
      </c>
      <c r="N619" s="22" t="n">
        <v>0</v>
      </c>
      <c r="O619" s="18" t="n"/>
      <c r="P619" s="22">
        <f>IF(O619="",(About!$B$5*M619+About!$B$6*N619)/(About!$B$5+About!$B$6),About!$B$5*M619+About!$B$6*N619+About!$B$7*O619)</f>
        <v/>
      </c>
      <c r="Q619" s="23" t="n">
        <v>18.5435</v>
      </c>
      <c r="R619" s="23" t="n">
        <v>-72.33880000000001</v>
      </c>
    </row>
    <row r="620" ht="15" customHeight="1" s="12">
      <c r="A620" s="18" t="inlineStr">
        <is>
          <t>Hiroshima</t>
        </is>
      </c>
      <c r="B620" s="18" t="inlineStr">
        <is>
          <t>Japan</t>
        </is>
      </c>
      <c r="C620" s="19" t="n">
        <v>122810000</v>
      </c>
      <c r="D620" s="18" t="inlineStr">
        <is>
          <t>JP</t>
        </is>
      </c>
      <c r="E620" s="18" t="inlineStr">
        <is>
          <t>11</t>
        </is>
      </c>
      <c r="F620" s="20" t="n">
        <v>1143841</v>
      </c>
      <c r="G620" s="18" t="n"/>
      <c r="H620" s="18" t="inlineStr">
        <is>
          <t>HIJ</t>
        </is>
      </c>
      <c r="I620" s="18" t="inlineStr">
        <is>
          <t>Hiroshima Airport</t>
        </is>
      </c>
      <c r="J620" s="21" t="n">
        <v>43.2</v>
      </c>
      <c r="K620" s="18" t="inlineStr">
        <is>
          <t>HIJ</t>
        </is>
      </c>
      <c r="L620" s="18" t="inlineStr">
        <is>
          <t>100k +  pop + airport</t>
        </is>
      </c>
      <c r="M620" s="22" t="n">
        <v>0.61</v>
      </c>
      <c r="N620" s="22" t="n">
        <v>0</v>
      </c>
      <c r="O620" s="18" t="n"/>
      <c r="P620" s="22">
        <f>IF(O620="",(About!$B$5*M620+About!$B$6*N620)/(About!$B$5+About!$B$6),About!$B$5*M620+About!$B$6*N620+About!$B$7*O620)</f>
        <v/>
      </c>
      <c r="Q620" s="23" t="n">
        <v>34.4</v>
      </c>
      <c r="R620" s="23" t="n">
        <v>132.45</v>
      </c>
    </row>
    <row r="621" ht="15" customHeight="1" s="12">
      <c r="A621" s="18" t="inlineStr">
        <is>
          <t>Srinagar</t>
        </is>
      </c>
      <c r="B621" s="18" t="inlineStr">
        <is>
          <t>India</t>
        </is>
      </c>
      <c r="C621" s="19" t="n">
        <v>1417492000</v>
      </c>
      <c r="D621" s="18" t="inlineStr">
        <is>
          <t>IN</t>
        </is>
      </c>
      <c r="E621" s="18" t="inlineStr">
        <is>
          <t>12</t>
        </is>
      </c>
      <c r="F621" s="20" t="n">
        <v>975857</v>
      </c>
      <c r="G621" s="18" t="n"/>
      <c r="H621" s="18" t="inlineStr">
        <is>
          <t>SXR</t>
        </is>
      </c>
      <c r="I621" s="18" t="inlineStr">
        <is>
          <t>Sheikh ul Alam International Airport</t>
        </is>
      </c>
      <c r="J621" s="21" t="n">
        <v>11.3</v>
      </c>
      <c r="K621" s="18" t="inlineStr">
        <is>
          <t>SXR</t>
        </is>
      </c>
      <c r="L621" s="18" t="inlineStr">
        <is>
          <t>100k +  pop + airport</t>
        </is>
      </c>
      <c r="M621" s="22" t="n">
        <v>0.611</v>
      </c>
      <c r="N621" s="22" t="n">
        <v>0</v>
      </c>
      <c r="O621" s="18" t="n"/>
      <c r="P621" s="22">
        <f>IF(O621="",(About!$B$5*M621+About!$B$6*N621)/(About!$B$5+About!$B$6),About!$B$5*M621+About!$B$6*N621+About!$B$7*O621)</f>
        <v/>
      </c>
      <c r="Q621" s="23" t="n">
        <v>34.0857</v>
      </c>
      <c r="R621" s="23" t="n">
        <v>74.80549999999999</v>
      </c>
    </row>
    <row r="622" ht="15" customHeight="1" s="12">
      <c r="A622" s="18" t="inlineStr">
        <is>
          <t>Tainan</t>
        </is>
      </c>
      <c r="B622" s="18" t="inlineStr">
        <is>
          <t>Taiwan</t>
        </is>
      </c>
      <c r="C622" s="19" t="n">
        <v>23262544</v>
      </c>
      <c r="D622" s="18" t="inlineStr">
        <is>
          <t>TW</t>
        </is>
      </c>
      <c r="E622" s="18" t="inlineStr">
        <is>
          <t>04</t>
        </is>
      </c>
      <c r="F622" s="20" t="n">
        <v>771235</v>
      </c>
      <c r="G622" s="18" t="n"/>
      <c r="H622" s="18" t="inlineStr">
        <is>
          <t>TNN</t>
        </is>
      </c>
      <c r="I622" s="18" t="inlineStr">
        <is>
          <t>Tainan International Airport / Tainan Air Base</t>
        </is>
      </c>
      <c r="J622" s="21" t="n">
        <v>4.6</v>
      </c>
      <c r="K622" s="18" t="inlineStr">
        <is>
          <t>TNN</t>
        </is>
      </c>
      <c r="L622" s="18" t="inlineStr">
        <is>
          <t>100k +  pop + airport</t>
        </is>
      </c>
      <c r="M622" s="22" t="n">
        <v>0.61</v>
      </c>
      <c r="N622" s="22" t="n">
        <v>0</v>
      </c>
      <c r="O622" s="18" t="n"/>
      <c r="P622" s="22">
        <f>IF(O622="",(About!$B$5*M622+About!$B$6*N622)/(About!$B$5+About!$B$6),About!$B$5*M622+About!$B$6*N622+About!$B$7*O622)</f>
        <v/>
      </c>
      <c r="Q622" s="23" t="n">
        <v>22.9908</v>
      </c>
      <c r="R622" s="23" t="n">
        <v>120.2133</v>
      </c>
    </row>
    <row r="623" ht="15" customHeight="1" s="12">
      <c r="A623" s="18" t="inlineStr">
        <is>
          <t>Wrocław</t>
        </is>
      </c>
      <c r="B623" s="18" t="inlineStr">
        <is>
          <t>Poland</t>
        </is>
      </c>
      <c r="C623" s="19" t="n">
        <v>37281000</v>
      </c>
      <c r="D623" s="18" t="inlineStr">
        <is>
          <t>PL</t>
        </is>
      </c>
      <c r="E623" s="18" t="inlineStr">
        <is>
          <t>72</t>
        </is>
      </c>
      <c r="F623" s="20" t="n">
        <v>634893</v>
      </c>
      <c r="G623" s="18" t="n"/>
      <c r="H623" s="18" t="inlineStr">
        <is>
          <t>WRO</t>
        </is>
      </c>
      <c r="I623" s="18" t="inlineStr">
        <is>
          <t>Copernicus Wrocław Airport</t>
        </is>
      </c>
      <c r="J623" s="21" t="n">
        <v>10.6</v>
      </c>
      <c r="K623" s="18" t="inlineStr">
        <is>
          <t>WRO</t>
        </is>
      </c>
      <c r="L623" s="18" t="inlineStr">
        <is>
          <t>100k +  pop + airport</t>
        </is>
      </c>
      <c r="M623" s="22" t="n">
        <v>0.61</v>
      </c>
      <c r="N623" s="22" t="n">
        <v>0</v>
      </c>
      <c r="O623" s="18" t="n"/>
      <c r="P623" s="22">
        <f>IF(O623="",(About!$B$5*M623+About!$B$6*N623)/(About!$B$5+About!$B$6),About!$B$5*M623+About!$B$6*N623+About!$B$7*O623)</f>
        <v/>
      </c>
      <c r="Q623" s="23" t="n">
        <v>51.1</v>
      </c>
      <c r="R623" s="23" t="n">
        <v>17.0333</v>
      </c>
    </row>
    <row r="624" ht="15" customHeight="1" s="12">
      <c r="A624" s="18" t="inlineStr">
        <is>
          <t>Kaliningrad</t>
        </is>
      </c>
      <c r="B624" s="18" t="inlineStr">
        <is>
          <t>Russia</t>
        </is>
      </c>
      <c r="C624" s="19" t="n">
        <v>146028325</v>
      </c>
      <c r="D624" s="18" t="inlineStr">
        <is>
          <t>RU</t>
        </is>
      </c>
      <c r="E624" s="18" t="inlineStr">
        <is>
          <t>23</t>
        </is>
      </c>
      <c r="F624" s="20" t="n">
        <v>434954</v>
      </c>
      <c r="G624" s="18" t="n"/>
      <c r="H624" s="18" t="inlineStr">
        <is>
          <t>KGD</t>
        </is>
      </c>
      <c r="I624" s="18" t="inlineStr">
        <is>
          <t>Khrabrovo Airport</t>
        </is>
      </c>
      <c r="J624" s="21" t="n">
        <v>21.3</v>
      </c>
      <c r="K624" s="18" t="inlineStr">
        <is>
          <t>KGD</t>
        </is>
      </c>
      <c r="L624" s="18" t="inlineStr">
        <is>
          <t>100k +  pop + airport</t>
        </is>
      </c>
      <c r="M624" s="22" t="n">
        <v>0.61</v>
      </c>
      <c r="N624" s="22" t="n">
        <v>0</v>
      </c>
      <c r="O624" s="18" t="n"/>
      <c r="P624" s="22">
        <f>IF(O624="",(About!$B$5*M624+About!$B$6*N624)/(About!$B$5+About!$B$6),About!$B$5*M624+About!$B$6*N624+About!$B$7*O624)</f>
        <v/>
      </c>
      <c r="Q624" s="23" t="n">
        <v>54.7065</v>
      </c>
      <c r="R624" s="23" t="n">
        <v>20.511</v>
      </c>
    </row>
    <row r="625" ht="15" customHeight="1" s="12">
      <c r="A625" s="18" t="inlineStr">
        <is>
          <t>Delmas 73</t>
        </is>
      </c>
      <c r="B625" s="18" t="inlineStr">
        <is>
          <t>Haiti</t>
        </is>
      </c>
      <c r="C625" s="19" t="n">
        <v>11867032</v>
      </c>
      <c r="D625" s="18" t="inlineStr">
        <is>
          <t>HT</t>
        </is>
      </c>
      <c r="E625" s="18" t="inlineStr">
        <is>
          <t>11</t>
        </is>
      </c>
      <c r="F625" s="20" t="n">
        <v>382920</v>
      </c>
      <c r="G625" s="18" t="n"/>
      <c r="H625" s="18" t="inlineStr">
        <is>
          <t>PAP</t>
        </is>
      </c>
      <c r="I625" s="18" t="inlineStr">
        <is>
          <t>Toussaint Louverture International Airport</t>
        </is>
      </c>
      <c r="J625" s="21" t="n">
        <v>4.1</v>
      </c>
      <c r="K625" s="18" t="inlineStr">
        <is>
          <t>PAP</t>
        </is>
      </c>
      <c r="L625" s="18" t="inlineStr">
        <is>
          <t>100k +  pop + airport</t>
        </is>
      </c>
      <c r="M625" s="22" t="n">
        <v>0.61</v>
      </c>
      <c r="N625" s="22" t="n">
        <v>0</v>
      </c>
      <c r="O625" s="18" t="n"/>
      <c r="P625" s="22">
        <f>IF(O625="",(About!$B$5*M625+About!$B$6*N625)/(About!$B$5+About!$B$6),About!$B$5*M625+About!$B$6*N625+About!$B$7*O625)</f>
        <v/>
      </c>
      <c r="Q625" s="23" t="n">
        <v>18.5447</v>
      </c>
      <c r="R625" s="23" t="n">
        <v>-72.3028</v>
      </c>
    </row>
    <row r="626" ht="15" customHeight="1" s="12">
      <c r="A626" s="18" t="inlineStr">
        <is>
          <t>Pétionville</t>
        </is>
      </c>
      <c r="B626" s="18" t="inlineStr">
        <is>
          <t>Haiti</t>
        </is>
      </c>
      <c r="C626" s="19" t="n">
        <v>11867032</v>
      </c>
      <c r="D626" s="18" t="inlineStr">
        <is>
          <t>HT</t>
        </is>
      </c>
      <c r="E626" s="18" t="inlineStr">
        <is>
          <t>11</t>
        </is>
      </c>
      <c r="F626" s="20" t="n">
        <v>283052</v>
      </c>
      <c r="G626" s="18" t="n"/>
      <c r="H626" s="18" t="inlineStr">
        <is>
          <t>PAP</t>
        </is>
      </c>
      <c r="I626" s="18" t="inlineStr">
        <is>
          <t>Toussaint Louverture International Airport</t>
        </is>
      </c>
      <c r="J626" s="21" t="n">
        <v>7.5</v>
      </c>
      <c r="K626" s="18" t="inlineStr">
        <is>
          <t>PAP</t>
        </is>
      </c>
      <c r="L626" s="18" t="inlineStr">
        <is>
          <t>100k +  pop + airport</t>
        </is>
      </c>
      <c r="M626" s="22" t="n">
        <v>0.61</v>
      </c>
      <c r="N626" s="22" t="n">
        <v>0</v>
      </c>
      <c r="O626" s="18" t="n"/>
      <c r="P626" s="22">
        <f>IF(O626="",(About!$B$5*M626+About!$B$6*N626)/(About!$B$5+About!$B$6),About!$B$5*M626+About!$B$6*N626+About!$B$7*O626)</f>
        <v/>
      </c>
      <c r="Q626" s="23" t="n">
        <v>18.5125</v>
      </c>
      <c r="R626" s="23" t="n">
        <v>-72.28530000000001</v>
      </c>
    </row>
    <row r="627" ht="15" customHeight="1" s="12">
      <c r="A627" s="18" t="inlineStr">
        <is>
          <t>Ahvaz</t>
        </is>
      </c>
      <c r="B627" s="18" t="inlineStr">
        <is>
          <t>Iran</t>
        </is>
      </c>
      <c r="C627" s="19" t="n">
        <v>87134000</v>
      </c>
      <c r="D627" s="18" t="inlineStr">
        <is>
          <t>IR</t>
        </is>
      </c>
      <c r="E627" s="18" t="inlineStr">
        <is>
          <t>15</t>
        </is>
      </c>
      <c r="F627" s="20" t="n">
        <v>841145</v>
      </c>
      <c r="G627" s="18" t="n"/>
      <c r="H627" s="18" t="inlineStr">
        <is>
          <t>AWZ</t>
        </is>
      </c>
      <c r="I627" s="18" t="inlineStr">
        <is>
          <t>Qasem Soleimani International Airport</t>
        </is>
      </c>
      <c r="J627" s="21" t="n">
        <v>7.8</v>
      </c>
      <c r="K627" s="18" t="inlineStr">
        <is>
          <t>AWZ</t>
        </is>
      </c>
      <c r="L627" s="18" t="inlineStr">
        <is>
          <t>100k +  pop + airport</t>
        </is>
      </c>
      <c r="M627" s="22" t="n">
        <v>0.607</v>
      </c>
      <c r="N627" s="22" t="n">
        <v>0</v>
      </c>
      <c r="O627" s="18" t="n"/>
      <c r="P627" s="22">
        <f>IF(O627="",(About!$B$5*M627+About!$B$6*N627)/(About!$B$5+About!$B$6),About!$B$5*M627+About!$B$6*N627+About!$B$7*O627)</f>
        <v/>
      </c>
      <c r="Q627" s="23" t="n">
        <v>31.319</v>
      </c>
      <c r="R627" s="23" t="n">
        <v>48.6842</v>
      </c>
    </row>
    <row r="628" ht="15" customHeight="1" s="12">
      <c r="A628" s="18" t="inlineStr">
        <is>
          <t>Zunyi</t>
        </is>
      </c>
      <c r="B628" s="18" t="inlineStr">
        <is>
          <t>China</t>
        </is>
      </c>
      <c r="C628" s="19" t="n">
        <v>1404890000</v>
      </c>
      <c r="D628" s="18" t="inlineStr">
        <is>
          <t>CN</t>
        </is>
      </c>
      <c r="E628" s="18" t="inlineStr">
        <is>
          <t>18</t>
        </is>
      </c>
      <c r="F628" s="20" t="n">
        <v>466292</v>
      </c>
      <c r="G628" s="18" t="n"/>
      <c r="H628" s="18" t="inlineStr">
        <is>
          <t>ZYI</t>
        </is>
      </c>
      <c r="I628" s="18" t="inlineStr">
        <is>
          <t>Zunyi Xinzhou Airport</t>
        </is>
      </c>
      <c r="J628" s="21" t="n">
        <v>36.2</v>
      </c>
      <c r="K628" s="18" t="inlineStr">
        <is>
          <t>WMT+ZYI</t>
        </is>
      </c>
      <c r="L628" s="18" t="inlineStr">
        <is>
          <t>100k +  pop + airport</t>
        </is>
      </c>
      <c r="M628" s="22" t="n">
        <v>0.609</v>
      </c>
      <c r="N628" s="22" t="n">
        <v>0</v>
      </c>
      <c r="O628" s="18" t="n"/>
      <c r="P628" s="22">
        <f>IF(O628="",(About!$B$5*M628+About!$B$6*N628)/(About!$B$5+About!$B$6),About!$B$5*M628+About!$B$6*N628+About!$B$7*O628)</f>
        <v/>
      </c>
      <c r="Q628" s="23" t="n">
        <v>27.6867</v>
      </c>
      <c r="R628" s="23" t="n">
        <v>106.9072</v>
      </c>
    </row>
    <row r="629" ht="15" customHeight="1" s="12">
      <c r="A629" s="18" t="inlineStr">
        <is>
          <t>Windhoek</t>
        </is>
      </c>
      <c r="B629" s="18" t="inlineStr">
        <is>
          <t>Namibia</t>
        </is>
      </c>
      <c r="C629" s="19" t="n">
        <v>3022401</v>
      </c>
      <c r="D629" s="18" t="inlineStr">
        <is>
          <t>NA</t>
        </is>
      </c>
      <c r="E629" s="18" t="inlineStr">
        <is>
          <t>21</t>
        </is>
      </c>
      <c r="F629" s="20" t="n">
        <v>268132</v>
      </c>
      <c r="G629" s="18" t="inlineStr">
        <is>
          <t>Yes</t>
        </is>
      </c>
      <c r="H629" s="18" t="inlineStr">
        <is>
          <t>WDH</t>
        </is>
      </c>
      <c r="I629" s="18" t="inlineStr">
        <is>
          <t>Hosea Kutako International Airport</t>
        </is>
      </c>
      <c r="J629" s="21" t="n">
        <v>40.8</v>
      </c>
      <c r="K629" s="18" t="inlineStr">
        <is>
          <t>ERS+WDH</t>
        </is>
      </c>
      <c r="L629" s="18" t="inlineStr">
        <is>
          <t>100k +  pop + capital + airport</t>
        </is>
      </c>
      <c r="M629" s="22" t="n">
        <v>0.607</v>
      </c>
      <c r="N629" s="22" t="n">
        <v>0</v>
      </c>
      <c r="O629" s="18" t="n"/>
      <c r="P629" s="22">
        <f>IF(O629="",(About!$B$5*M629+About!$B$6*N629)/(About!$B$5+About!$B$6),About!$B$5*M629+About!$B$6*N629+About!$B$7*O629)</f>
        <v/>
      </c>
      <c r="Q629" s="23" t="n">
        <v>-22.5594</v>
      </c>
      <c r="R629" s="23" t="n">
        <v>17.0832</v>
      </c>
    </row>
    <row r="630" ht="15" customHeight="1" s="12">
      <c r="A630" s="18" t="inlineStr">
        <is>
          <t>Dire Dawa</t>
        </is>
      </c>
      <c r="B630" s="18" t="inlineStr">
        <is>
          <t>Ethiopia</t>
        </is>
      </c>
      <c r="C630" s="19" t="n">
        <v>111652998</v>
      </c>
      <c r="D630" s="18" t="inlineStr">
        <is>
          <t>ET</t>
        </is>
      </c>
      <c r="E630" s="18" t="inlineStr">
        <is>
          <t>48</t>
        </is>
      </c>
      <c r="F630" s="20" t="n">
        <v>252279</v>
      </c>
      <c r="G630" s="18" t="n"/>
      <c r="H630" s="18" t="inlineStr">
        <is>
          <t>DIR</t>
        </is>
      </c>
      <c r="I630" s="18" t="inlineStr">
        <is>
          <t>Aba Tenna Dejazmach Yilma International Airport</t>
        </is>
      </c>
      <c r="J630" s="21" t="n">
        <v>3.6</v>
      </c>
      <c r="K630" s="18" t="inlineStr">
        <is>
          <t>DIR</t>
        </is>
      </c>
      <c r="L630" s="18" t="inlineStr">
        <is>
          <t>100k +  pop + airport</t>
        </is>
      </c>
      <c r="M630" s="22" t="n">
        <v>0.608</v>
      </c>
      <c r="N630" s="22" t="n">
        <v>0</v>
      </c>
      <c r="O630" s="18" t="n"/>
      <c r="P630" s="22">
        <f>IF(O630="",(About!$B$5*M630+About!$B$6*N630)/(About!$B$5+About!$B$6),About!$B$5*M630+About!$B$6*N630+About!$B$7*O630)</f>
        <v/>
      </c>
      <c r="Q630" s="23" t="n">
        <v>9.5931</v>
      </c>
      <c r="R630" s="23" t="n">
        <v>41.8661</v>
      </c>
    </row>
    <row r="631" ht="15" customHeight="1" s="12">
      <c r="A631" s="18" t="inlineStr">
        <is>
          <t>Pisa</t>
        </is>
      </c>
      <c r="B631" s="18" t="inlineStr">
        <is>
          <t>Italy</t>
        </is>
      </c>
      <c r="C631" s="19" t="n">
        <v>58932330</v>
      </c>
      <c r="D631" s="18" t="inlineStr">
        <is>
          <t>IT</t>
        </is>
      </c>
      <c r="E631" s="18" t="inlineStr">
        <is>
          <t>16</t>
        </is>
      </c>
      <c r="F631" s="20" t="n">
        <v>230780</v>
      </c>
      <c r="G631" s="18" t="n"/>
      <c r="H631" s="18" t="inlineStr">
        <is>
          <t>PSA</t>
        </is>
      </c>
      <c r="I631" s="18" t="inlineStr">
        <is>
          <t>Pisa International Airport</t>
        </is>
      </c>
      <c r="J631" s="21" t="n">
        <v>16.4</v>
      </c>
      <c r="K631" s="18" t="inlineStr">
        <is>
          <t>PSA</t>
        </is>
      </c>
      <c r="L631" s="18" t="inlineStr">
        <is>
          <t>100k +  pop</t>
        </is>
      </c>
      <c r="M631" s="22" t="n">
        <v>0.607</v>
      </c>
      <c r="N631" s="22" t="n">
        <v>0</v>
      </c>
      <c r="O631" s="18" t="n"/>
      <c r="P631" s="22">
        <f>IF(O631="",(About!$B$5*M631+About!$B$6*N631)/(About!$B$5+About!$B$6),About!$B$5*M631+About!$B$6*N631+About!$B$7*O631)</f>
        <v/>
      </c>
      <c r="Q631" s="23" t="n">
        <v>43.5443</v>
      </c>
      <c r="R631" s="23" t="n">
        <v>10.3262</v>
      </c>
    </row>
    <row r="632" ht="15" customHeight="1" s="12">
      <c r="A632" s="18" t="inlineStr">
        <is>
          <t>Moroni</t>
        </is>
      </c>
      <c r="B632" s="18" t="inlineStr">
        <is>
          <t>Comoros</t>
        </is>
      </c>
      <c r="C632" s="19" t="n">
        <v>944388</v>
      </c>
      <c r="D632" s="18" t="inlineStr">
        <is>
          <t>KM</t>
        </is>
      </c>
      <c r="E632" s="18" t="inlineStr">
        <is>
          <t>02</t>
        </is>
      </c>
      <c r="F632" s="20" t="n">
        <v>42872</v>
      </c>
      <c r="G632" s="18" t="inlineStr">
        <is>
          <t>Yes</t>
        </is>
      </c>
      <c r="H632" s="18" t="inlineStr">
        <is>
          <t>HAH</t>
        </is>
      </c>
      <c r="I632" s="18" t="inlineStr">
        <is>
          <t>Prince Said Ibrahim International Airport</t>
        </is>
      </c>
      <c r="J632" s="21" t="n">
        <v>18.8</v>
      </c>
      <c r="K632" s="18" t="inlineStr">
        <is>
          <t>HAH</t>
        </is>
      </c>
      <c r="L632" s="18" t="inlineStr">
        <is>
          <t>capital + airport</t>
        </is>
      </c>
      <c r="M632" s="22" t="n">
        <v>0.609</v>
      </c>
      <c r="N632" s="22" t="n">
        <v>0</v>
      </c>
      <c r="O632" s="18" t="n"/>
      <c r="P632" s="22">
        <f>IF(O632="",(About!$B$5*M632+About!$B$6*N632)/(About!$B$5+About!$B$6),About!$B$5*M632+About!$B$6*N632+About!$B$7*O632)</f>
        <v/>
      </c>
      <c r="Q632" s="23" t="n">
        <v>-11.7022</v>
      </c>
      <c r="R632" s="23" t="n">
        <v>43.2551</v>
      </c>
    </row>
    <row r="633" ht="15" customHeight="1" s="12">
      <c r="A633" s="18" t="inlineStr">
        <is>
          <t>Varanasi</t>
        </is>
      </c>
      <c r="B633" s="18" t="inlineStr">
        <is>
          <t>India</t>
        </is>
      </c>
      <c r="C633" s="19" t="n">
        <v>1417492000</v>
      </c>
      <c r="D633" s="18" t="inlineStr">
        <is>
          <t>IN</t>
        </is>
      </c>
      <c r="E633" s="18" t="inlineStr">
        <is>
          <t>36</t>
        </is>
      </c>
      <c r="F633" s="20" t="n">
        <v>1164404</v>
      </c>
      <c r="G633" s="18" t="n"/>
      <c r="H633" s="18" t="inlineStr">
        <is>
          <t>VNS</t>
        </is>
      </c>
      <c r="I633" s="18" t="inlineStr">
        <is>
          <t>Lal Bahadur Shastri International Airport</t>
        </is>
      </c>
      <c r="J633" s="21" t="n">
        <v>21.2</v>
      </c>
      <c r="K633" s="18" t="inlineStr">
        <is>
          <t>VNS</t>
        </is>
      </c>
      <c r="L633" s="18" t="inlineStr">
        <is>
          <t>100k +  pop + airport</t>
        </is>
      </c>
      <c r="M633" s="22" t="n">
        <v>0.606</v>
      </c>
      <c r="N633" s="22" t="n">
        <v>0</v>
      </c>
      <c r="O633" s="18" t="n"/>
      <c r="P633" s="22">
        <f>IF(O633="",(About!$B$5*M633+About!$B$6*N633)/(About!$B$5+About!$B$6),About!$B$5*M633+About!$B$6*N633+About!$B$7*O633)</f>
        <v/>
      </c>
      <c r="Q633" s="23" t="n">
        <v>25.3167</v>
      </c>
      <c r="R633" s="23" t="n">
        <v>83.0104</v>
      </c>
    </row>
    <row r="634" ht="15" customHeight="1" s="12">
      <c r="A634" s="18" t="inlineStr">
        <is>
          <t>Libreville</t>
        </is>
      </c>
      <c r="B634" s="18" t="inlineStr">
        <is>
          <t>Gabon</t>
        </is>
      </c>
      <c r="C634" s="19" t="n">
        <v>2469296</v>
      </c>
      <c r="D634" s="18" t="inlineStr">
        <is>
          <t>GA</t>
        </is>
      </c>
      <c r="E634" s="18" t="inlineStr">
        <is>
          <t>01</t>
        </is>
      </c>
      <c r="F634" s="20" t="n">
        <v>578156</v>
      </c>
      <c r="G634" s="18" t="inlineStr">
        <is>
          <t>Yes</t>
        </is>
      </c>
      <c r="H634" s="18" t="inlineStr">
        <is>
          <t>LBV</t>
        </is>
      </c>
      <c r="I634" s="18" t="inlineStr">
        <is>
          <t>Libreville Leon M'ba International Airport</t>
        </is>
      </c>
      <c r="J634" s="21" t="n">
        <v>8.699999999999999</v>
      </c>
      <c r="K634" s="18" t="inlineStr">
        <is>
          <t>LBV</t>
        </is>
      </c>
      <c r="L634" s="18" t="inlineStr">
        <is>
          <t>100k +  pop + capital + airport</t>
        </is>
      </c>
      <c r="M634" s="22" t="n">
        <v>0.607</v>
      </c>
      <c r="N634" s="22" t="n">
        <v>0</v>
      </c>
      <c r="O634" s="18" t="n"/>
      <c r="P634" s="22">
        <f>IF(O634="",(About!$B$5*M634+About!$B$6*N634)/(About!$B$5+About!$B$6),About!$B$5*M634+About!$B$6*N634+About!$B$7*O634)</f>
        <v/>
      </c>
      <c r="Q634" s="23" t="n">
        <v>0.3924</v>
      </c>
      <c r="R634" s="23" t="n">
        <v>9.4536</v>
      </c>
    </row>
    <row r="635" ht="15" customHeight="1" s="12">
      <c r="A635" s="18" t="inlineStr">
        <is>
          <t>Shymkent</t>
        </is>
      </c>
      <c r="B635" s="18" t="inlineStr">
        <is>
          <t>Kazakhstan</t>
        </is>
      </c>
      <c r="C635" s="19" t="n">
        <v>20547909</v>
      </c>
      <c r="D635" s="18" t="inlineStr">
        <is>
          <t>KZ</t>
        </is>
      </c>
      <c r="E635" s="18" t="inlineStr">
        <is>
          <t>1537272</t>
        </is>
      </c>
      <c r="F635" s="20" t="n">
        <v>414032</v>
      </c>
      <c r="G635" s="18" t="n"/>
      <c r="H635" s="18" t="inlineStr">
        <is>
          <t>CIT</t>
        </is>
      </c>
      <c r="I635" s="18" t="inlineStr">
        <is>
          <t>Shymkent International Airport</t>
        </is>
      </c>
      <c r="J635" s="21" t="n">
        <v>12.5</v>
      </c>
      <c r="K635" s="18" t="inlineStr">
        <is>
          <t>CIT</t>
        </is>
      </c>
      <c r="L635" s="18" t="inlineStr">
        <is>
          <t>100k +  pop + airport</t>
        </is>
      </c>
      <c r="M635" s="22" t="n">
        <v>0.606</v>
      </c>
      <c r="N635" s="22" t="n">
        <v>0</v>
      </c>
      <c r="O635" s="18" t="n"/>
      <c r="P635" s="22">
        <f>IF(O635="",(About!$B$5*M635+About!$B$6*N635)/(About!$B$5+About!$B$6),About!$B$5*M635+About!$B$6*N635+About!$B$7*O635)</f>
        <v/>
      </c>
      <c r="Q635" s="23" t="n">
        <v>42.3</v>
      </c>
      <c r="R635" s="23" t="n">
        <v>69.59999999999999</v>
      </c>
    </row>
    <row r="636" ht="15" customHeight="1" s="12">
      <c r="A636" s="18" t="inlineStr">
        <is>
          <t>Labuan Bajo</t>
        </is>
      </c>
      <c r="B636" s="18" t="inlineStr">
        <is>
          <t>Indonesia</t>
        </is>
      </c>
      <c r="C636" s="19" t="n">
        <v>288315089</v>
      </c>
      <c r="D636" s="18" t="inlineStr">
        <is>
          <t>ID</t>
        </is>
      </c>
      <c r="E636" s="18" t="inlineStr">
        <is>
          <t>18</t>
        </is>
      </c>
      <c r="F636" s="20" t="n">
        <v>188724</v>
      </c>
      <c r="G636" s="18" t="n"/>
      <c r="H636" s="18" t="inlineStr">
        <is>
          <t>LBJ</t>
        </is>
      </c>
      <c r="I636" s="18" t="inlineStr">
        <is>
          <t>Komodo Airport</t>
        </is>
      </c>
      <c r="J636" s="21" t="n">
        <v>1.7</v>
      </c>
      <c r="K636" s="18" t="inlineStr">
        <is>
          <t>LBJ</t>
        </is>
      </c>
      <c r="L636" s="18" t="inlineStr">
        <is>
          <t>100k +  pop + airport</t>
        </is>
      </c>
      <c r="M636" s="22" t="n">
        <v>0.607</v>
      </c>
      <c r="N636" s="22" t="n">
        <v>0</v>
      </c>
      <c r="O636" s="18" t="n"/>
      <c r="P636" s="22">
        <f>IF(O636="",(About!$B$5*M636+About!$B$6*N636)/(About!$B$5+About!$B$6),About!$B$5*M636+About!$B$6*N636+About!$B$7*O636)</f>
        <v/>
      </c>
      <c r="Q636" s="23" t="n">
        <v>-8.4964</v>
      </c>
      <c r="R636" s="23" t="n">
        <v>119.8877</v>
      </c>
    </row>
    <row r="637" ht="15" customHeight="1" s="12">
      <c r="A637" s="18" t="inlineStr">
        <is>
          <t>Dunedin</t>
        </is>
      </c>
      <c r="B637" s="18" t="inlineStr">
        <is>
          <t>New Zealand</t>
        </is>
      </c>
      <c r="C637" s="19" t="n">
        <v>5361300</v>
      </c>
      <c r="D637" s="18" t="inlineStr">
        <is>
          <t>NZ</t>
        </is>
      </c>
      <c r="E637" s="18" t="inlineStr">
        <is>
          <t>F7</t>
        </is>
      </c>
      <c r="F637" s="20" t="n">
        <v>114347</v>
      </c>
      <c r="G637" s="18" t="n"/>
      <c r="H637" s="18" t="inlineStr">
        <is>
          <t>DUD</t>
        </is>
      </c>
      <c r="I637" s="18" t="inlineStr">
        <is>
          <t>Dunedin International Airport</t>
        </is>
      </c>
      <c r="J637" s="21" t="n">
        <v>24.4</v>
      </c>
      <c r="K637" s="18" t="inlineStr">
        <is>
          <t>DUD</t>
        </is>
      </c>
      <c r="L637" s="18" t="inlineStr">
        <is>
          <t>100k +  pop + airport</t>
        </is>
      </c>
      <c r="M637" s="22" t="n">
        <v>0.606</v>
      </c>
      <c r="N637" s="22" t="n">
        <v>0</v>
      </c>
      <c r="O637" s="18" t="n"/>
      <c r="P637" s="22">
        <f>IF(O637="",(About!$B$5*M637+About!$B$6*N637)/(About!$B$5+About!$B$6),About!$B$5*M637+About!$B$6*N637+About!$B$7*O637)</f>
        <v/>
      </c>
      <c r="Q637" s="23" t="n">
        <v>-45.8742</v>
      </c>
      <c r="R637" s="23" t="n">
        <v>170.5036</v>
      </c>
    </row>
    <row r="638" ht="15" customHeight="1" s="12">
      <c r="A638" s="18" t="inlineStr">
        <is>
          <t>Saint John’s</t>
        </is>
      </c>
      <c r="B638" s="18" t="inlineStr">
        <is>
          <t>Antigua and Barbuda</t>
        </is>
      </c>
      <c r="C638" s="19" t="n">
        <v>103603</v>
      </c>
      <c r="D638" s="18" t="inlineStr">
        <is>
          <t>AG</t>
        </is>
      </c>
      <c r="E638" s="18" t="inlineStr">
        <is>
          <t>04</t>
        </is>
      </c>
      <c r="F638" s="20" t="n">
        <v>24226</v>
      </c>
      <c r="G638" s="18" t="inlineStr">
        <is>
          <t>Yes</t>
        </is>
      </c>
      <c r="H638" s="18" t="inlineStr">
        <is>
          <t>ANU</t>
        </is>
      </c>
      <c r="I638" s="18" t="inlineStr">
        <is>
          <t>V. C. Bird International Airport</t>
        </is>
      </c>
      <c r="J638" s="21" t="n">
        <v>5.7</v>
      </c>
      <c r="K638" s="18" t="inlineStr">
        <is>
          <t>ANU</t>
        </is>
      </c>
      <c r="L638" s="18" t="inlineStr">
        <is>
          <t>capital + airport</t>
        </is>
      </c>
      <c r="M638" s="22" t="n">
        <v>0.605</v>
      </c>
      <c r="N638" s="22" t="n">
        <v>0</v>
      </c>
      <c r="O638" s="18" t="n"/>
      <c r="P638" s="22">
        <f>IF(O638="",(About!$B$5*M638+About!$B$6*N638)/(About!$B$5+About!$B$6),About!$B$5*M638+About!$B$6*N638+About!$B$7*O638)</f>
        <v/>
      </c>
      <c r="Q638" s="23" t="n">
        <v>17.121</v>
      </c>
      <c r="R638" s="23" t="n">
        <v>-61.8433</v>
      </c>
    </row>
    <row r="639" ht="15" customHeight="1" s="12">
      <c r="A639" s="18" t="inlineStr">
        <is>
          <t>Rosario</t>
        </is>
      </c>
      <c r="B639" s="18" t="inlineStr">
        <is>
          <t>Argentina</t>
        </is>
      </c>
      <c r="C639" s="19" t="n">
        <v>46387098</v>
      </c>
      <c r="D639" s="18" t="inlineStr">
        <is>
          <t>AR</t>
        </is>
      </c>
      <c r="E639" s="18" t="inlineStr">
        <is>
          <t>21</t>
        </is>
      </c>
      <c r="F639" s="20" t="n">
        <v>1173533</v>
      </c>
      <c r="G639" s="18" t="n"/>
      <c r="H639" s="18" t="inlineStr">
        <is>
          <t>ROS</t>
        </is>
      </c>
      <c r="I639" s="18" t="inlineStr">
        <is>
          <t>Rosario Islas Malvinas International Airport</t>
        </is>
      </c>
      <c r="J639" s="21" t="n">
        <v>14.4</v>
      </c>
      <c r="K639" s="18" t="inlineStr">
        <is>
          <t>ROS</t>
        </is>
      </c>
      <c r="L639" s="18" t="inlineStr">
        <is>
          <t>100k +  pop + airport</t>
        </is>
      </c>
      <c r="M639" s="22" t="n">
        <v>0.603</v>
      </c>
      <c r="N639" s="22" t="n">
        <v>0</v>
      </c>
      <c r="O639" s="18" t="n"/>
      <c r="P639" s="22">
        <f>IF(O639="",(About!$B$5*M639+About!$B$6*N639)/(About!$B$5+About!$B$6),About!$B$5*M639+About!$B$6*N639+About!$B$7*O639)</f>
        <v/>
      </c>
      <c r="Q639" s="23" t="n">
        <v>-32.9468</v>
      </c>
      <c r="R639" s="23" t="n">
        <v>-60.6393</v>
      </c>
    </row>
    <row r="640" ht="15" customHeight="1" s="12">
      <c r="A640" s="18" t="inlineStr">
        <is>
          <t>Port Elizabeth</t>
        </is>
      </c>
      <c r="B640" s="18" t="inlineStr">
        <is>
          <t>South Africa</t>
        </is>
      </c>
      <c r="C640" s="19" t="n">
        <v>63100945</v>
      </c>
      <c r="D640" s="18" t="inlineStr">
        <is>
          <t>ZA</t>
        </is>
      </c>
      <c r="E640" s="18" t="inlineStr">
        <is>
          <t>05</t>
        </is>
      </c>
      <c r="F640" s="20" t="n">
        <v>967677</v>
      </c>
      <c r="G640" s="18" t="n"/>
      <c r="H640" s="18" t="inlineStr">
        <is>
          <t>PLZ</t>
        </is>
      </c>
      <c r="I640" s="18" t="inlineStr">
        <is>
          <t>Chief Dawid Stuurman International Airport</t>
        </is>
      </c>
      <c r="J640" s="21" t="n">
        <v>3.2</v>
      </c>
      <c r="K640" s="18" t="inlineStr">
        <is>
          <t>PLZ</t>
        </is>
      </c>
      <c r="L640" s="18" t="inlineStr">
        <is>
          <t>100k +  pop + airport</t>
        </is>
      </c>
      <c r="M640" s="22" t="n">
        <v>0.603</v>
      </c>
      <c r="N640" s="22" t="n">
        <v>0</v>
      </c>
      <c r="O640" s="18" t="n"/>
      <c r="P640" s="22">
        <f>IF(O640="",(About!$B$5*M640+About!$B$6*N640)/(About!$B$5+About!$B$6),About!$B$5*M640+About!$B$6*N640+About!$B$7*O640)</f>
        <v/>
      </c>
      <c r="Q640" s="23" t="n">
        <v>-33.9611</v>
      </c>
      <c r="R640" s="23" t="n">
        <v>25.6149</v>
      </c>
    </row>
    <row r="641" ht="15" customHeight="1" s="12">
      <c r="A641" s="18" t="inlineStr">
        <is>
          <t>Surakarta</t>
        </is>
      </c>
      <c r="B641" s="18" t="inlineStr">
        <is>
          <t>Indonesia</t>
        </is>
      </c>
      <c r="C641" s="19" t="n">
        <v>288315089</v>
      </c>
      <c r="D641" s="18" t="inlineStr">
        <is>
          <t>ID</t>
        </is>
      </c>
      <c r="E641" s="18" t="inlineStr">
        <is>
          <t>07</t>
        </is>
      </c>
      <c r="F641" s="20" t="n">
        <v>555308</v>
      </c>
      <c r="G641" s="18" t="n"/>
      <c r="H641" s="18" t="inlineStr">
        <is>
          <t>SOC</t>
        </is>
      </c>
      <c r="I641" s="18" t="inlineStr">
        <is>
          <t>Adisoemarmo International Airport</t>
        </is>
      </c>
      <c r="J641" s="21" t="n">
        <v>9.300000000000001</v>
      </c>
      <c r="K641" s="18" t="inlineStr">
        <is>
          <t>SOC</t>
        </is>
      </c>
      <c r="L641" s="18" t="inlineStr">
        <is>
          <t>100k +  pop + airport</t>
        </is>
      </c>
      <c r="M641" s="22" t="n">
        <v>0.604</v>
      </c>
      <c r="N641" s="22" t="n">
        <v>0</v>
      </c>
      <c r="O641" s="18" t="n"/>
      <c r="P641" s="22">
        <f>IF(O641="",(About!$B$5*M641+About!$B$6*N641)/(About!$B$5+About!$B$6),About!$B$5*M641+About!$B$6*N641+About!$B$7*O641)</f>
        <v/>
      </c>
      <c r="Q641" s="23" t="n">
        <v>-7.5561</v>
      </c>
      <c r="R641" s="23" t="n">
        <v>110.8317</v>
      </c>
    </row>
    <row r="642" ht="15" customHeight="1" s="12">
      <c r="A642" s="18" t="inlineStr">
        <is>
          <t>Ciudad del Este</t>
        </is>
      </c>
      <c r="B642" s="18" t="inlineStr">
        <is>
          <t>Paraguay</t>
        </is>
      </c>
      <c r="C642" s="19" t="n">
        <v>6109644</v>
      </c>
      <c r="D642" s="18" t="inlineStr">
        <is>
          <t>PY</t>
        </is>
      </c>
      <c r="E642" s="18" t="inlineStr">
        <is>
          <t>01</t>
        </is>
      </c>
      <c r="F642" s="20" t="n">
        <v>320782</v>
      </c>
      <c r="G642" s="18" t="n"/>
      <c r="H642" s="18" t="inlineStr">
        <is>
          <t>IGU</t>
        </is>
      </c>
      <c r="I642" s="18" t="inlineStr">
        <is>
          <t>Cataratas International Airport</t>
        </is>
      </c>
      <c r="J642" s="21" t="n">
        <v>15.4</v>
      </c>
      <c r="K642" s="18" t="inlineStr">
        <is>
          <t>AGT+IGU</t>
        </is>
      </c>
      <c r="L642" s="18" t="inlineStr">
        <is>
          <t>100k +  pop + airport</t>
        </is>
      </c>
      <c r="M642" s="22" t="n">
        <v>0.605</v>
      </c>
      <c r="N642" s="22" t="n">
        <v>0</v>
      </c>
      <c r="O642" s="18" t="n"/>
      <c r="P642" s="22">
        <f>IF(O642="",(About!$B$5*M642+About!$B$6*N642)/(About!$B$5+About!$B$6),About!$B$5*M642+About!$B$6*N642+About!$B$7*O642)</f>
        <v/>
      </c>
      <c r="Q642" s="23" t="n">
        <v>-25.5097</v>
      </c>
      <c r="R642" s="23" t="n">
        <v>-54.6111</v>
      </c>
    </row>
    <row r="643" ht="15" customHeight="1" s="12">
      <c r="A643" s="18" t="inlineStr">
        <is>
          <t>Foz do Iguaçu</t>
        </is>
      </c>
      <c r="B643" s="18" t="inlineStr">
        <is>
          <t>Brazil</t>
        </is>
      </c>
      <c r="C643" s="19" t="n">
        <v>213421037</v>
      </c>
      <c r="D643" s="18" t="inlineStr">
        <is>
          <t>BR</t>
        </is>
      </c>
      <c r="E643" s="18" t="inlineStr">
        <is>
          <t>18</t>
        </is>
      </c>
      <c r="F643" s="20" t="n">
        <v>293523</v>
      </c>
      <c r="G643" s="18" t="n"/>
      <c r="H643" s="18" t="inlineStr">
        <is>
          <t>IGU</t>
        </is>
      </c>
      <c r="I643" s="18" t="inlineStr">
        <is>
          <t>Cataratas International Airport</t>
        </is>
      </c>
      <c r="J643" s="21" t="n">
        <v>11.2</v>
      </c>
      <c r="K643" s="18" t="inlineStr">
        <is>
          <t>IGR+IGU</t>
        </is>
      </c>
      <c r="L643" s="18" t="inlineStr">
        <is>
          <t>100k +  pop + airport</t>
        </is>
      </c>
      <c r="M643" s="22" t="n">
        <v>0.605</v>
      </c>
      <c r="N643" s="22" t="n">
        <v>0</v>
      </c>
      <c r="O643" s="18" t="n"/>
      <c r="P643" s="22">
        <f>IF(O643="",(About!$B$5*M643+About!$B$6*N643)/(About!$B$5+About!$B$6),About!$B$5*M643+About!$B$6*N643+About!$B$7*O643)</f>
        <v/>
      </c>
      <c r="Q643" s="23" t="n">
        <v>-25.5478</v>
      </c>
      <c r="R643" s="23" t="n">
        <v>-54.5881</v>
      </c>
    </row>
    <row r="644" ht="15" customHeight="1" s="12">
      <c r="A644" s="18" t="inlineStr">
        <is>
          <t>Trabzon</t>
        </is>
      </c>
      <c r="B644" s="18" t="inlineStr">
        <is>
          <t>Türkiye</t>
        </is>
      </c>
      <c r="C644" s="19" t="n">
        <v>86092168</v>
      </c>
      <c r="D644" s="18" t="inlineStr">
        <is>
          <t>TR</t>
        </is>
      </c>
      <c r="E644" s="18" t="inlineStr">
        <is>
          <t>61</t>
        </is>
      </c>
      <c r="F644" s="20" t="n">
        <v>244083</v>
      </c>
      <c r="G644" s="18" t="n"/>
      <c r="H644" s="18" t="inlineStr">
        <is>
          <t>TZX</t>
        </is>
      </c>
      <c r="I644" s="18" t="inlineStr">
        <is>
          <t>Trabzon International Airport</t>
        </is>
      </c>
      <c r="J644" s="21" t="n">
        <v>5.4</v>
      </c>
      <c r="K644" s="18" t="inlineStr">
        <is>
          <t>TZX</t>
        </is>
      </c>
      <c r="L644" s="18" t="inlineStr">
        <is>
          <t>100k +  pop + airport</t>
        </is>
      </c>
      <c r="M644" s="22" t="n">
        <v>0.603</v>
      </c>
      <c r="N644" s="22" t="n">
        <v>0</v>
      </c>
      <c r="O644" s="18" t="n"/>
      <c r="P644" s="22">
        <f>IF(O644="",(About!$B$5*M644+About!$B$6*N644)/(About!$B$5+About!$B$6),About!$B$5*M644+About!$B$6*N644+About!$B$7*O644)</f>
        <v/>
      </c>
      <c r="Q644" s="23" t="n">
        <v>41.005</v>
      </c>
      <c r="R644" s="23" t="n">
        <v>39.7269</v>
      </c>
    </row>
    <row r="645" ht="15" customHeight="1" s="12">
      <c r="A645" s="18" t="inlineStr">
        <is>
          <t>Liège</t>
        </is>
      </c>
      <c r="B645" s="18" t="inlineStr">
        <is>
          <t>Belgium</t>
        </is>
      </c>
      <c r="C645" s="19" t="n">
        <v>11933850</v>
      </c>
      <c r="D645" s="18" t="inlineStr">
        <is>
          <t>BE</t>
        </is>
      </c>
      <c r="E645" s="18" t="inlineStr">
        <is>
          <t>WAL</t>
        </is>
      </c>
      <c r="F645" s="20" t="n">
        <v>182597</v>
      </c>
      <c r="G645" s="18" t="n"/>
      <c r="H645" s="18" t="inlineStr">
        <is>
          <t>LGG</t>
        </is>
      </c>
      <c r="I645" s="18" t="inlineStr">
        <is>
          <t>Liège Airport</t>
        </is>
      </c>
      <c r="J645" s="21" t="n">
        <v>8.699999999999999</v>
      </c>
      <c r="K645" s="18" t="inlineStr">
        <is>
          <t>LGG</t>
        </is>
      </c>
      <c r="L645" s="18" t="inlineStr">
        <is>
          <t>100k +  pop + airport</t>
        </is>
      </c>
      <c r="M645" s="22" t="n">
        <v>0.604</v>
      </c>
      <c r="N645" s="22" t="n">
        <v>0</v>
      </c>
      <c r="O645" s="18" t="n"/>
      <c r="P645" s="22">
        <f>IF(O645="",(About!$B$5*M645+About!$B$6*N645)/(About!$B$5+About!$B$6),About!$B$5*M645+About!$B$6*N645+About!$B$7*O645)</f>
        <v/>
      </c>
      <c r="Q645" s="23" t="n">
        <v>50.6337</v>
      </c>
      <c r="R645" s="23" t="n">
        <v>5.5675</v>
      </c>
    </row>
    <row r="646" ht="15" customHeight="1" s="12">
      <c r="A646" s="18" t="inlineStr">
        <is>
          <t>Split</t>
        </is>
      </c>
      <c r="B646" s="18" t="inlineStr">
        <is>
          <t>Croatia</t>
        </is>
      </c>
      <c r="C646" s="19" t="n">
        <v>3866233</v>
      </c>
      <c r="D646" s="18" t="inlineStr">
        <is>
          <t>HR</t>
        </is>
      </c>
      <c r="E646" s="18" t="inlineStr">
        <is>
          <t>15</t>
        </is>
      </c>
      <c r="F646" s="20" t="n">
        <v>176314</v>
      </c>
      <c r="G646" s="18" t="n"/>
      <c r="H646" s="18" t="inlineStr">
        <is>
          <t>SPU</t>
        </is>
      </c>
      <c r="I646" s="18" t="inlineStr">
        <is>
          <t>Split Saint Jerome Airport</t>
        </is>
      </c>
      <c r="J646" s="21" t="n">
        <v>11.9</v>
      </c>
      <c r="K646" s="18" t="inlineStr">
        <is>
          <t>SPU</t>
        </is>
      </c>
      <c r="L646" s="18" t="inlineStr">
        <is>
          <t>100k +  pop + airport</t>
        </is>
      </c>
      <c r="M646" s="22" t="n">
        <v>0.603</v>
      </c>
      <c r="N646" s="22" t="n">
        <v>0</v>
      </c>
      <c r="O646" s="18" t="n"/>
      <c r="P646" s="22">
        <f>IF(O646="",(About!$B$5*M646+About!$B$6*N646)/(About!$B$5+About!$B$6),About!$B$5*M646+About!$B$6*N646+About!$B$7*O646)</f>
        <v/>
      </c>
      <c r="Q646" s="23" t="n">
        <v>43.5089</v>
      </c>
      <c r="R646" s="23" t="n">
        <v>16.4392</v>
      </c>
    </row>
    <row r="647" ht="15" customHeight="1" s="12">
      <c r="A647" s="18" t="inlineStr">
        <is>
          <t>Mendoza</t>
        </is>
      </c>
      <c r="B647" s="18" t="inlineStr">
        <is>
          <t>Argentina</t>
        </is>
      </c>
      <c r="C647" s="19" t="n">
        <v>46387098</v>
      </c>
      <c r="D647" s="18" t="inlineStr">
        <is>
          <t>AR</t>
        </is>
      </c>
      <c r="E647" s="18" t="inlineStr">
        <is>
          <t>13</t>
        </is>
      </c>
      <c r="F647" s="20" t="n">
        <v>876884</v>
      </c>
      <c r="G647" s="18" t="n"/>
      <c r="H647" s="18" t="inlineStr">
        <is>
          <t>MDZ</t>
        </is>
      </c>
      <c r="I647" s="18" t="inlineStr">
        <is>
          <t>Governor Francisco Gabrielli International Airport</t>
        </is>
      </c>
      <c r="J647" s="21" t="n">
        <v>7.3</v>
      </c>
      <c r="K647" s="18" t="inlineStr">
        <is>
          <t>MDZ</t>
        </is>
      </c>
      <c r="L647" s="18" t="inlineStr">
        <is>
          <t>100k +  pop + airport</t>
        </is>
      </c>
      <c r="M647" s="22" t="n">
        <v>0.602</v>
      </c>
      <c r="N647" s="22" t="n">
        <v>0</v>
      </c>
      <c r="O647" s="18" t="n"/>
      <c r="P647" s="22">
        <f>IF(O647="",(About!$B$5*M647+About!$B$6*N647)/(About!$B$5+About!$B$6),About!$B$5*M647+About!$B$6*N647+About!$B$7*O647)</f>
        <v/>
      </c>
      <c r="Q647" s="23" t="n">
        <v>-32.8908</v>
      </c>
      <c r="R647" s="23" t="n">
        <v>-68.8272</v>
      </c>
    </row>
    <row r="648" ht="15" customHeight="1" s="12">
      <c r="A648" s="18" t="inlineStr">
        <is>
          <t>Padang</t>
        </is>
      </c>
      <c r="B648" s="18" t="inlineStr">
        <is>
          <t>Indonesia</t>
        </is>
      </c>
      <c r="C648" s="19" t="n">
        <v>288315089</v>
      </c>
      <c r="D648" s="18" t="inlineStr">
        <is>
          <t>ID</t>
        </is>
      </c>
      <c r="E648" s="18" t="inlineStr">
        <is>
          <t>24</t>
        </is>
      </c>
      <c r="F648" s="20" t="n">
        <v>840352</v>
      </c>
      <c r="G648" s="18" t="n"/>
      <c r="H648" s="18" t="inlineStr">
        <is>
          <t>PDG</t>
        </is>
      </c>
      <c r="I648" s="18" t="inlineStr">
        <is>
          <t>Minangkabau International Airport</t>
        </is>
      </c>
      <c r="J648" s="21" t="n">
        <v>19.9</v>
      </c>
      <c r="K648" s="18" t="inlineStr">
        <is>
          <t>PDG</t>
        </is>
      </c>
      <c r="L648" s="18" t="inlineStr">
        <is>
          <t>100k +  pop</t>
        </is>
      </c>
      <c r="M648" s="22" t="n">
        <v>0.602</v>
      </c>
      <c r="N648" s="22" t="n">
        <v>0</v>
      </c>
      <c r="O648" s="18" t="n"/>
      <c r="P648" s="22">
        <f>IF(O648="",(About!$B$5*M648+About!$B$6*N648)/(About!$B$5+About!$B$6),About!$B$5*M648+About!$B$6*N648+About!$B$7*O648)</f>
        <v/>
      </c>
      <c r="Q648" s="23" t="n">
        <v>-0.9492</v>
      </c>
      <c r="R648" s="23" t="n">
        <v>100.3543</v>
      </c>
    </row>
    <row r="649" ht="15" customHeight="1" s="12">
      <c r="A649" s="18" t="inlineStr">
        <is>
          <t>Haiphong</t>
        </is>
      </c>
      <c r="B649" s="18" t="inlineStr">
        <is>
          <t>Vietnam</t>
        </is>
      </c>
      <c r="C649" s="19" t="n">
        <v>102300000</v>
      </c>
      <c r="D649" s="18" t="inlineStr">
        <is>
          <t>VN</t>
        </is>
      </c>
      <c r="E649" s="18" t="inlineStr">
        <is>
          <t>13</t>
        </is>
      </c>
      <c r="F649" s="20" t="n">
        <v>602695</v>
      </c>
      <c r="G649" s="18" t="n"/>
      <c r="H649" s="18" t="inlineStr">
        <is>
          <t>HPH</t>
        </is>
      </c>
      <c r="I649" s="18" t="inlineStr">
        <is>
          <t>Cat Bi International Airport</t>
        </is>
      </c>
      <c r="J649" s="21" t="n">
        <v>6.8</v>
      </c>
      <c r="K649" s="18" t="inlineStr">
        <is>
          <t>HPH</t>
        </is>
      </c>
      <c r="L649" s="18" t="inlineStr">
        <is>
          <t>100k +  pop + airport</t>
        </is>
      </c>
      <c r="M649" s="22" t="n">
        <v>0.603</v>
      </c>
      <c r="N649" s="22" t="n">
        <v>0</v>
      </c>
      <c r="O649" s="18" t="n"/>
      <c r="P649" s="22">
        <f>IF(O649="",(About!$B$5*M649+About!$B$6*N649)/(About!$B$5+About!$B$6),About!$B$5*M649+About!$B$6*N649+About!$B$7*O649)</f>
        <v/>
      </c>
      <c r="Q649" s="23" t="n">
        <v>20.8648</v>
      </c>
      <c r="R649" s="23" t="n">
        <v>106.6834</v>
      </c>
    </row>
    <row r="650" ht="15" customHeight="1" s="12">
      <c r="A650" s="18" t="inlineStr">
        <is>
          <t>Juba</t>
        </is>
      </c>
      <c r="B650" s="18" t="inlineStr">
        <is>
          <t>South Sudan</t>
        </is>
      </c>
      <c r="C650" s="19" t="n">
        <v>15786898</v>
      </c>
      <c r="D650" s="18" t="inlineStr">
        <is>
          <t>SS</t>
        </is>
      </c>
      <c r="E650" s="18" t="inlineStr">
        <is>
          <t>11550569</t>
        </is>
      </c>
      <c r="F650" s="20" t="n">
        <v>450000</v>
      </c>
      <c r="G650" s="18" t="inlineStr">
        <is>
          <t>Yes</t>
        </is>
      </c>
      <c r="H650" s="18" t="inlineStr">
        <is>
          <t>JUB</t>
        </is>
      </c>
      <c r="I650" s="18" t="inlineStr">
        <is>
          <t>Juba International Airport</t>
        </is>
      </c>
      <c r="J650" s="21" t="n">
        <v>3.1</v>
      </c>
      <c r="K650" s="18" t="inlineStr">
        <is>
          <t>JUB</t>
        </is>
      </c>
      <c r="L650" s="18" t="inlineStr">
        <is>
          <t>100k +  pop + capital + airport</t>
        </is>
      </c>
      <c r="M650" s="22" t="n">
        <v>0.603</v>
      </c>
      <c r="N650" s="22" t="n">
        <v>0</v>
      </c>
      <c r="O650" s="18" t="n"/>
      <c r="P650" s="22">
        <f>IF(O650="",(About!$B$5*M650+About!$B$6*N650)/(About!$B$5+About!$B$6),About!$B$5*M650+About!$B$6*N650+About!$B$7*O650)</f>
        <v/>
      </c>
      <c r="Q650" s="23" t="n">
        <v>4.8517</v>
      </c>
      <c r="R650" s="23" t="n">
        <v>31.5825</v>
      </c>
    </row>
    <row r="651" ht="15" customHeight="1" s="12">
      <c r="A651" s="18" t="inlineStr">
        <is>
          <t>Bahía Blanca</t>
        </is>
      </c>
      <c r="B651" s="18" t="inlineStr">
        <is>
          <t>Argentina</t>
        </is>
      </c>
      <c r="C651" s="19" t="n">
        <v>46387098</v>
      </c>
      <c r="D651" s="18" t="inlineStr">
        <is>
          <t>AR</t>
        </is>
      </c>
      <c r="E651" s="18" t="inlineStr">
        <is>
          <t>01</t>
        </is>
      </c>
      <c r="F651" s="20" t="n">
        <v>276546</v>
      </c>
      <c r="G651" s="18" t="n"/>
      <c r="H651" s="18" t="inlineStr">
        <is>
          <t>BHI</t>
        </is>
      </c>
      <c r="I651" s="18" t="inlineStr">
        <is>
          <t>Comandante Espora Airport</t>
        </is>
      </c>
      <c r="J651" s="21" t="n">
        <v>9</v>
      </c>
      <c r="K651" s="18" t="inlineStr">
        <is>
          <t>BHI</t>
        </is>
      </c>
      <c r="L651" s="18" t="inlineStr">
        <is>
          <t>100k +  pop + airport</t>
        </is>
      </c>
      <c r="M651" s="22" t="n">
        <v>0.603</v>
      </c>
      <c r="N651" s="22" t="n">
        <v>0</v>
      </c>
      <c r="O651" s="18" t="n"/>
      <c r="P651" s="22">
        <f>IF(O651="",(About!$B$5*M651+About!$B$6*N651)/(About!$B$5+About!$B$6),About!$B$5*M651+About!$B$6*N651+About!$B$7*O651)</f>
        <v/>
      </c>
      <c r="Q651" s="23" t="n">
        <v>-38.7196</v>
      </c>
      <c r="R651" s="23" t="n">
        <v>-62.2724</v>
      </c>
    </row>
    <row r="652" ht="15" customHeight="1" s="12">
      <c r="A652" s="18" t="inlineStr">
        <is>
          <t>Vinh</t>
        </is>
      </c>
      <c r="B652" s="18" t="inlineStr">
        <is>
          <t>Vietnam</t>
        </is>
      </c>
      <c r="C652" s="19" t="n">
        <v>102300000</v>
      </c>
      <c r="D652" s="18" t="inlineStr">
        <is>
          <t>VN</t>
        </is>
      </c>
      <c r="E652" s="18" t="inlineStr">
        <is>
          <t>58</t>
        </is>
      </c>
      <c r="F652" s="20" t="n">
        <v>163759</v>
      </c>
      <c r="G652" s="18" t="n"/>
      <c r="H652" s="18" t="inlineStr">
        <is>
          <t>VII</t>
        </is>
      </c>
      <c r="I652" s="18" t="inlineStr">
        <is>
          <t>Vinh Airport</t>
        </is>
      </c>
      <c r="J652" s="21" t="n">
        <v>7.5</v>
      </c>
      <c r="K652" s="18" t="inlineStr">
        <is>
          <t>VII</t>
        </is>
      </c>
      <c r="L652" s="18" t="inlineStr">
        <is>
          <t>100k +  pop + airport</t>
        </is>
      </c>
      <c r="M652" s="22" t="n">
        <v>0.602</v>
      </c>
      <c r="N652" s="22" t="n">
        <v>0</v>
      </c>
      <c r="O652" s="18" t="n"/>
      <c r="P652" s="22">
        <f>IF(O652="",(About!$B$5*M652+About!$B$6*N652)/(About!$B$5+About!$B$6),About!$B$5*M652+About!$B$6*N652+About!$B$7*O652)</f>
        <v/>
      </c>
      <c r="Q652" s="23" t="n">
        <v>18.6734</v>
      </c>
      <c r="R652" s="23" t="n">
        <v>105.6923</v>
      </c>
    </row>
    <row r="653" ht="15" customHeight="1" s="12">
      <c r="A653" s="18" t="inlineStr">
        <is>
          <t>Comodoro Rivadavia</t>
        </is>
      </c>
      <c r="B653" s="18" t="inlineStr">
        <is>
          <t>Argentina</t>
        </is>
      </c>
      <c r="C653" s="19" t="n">
        <v>46387098</v>
      </c>
      <c r="D653" s="18" t="inlineStr">
        <is>
          <t>AR</t>
        </is>
      </c>
      <c r="E653" s="18" t="inlineStr">
        <is>
          <t>04</t>
        </is>
      </c>
      <c r="F653" s="20" t="n">
        <v>140850</v>
      </c>
      <c r="G653" s="18" t="n"/>
      <c r="H653" s="18" t="inlineStr">
        <is>
          <t>CRD</t>
        </is>
      </c>
      <c r="I653" s="18" t="inlineStr">
        <is>
          <t>General Enrique Mosconi International Airport</t>
        </is>
      </c>
      <c r="J653" s="21" t="n">
        <v>9</v>
      </c>
      <c r="K653" s="18" t="inlineStr">
        <is>
          <t>CRD</t>
        </is>
      </c>
      <c r="L653" s="18" t="inlineStr">
        <is>
          <t>100k +  pop + airport</t>
        </is>
      </c>
      <c r="M653" s="22" t="n">
        <v>0.601</v>
      </c>
      <c r="N653" s="22" t="n">
        <v>0</v>
      </c>
      <c r="O653" s="18" t="n"/>
      <c r="P653" s="22">
        <f>IF(O653="",(About!$B$5*M653+About!$B$6*N653)/(About!$B$5+About!$B$6),About!$B$5*M653+About!$B$6*N653+About!$B$7*O653)</f>
        <v/>
      </c>
      <c r="Q653" s="23" t="n">
        <v>-45.8641</v>
      </c>
      <c r="R653" s="23" t="n">
        <v>-67.4966</v>
      </c>
    </row>
    <row r="654" ht="15" customHeight="1" s="12">
      <c r="A654" s="18" t="inlineStr">
        <is>
          <t>Yên Vinh</t>
        </is>
      </c>
      <c r="B654" s="18" t="inlineStr">
        <is>
          <t>Vietnam</t>
        </is>
      </c>
      <c r="C654" s="19" t="n">
        <v>102300000</v>
      </c>
      <c r="D654" s="18" t="inlineStr">
        <is>
          <t>VN</t>
        </is>
      </c>
      <c r="E654" s="18" t="inlineStr">
        <is>
          <t>58</t>
        </is>
      </c>
      <c r="F654" s="20" t="n">
        <v>107082</v>
      </c>
      <c r="G654" s="18" t="n"/>
      <c r="H654" s="18" t="inlineStr">
        <is>
          <t>VII</t>
        </is>
      </c>
      <c r="I654" s="18" t="inlineStr">
        <is>
          <t>Vinh Airport</t>
        </is>
      </c>
      <c r="J654" s="21" t="n">
        <v>7.9</v>
      </c>
      <c r="K654" s="18" t="inlineStr">
        <is>
          <t>VII</t>
        </is>
      </c>
      <c r="L654" s="18" t="inlineStr">
        <is>
          <t>100k +  pop + airport</t>
        </is>
      </c>
      <c r="M654" s="22" t="n">
        <v>0.602</v>
      </c>
      <c r="N654" s="22" t="n">
        <v>0</v>
      </c>
      <c r="O654" s="18" t="n"/>
      <c r="P654" s="22">
        <f>IF(O654="",(About!$B$5*M654+About!$B$6*N654)/(About!$B$5+About!$B$6),About!$B$5*M654+About!$B$6*N654+About!$B$7*O654)</f>
        <v/>
      </c>
      <c r="Q654" s="23" t="n">
        <v>18.6667</v>
      </c>
      <c r="R654" s="23" t="n">
        <v>105.6667</v>
      </c>
    </row>
    <row r="655" ht="15" customHeight="1" s="12">
      <c r="A655" s="18" t="inlineStr">
        <is>
          <t>Bridgetown</t>
        </is>
      </c>
      <c r="B655" s="18" t="inlineStr">
        <is>
          <t>Barbados</t>
        </is>
      </c>
      <c r="C655" s="19" t="n">
        <v>261692</v>
      </c>
      <c r="D655" s="18" t="inlineStr">
        <is>
          <t>BB</t>
        </is>
      </c>
      <c r="E655" s="18" t="inlineStr">
        <is>
          <t>08</t>
        </is>
      </c>
      <c r="F655" s="20" t="n">
        <v>98511</v>
      </c>
      <c r="G655" s="18" t="inlineStr">
        <is>
          <t>Yes</t>
        </is>
      </c>
      <c r="H655" s="18" t="inlineStr">
        <is>
          <t>BGI</t>
        </is>
      </c>
      <c r="I655" s="18" t="inlineStr">
        <is>
          <t>Grantley Adams International Airport</t>
        </is>
      </c>
      <c r="J655" s="21" t="n">
        <v>14.5</v>
      </c>
      <c r="K655" s="18" t="inlineStr">
        <is>
          <t>BGI</t>
        </is>
      </c>
      <c r="L655" s="18" t="inlineStr">
        <is>
          <t>capital + airport</t>
        </is>
      </c>
      <c r="M655" s="22" t="n">
        <v>0.601</v>
      </c>
      <c r="N655" s="22" t="n">
        <v>0</v>
      </c>
      <c r="O655" s="18" t="n"/>
      <c r="P655" s="22">
        <f>IF(O655="",(About!$B$5*M655+About!$B$6*N655)/(About!$B$5+About!$B$6),About!$B$5*M655+About!$B$6*N655+About!$B$7*O655)</f>
        <v/>
      </c>
      <c r="Q655" s="23" t="n">
        <v>13.1073</v>
      </c>
      <c r="R655" s="23" t="n">
        <v>-59.6202</v>
      </c>
    </row>
    <row r="656" ht="15" customHeight="1" s="12">
      <c r="A656" s="18" t="inlineStr">
        <is>
          <t>Lilongwe</t>
        </is>
      </c>
      <c r="B656" s="18" t="inlineStr">
        <is>
          <t>Malawi</t>
        </is>
      </c>
      <c r="C656" s="19" t="n">
        <v>20734262</v>
      </c>
      <c r="D656" s="18" t="inlineStr">
        <is>
          <t>MW</t>
        </is>
      </c>
      <c r="E656" s="18" t="inlineStr">
        <is>
          <t>C</t>
        </is>
      </c>
      <c r="F656" s="20" t="n">
        <v>646750</v>
      </c>
      <c r="G656" s="18" t="inlineStr">
        <is>
          <t>Yes</t>
        </is>
      </c>
      <c r="H656" s="18" t="inlineStr">
        <is>
          <t>LLW</t>
        </is>
      </c>
      <c r="I656" s="18" t="inlineStr">
        <is>
          <t>Kamuzu International Airport</t>
        </is>
      </c>
      <c r="J656" s="21" t="n">
        <v>19.8</v>
      </c>
      <c r="K656" s="18" t="inlineStr">
        <is>
          <t>LLW</t>
        </is>
      </c>
      <c r="L656" s="18" t="inlineStr">
        <is>
          <t>100k +  pop + capital</t>
        </is>
      </c>
      <c r="M656" s="22" t="n">
        <v>0.6</v>
      </c>
      <c r="N656" s="22" t="n">
        <v>0</v>
      </c>
      <c r="O656" s="18" t="n"/>
      <c r="P656" s="22">
        <f>IF(O656="",(About!$B$5*M656+About!$B$6*N656)/(About!$B$5+About!$B$6),About!$B$5*M656+About!$B$6*N656+About!$B$7*O656)</f>
        <v/>
      </c>
      <c r="Q656" s="23" t="n">
        <v>-13.9669</v>
      </c>
      <c r="R656" s="23" t="n">
        <v>33.7873</v>
      </c>
    </row>
    <row r="657" ht="15" customHeight="1" s="12">
      <c r="A657" s="18" t="inlineStr">
        <is>
          <t>Colorado Springs</t>
        </is>
      </c>
      <c r="B657" s="18" t="inlineStr">
        <is>
          <t>United States</t>
        </is>
      </c>
      <c r="C657" s="19" t="n">
        <v>341784857</v>
      </c>
      <c r="D657" s="18" t="inlineStr">
        <is>
          <t>US</t>
        </is>
      </c>
      <c r="E657" s="18" t="inlineStr">
        <is>
          <t>CO</t>
        </is>
      </c>
      <c r="F657" s="20" t="n">
        <v>456568</v>
      </c>
      <c r="G657" s="18" t="n"/>
      <c r="H657" s="18" t="inlineStr">
        <is>
          <t>COS</t>
        </is>
      </c>
      <c r="I657" s="18" t="inlineStr">
        <is>
          <t>City of Colorado Springs Municipal Airport</t>
        </is>
      </c>
      <c r="J657" s="21" t="n">
        <v>10.9</v>
      </c>
      <c r="K657" s="18" t="inlineStr">
        <is>
          <t>COS</t>
        </is>
      </c>
      <c r="L657" s="18" t="inlineStr">
        <is>
          <t>100k +  pop + airport</t>
        </is>
      </c>
      <c r="M657" s="22" t="n">
        <v>0.6</v>
      </c>
      <c r="N657" s="22" t="n">
        <v>0</v>
      </c>
      <c r="O657" s="18" t="n"/>
      <c r="P657" s="22">
        <f>IF(O657="",(About!$B$5*M657+About!$B$6*N657)/(About!$B$5+About!$B$6),About!$B$5*M657+About!$B$6*N657+About!$B$7*O657)</f>
        <v/>
      </c>
      <c r="Q657" s="23" t="n">
        <v>38.8339</v>
      </c>
      <c r="R657" s="23" t="n">
        <v>-104.8214</v>
      </c>
    </row>
    <row r="658" ht="15" customHeight="1" s="12">
      <c r="A658" s="18" t="inlineStr">
        <is>
          <t>Ndola</t>
        </is>
      </c>
      <c r="B658" s="18" t="inlineStr">
        <is>
          <t>Zambia</t>
        </is>
      </c>
      <c r="C658" s="19" t="n">
        <v>19693423</v>
      </c>
      <c r="D658" s="18" t="inlineStr">
        <is>
          <t>ZM</t>
        </is>
      </c>
      <c r="E658" s="18" t="inlineStr">
        <is>
          <t>08</t>
        </is>
      </c>
      <c r="F658" s="20" t="n">
        <v>394518</v>
      </c>
      <c r="G658" s="18" t="n"/>
      <c r="H658" s="18" t="inlineStr">
        <is>
          <t>NLA</t>
        </is>
      </c>
      <c r="I658" s="18" t="inlineStr">
        <is>
          <t>Simon Mwansa Kapwepwe International Airport</t>
        </is>
      </c>
      <c r="J658" s="21" t="n">
        <v>13.1</v>
      </c>
      <c r="K658" s="18" t="inlineStr">
        <is>
          <t>NLA</t>
        </is>
      </c>
      <c r="L658" s="18" t="inlineStr">
        <is>
          <t>100k +  pop + airport</t>
        </is>
      </c>
      <c r="M658" s="22" t="n">
        <v>0.601</v>
      </c>
      <c r="N658" s="22" t="n">
        <v>0</v>
      </c>
      <c r="O658" s="18" t="n"/>
      <c r="P658" s="22">
        <f>IF(O658="",(About!$B$5*M658+About!$B$6*N658)/(About!$B$5+About!$B$6),About!$B$5*M658+About!$B$6*N658+About!$B$7*O658)</f>
        <v/>
      </c>
      <c r="Q658" s="23" t="n">
        <v>-12.9587</v>
      </c>
      <c r="R658" s="23" t="n">
        <v>28.6366</v>
      </c>
    </row>
    <row r="659" ht="15" customHeight="1" s="12">
      <c r="A659" s="18" t="inlineStr">
        <is>
          <t>Jerez de la Frontera</t>
        </is>
      </c>
      <c r="B659" s="18" t="inlineStr">
        <is>
          <t>Spain</t>
        </is>
      </c>
      <c r="C659" s="19" t="n">
        <v>49687120</v>
      </c>
      <c r="D659" s="18" t="inlineStr">
        <is>
          <t>ES</t>
        </is>
      </c>
      <c r="E659" s="18" t="inlineStr">
        <is>
          <t>51</t>
        </is>
      </c>
      <c r="F659" s="20" t="n">
        <v>207532</v>
      </c>
      <c r="G659" s="18" t="n"/>
      <c r="H659" s="18" t="inlineStr">
        <is>
          <t>XRY</t>
        </is>
      </c>
      <c r="I659" s="18" t="inlineStr">
        <is>
          <t>Jerez Airport</t>
        </is>
      </c>
      <c r="J659" s="21" t="n">
        <v>9.4</v>
      </c>
      <c r="K659" s="18" t="inlineStr">
        <is>
          <t>XRY</t>
        </is>
      </c>
      <c r="L659" s="18" t="inlineStr">
        <is>
          <t>100k +  pop + airport</t>
        </is>
      </c>
      <c r="M659" s="22" t="n">
        <v>0.599</v>
      </c>
      <c r="N659" s="22" t="n">
        <v>0</v>
      </c>
      <c r="O659" s="18" t="n"/>
      <c r="P659" s="22">
        <f>IF(O659="",(About!$B$5*M659+About!$B$6*N659)/(About!$B$5+About!$B$6),About!$B$5*M659+About!$B$6*N659+About!$B$7*O659)</f>
        <v/>
      </c>
      <c r="Q659" s="23" t="n">
        <v>36.6865</v>
      </c>
      <c r="R659" s="23" t="n">
        <v>-6.1361</v>
      </c>
    </row>
    <row r="660" ht="15" customHeight="1" s="12">
      <c r="A660" s="18" t="inlineStr">
        <is>
          <t>Mamoudzou</t>
        </is>
      </c>
      <c r="B660" s="18" t="inlineStr">
        <is>
          <t>Mayotte</t>
        </is>
      </c>
      <c r="C660" s="19" t="n">
        <v>320901</v>
      </c>
      <c r="D660" s="18" t="inlineStr">
        <is>
          <t>YT</t>
        </is>
      </c>
      <c r="E660" s="18" t="inlineStr">
        <is>
          <t>97611</t>
        </is>
      </c>
      <c r="F660" s="20" t="n">
        <v>54831</v>
      </c>
      <c r="G660" s="18" t="inlineStr">
        <is>
          <t>Yes</t>
        </is>
      </c>
      <c r="H660" s="18" t="inlineStr">
        <is>
          <t>DZA</t>
        </is>
      </c>
      <c r="I660" s="18" t="inlineStr">
        <is>
          <t>Dzaoudzi Pamandzi International Airport</t>
        </is>
      </c>
      <c r="J660" s="21" t="n">
        <v>6.5</v>
      </c>
      <c r="K660" s="18" t="inlineStr">
        <is>
          <t>DZA</t>
        </is>
      </c>
      <c r="L660" s="18" t="inlineStr">
        <is>
          <t>capital + airport</t>
        </is>
      </c>
      <c r="M660" s="22" t="n">
        <v>0.6</v>
      </c>
      <c r="N660" s="22" t="n">
        <v>0</v>
      </c>
      <c r="O660" s="18" t="n"/>
      <c r="P660" s="22">
        <f>IF(O660="",(About!$B$5*M660+About!$B$6*N660)/(About!$B$5+About!$B$6),About!$B$5*M660+About!$B$6*N660+About!$B$7*O660)</f>
        <v/>
      </c>
      <c r="Q660" s="23" t="n">
        <v>-12.7823</v>
      </c>
      <c r="R660" s="23" t="n">
        <v>45.2288</v>
      </c>
    </row>
    <row r="661" ht="15" customHeight="1" s="12">
      <c r="A661" s="18" t="inlineStr">
        <is>
          <t>Bandung</t>
        </is>
      </c>
      <c r="B661" s="18" t="inlineStr">
        <is>
          <t>Indonesia</t>
        </is>
      </c>
      <c r="C661" s="19" t="n">
        <v>288315089</v>
      </c>
      <c r="D661" s="18" t="inlineStr">
        <is>
          <t>ID</t>
        </is>
      </c>
      <c r="E661" s="18" t="inlineStr">
        <is>
          <t>30</t>
        </is>
      </c>
      <c r="F661" s="20" t="n">
        <v>1699719</v>
      </c>
      <c r="G661" s="18" t="n"/>
      <c r="H661" s="18" t="inlineStr">
        <is>
          <t>BDO</t>
        </is>
      </c>
      <c r="I661" s="18" t="inlineStr">
        <is>
          <t>Husein Sastranegara International Airport</t>
        </is>
      </c>
      <c r="J661" s="21" t="n">
        <v>4.2</v>
      </c>
      <c r="K661" s="18" t="inlineStr">
        <is>
          <t>BDO</t>
        </is>
      </c>
      <c r="L661" s="18" t="inlineStr">
        <is>
          <t>100k +  pop + airport</t>
        </is>
      </c>
      <c r="M661" s="22" t="n">
        <v>0.598</v>
      </c>
      <c r="N661" s="22" t="n">
        <v>0</v>
      </c>
      <c r="O661" s="18" t="n"/>
      <c r="P661" s="22">
        <f>IF(O661="",(About!$B$5*M661+About!$B$6*N661)/(About!$B$5+About!$B$6),About!$B$5*M661+About!$B$6*N661+About!$B$7*O661)</f>
        <v/>
      </c>
      <c r="Q661" s="23" t="n">
        <v>-6.9222</v>
      </c>
      <c r="R661" s="23" t="n">
        <v>107.6069</v>
      </c>
    </row>
    <row r="662" ht="15" customHeight="1" s="12">
      <c r="A662" s="18" t="inlineStr">
        <is>
          <t>Santiago de los Caballeros</t>
        </is>
      </c>
      <c r="B662" s="18" t="inlineStr">
        <is>
          <t>Dominican Republic</t>
        </is>
      </c>
      <c r="C662" s="19" t="n">
        <v>10771504</v>
      </c>
      <c r="D662" s="18" t="inlineStr">
        <is>
          <t>DO</t>
        </is>
      </c>
      <c r="E662" s="18" t="inlineStr">
        <is>
          <t>25</t>
        </is>
      </c>
      <c r="F662" s="20" t="n">
        <v>1200000</v>
      </c>
      <c r="G662" s="18" t="n"/>
      <c r="H662" s="18" t="inlineStr">
        <is>
          <t>STI</t>
        </is>
      </c>
      <c r="I662" s="18" t="inlineStr">
        <is>
          <t>Cibao International Airport</t>
        </is>
      </c>
      <c r="J662" s="21" t="n">
        <v>11.1</v>
      </c>
      <c r="K662" s="18" t="inlineStr">
        <is>
          <t>STI</t>
        </is>
      </c>
      <c r="L662" s="18" t="inlineStr">
        <is>
          <t>100k +  pop</t>
        </is>
      </c>
      <c r="M662" s="22" t="n">
        <v>0.598</v>
      </c>
      <c r="N662" s="22" t="n">
        <v>0</v>
      </c>
      <c r="O662" s="18" t="n"/>
      <c r="P662" s="22">
        <f>IF(O662="",(About!$B$5*M662+About!$B$6*N662)/(About!$B$5+About!$B$6),About!$B$5*M662+About!$B$6*N662+About!$B$7*O662)</f>
        <v/>
      </c>
      <c r="Q662" s="23" t="n">
        <v>19.4517</v>
      </c>
      <c r="R662" s="23" t="n">
        <v>-70.697</v>
      </c>
    </row>
    <row r="663" ht="15" customHeight="1" s="12">
      <c r="A663" s="18" t="inlineStr">
        <is>
          <t>Kumamoto</t>
        </is>
      </c>
      <c r="B663" s="18" t="inlineStr">
        <is>
          <t>Japan</t>
        </is>
      </c>
      <c r="C663" s="19" t="n">
        <v>122810000</v>
      </c>
      <c r="D663" s="18" t="inlineStr">
        <is>
          <t>JP</t>
        </is>
      </c>
      <c r="E663" s="18" t="inlineStr">
        <is>
          <t>21</t>
        </is>
      </c>
      <c r="F663" s="20" t="n">
        <v>680423</v>
      </c>
      <c r="G663" s="18" t="n"/>
      <c r="H663" s="18" t="inlineStr">
        <is>
          <t>KMJ</t>
        </is>
      </c>
      <c r="I663" s="18" t="inlineStr">
        <is>
          <t>Kumamoto Airport</t>
        </is>
      </c>
      <c r="J663" s="21" t="n">
        <v>15.6</v>
      </c>
      <c r="K663" s="18" t="inlineStr">
        <is>
          <t>KMJ</t>
        </is>
      </c>
      <c r="L663" s="18" t="inlineStr">
        <is>
          <t>100k +  pop + airport</t>
        </is>
      </c>
      <c r="M663" s="22" t="n">
        <v>0.598</v>
      </c>
      <c r="N663" s="22" t="n">
        <v>0</v>
      </c>
      <c r="O663" s="18" t="n"/>
      <c r="P663" s="22">
        <f>IF(O663="",(About!$B$5*M663+About!$B$6*N663)/(About!$B$5+About!$B$6),About!$B$5*M663+About!$B$6*N663+About!$B$7*O663)</f>
        <v/>
      </c>
      <c r="Q663" s="23" t="n">
        <v>32.8059</v>
      </c>
      <c r="R663" s="23" t="n">
        <v>130.6918</v>
      </c>
    </row>
    <row r="664" ht="15" customHeight="1" s="12">
      <c r="A664" s="18" t="inlineStr">
        <is>
          <t>Porto Seguro</t>
        </is>
      </c>
      <c r="B664" s="18" t="inlineStr">
        <is>
          <t>Brazil</t>
        </is>
      </c>
      <c r="C664" s="19" t="n">
        <v>213421037</v>
      </c>
      <c r="D664" s="18" t="inlineStr">
        <is>
          <t>BR</t>
        </is>
      </c>
      <c r="E664" s="18" t="inlineStr">
        <is>
          <t>05</t>
        </is>
      </c>
      <c r="F664" s="20" t="n">
        <v>123173</v>
      </c>
      <c r="G664" s="18" t="n"/>
      <c r="H664" s="18" t="inlineStr">
        <is>
          <t>BPS</t>
        </is>
      </c>
      <c r="I664" s="18" t="inlineStr">
        <is>
          <t>Porto Seguro International Airport</t>
        </is>
      </c>
      <c r="J664" s="21" t="n">
        <v>2.1</v>
      </c>
      <c r="K664" s="18" t="inlineStr">
        <is>
          <t>BPS</t>
        </is>
      </c>
      <c r="L664" s="18" t="inlineStr">
        <is>
          <t>100k +  pop + airport</t>
        </is>
      </c>
      <c r="M664" s="22" t="n">
        <v>0.598</v>
      </c>
      <c r="N664" s="22" t="n">
        <v>0</v>
      </c>
      <c r="O664" s="18" t="n"/>
      <c r="P664" s="22">
        <f>IF(O664="",(About!$B$5*M664+About!$B$6*N664)/(About!$B$5+About!$B$6),About!$B$5*M664+About!$B$6*N664+About!$B$7*O664)</f>
        <v/>
      </c>
      <c r="Q664" s="23" t="n">
        <v>-16.4497</v>
      </c>
      <c r="R664" s="23" t="n">
        <v>-39.0647</v>
      </c>
    </row>
    <row r="665" ht="15" customHeight="1" s="12">
      <c r="A665" s="18" t="inlineStr">
        <is>
          <t>Saint Peter Port</t>
        </is>
      </c>
      <c r="B665" s="18" t="inlineStr">
        <is>
          <t>Guernsey</t>
        </is>
      </c>
      <c r="C665" s="19" t="n">
        <v>64781</v>
      </c>
      <c r="D665" s="18" t="inlineStr">
        <is>
          <t>GG</t>
        </is>
      </c>
      <c r="E665" s="18" t="inlineStr">
        <is>
          <t>6417228</t>
        </is>
      </c>
      <c r="F665" s="20" t="n">
        <v>16488</v>
      </c>
      <c r="G665" s="18" t="inlineStr">
        <is>
          <t>Yes</t>
        </is>
      </c>
      <c r="H665" s="18" t="inlineStr">
        <is>
          <t>GCI</t>
        </is>
      </c>
      <c r="I665" s="18" t="inlineStr">
        <is>
          <t>Guernsey Airport</t>
        </is>
      </c>
      <c r="J665" s="21" t="n">
        <v>5.6</v>
      </c>
      <c r="K665" s="18" t="inlineStr">
        <is>
          <t>GCI</t>
        </is>
      </c>
      <c r="L665" s="18" t="inlineStr">
        <is>
          <t>capital</t>
        </is>
      </c>
      <c r="M665" s="22" t="n">
        <v>0.599</v>
      </c>
      <c r="N665" s="22" t="n">
        <v>0</v>
      </c>
      <c r="O665" s="18" t="n"/>
      <c r="P665" s="22">
        <f>IF(O665="",(About!$B$5*M665+About!$B$6*N665)/(About!$B$5+About!$B$6),About!$B$5*M665+About!$B$6*N665+About!$B$7*O665)</f>
        <v/>
      </c>
      <c r="Q665" s="23" t="n">
        <v>49.4598</v>
      </c>
      <c r="R665" s="23" t="n">
        <v>-2.5353</v>
      </c>
    </row>
    <row r="666" ht="15" customHeight="1" s="12">
      <c r="A666" s="18" t="inlineStr">
        <is>
          <t>Lviv</t>
        </is>
      </c>
      <c r="B666" s="18" t="inlineStr">
        <is>
          <t>Ukraine</t>
        </is>
      </c>
      <c r="C666" s="19" t="n">
        <v>28700000</v>
      </c>
      <c r="D666" s="18" t="inlineStr">
        <is>
          <t>UA</t>
        </is>
      </c>
      <c r="E666" s="18" t="inlineStr">
        <is>
          <t>15</t>
        </is>
      </c>
      <c r="F666" s="20" t="n">
        <v>717803</v>
      </c>
      <c r="G666" s="18" t="n"/>
      <c r="H666" s="18" t="inlineStr">
        <is>
          <t>LWO</t>
        </is>
      </c>
      <c r="I666" s="18" t="inlineStr">
        <is>
          <t>Lviv International Airport</t>
        </is>
      </c>
      <c r="J666" s="21" t="n">
        <v>5.6</v>
      </c>
      <c r="K666" s="18" t="inlineStr">
        <is>
          <t>LWO</t>
        </is>
      </c>
      <c r="L666" s="18" t="inlineStr">
        <is>
          <t>100k +  pop + airport</t>
        </is>
      </c>
      <c r="M666" s="22" t="n">
        <v>0.595</v>
      </c>
      <c r="N666" s="22" t="n">
        <v>0</v>
      </c>
      <c r="O666" s="18" t="n"/>
      <c r="P666" s="22">
        <f>IF(O666="",(About!$B$5*M666+About!$B$6*N666)/(About!$B$5+About!$B$6),About!$B$5*M666+About!$B$6*N666+About!$B$7*O666)</f>
        <v/>
      </c>
      <c r="Q666" s="23" t="n">
        <v>49.8383</v>
      </c>
      <c r="R666" s="23" t="n">
        <v>24.0232</v>
      </c>
    </row>
    <row r="667" ht="15" customHeight="1" s="12">
      <c r="A667" s="18" t="inlineStr">
        <is>
          <t>Antofagasta</t>
        </is>
      </c>
      <c r="B667" s="18" t="inlineStr">
        <is>
          <t>Chile</t>
        </is>
      </c>
      <c r="C667" s="19" t="n">
        <v>20206953</v>
      </c>
      <c r="D667" s="18" t="inlineStr">
        <is>
          <t>CL</t>
        </is>
      </c>
      <c r="E667" s="18" t="inlineStr">
        <is>
          <t>03</t>
        </is>
      </c>
      <c r="F667" s="20" t="n">
        <v>309832</v>
      </c>
      <c r="G667" s="18" t="n"/>
      <c r="H667" s="18" t="inlineStr">
        <is>
          <t>ANF</t>
        </is>
      </c>
      <c r="I667" s="18" t="inlineStr">
        <is>
          <t>Andrés Sabella Gálvez International Airport</t>
        </is>
      </c>
      <c r="J667" s="21" t="n">
        <v>23.6</v>
      </c>
      <c r="K667" s="18" t="inlineStr">
        <is>
          <t>ANF</t>
        </is>
      </c>
      <c r="L667" s="18" t="inlineStr">
        <is>
          <t>100k +  pop + airport</t>
        </is>
      </c>
      <c r="M667" s="22" t="n">
        <v>0.597</v>
      </c>
      <c r="N667" s="22" t="n">
        <v>0</v>
      </c>
      <c r="O667" s="18" t="n"/>
      <c r="P667" s="22">
        <f>IF(O667="",(About!$B$5*M667+About!$B$6*N667)/(About!$B$5+About!$B$6),About!$B$5*M667+About!$B$6*N667+About!$B$7*O667)</f>
        <v/>
      </c>
      <c r="Q667" s="23" t="n">
        <v>-23.6524</v>
      </c>
      <c r="R667" s="23" t="n">
        <v>-70.3954</v>
      </c>
    </row>
    <row r="668" ht="15" customHeight="1" s="12">
      <c r="A668" s="18" t="inlineStr">
        <is>
          <t>Mannheim</t>
        </is>
      </c>
      <c r="B668" s="18" t="inlineStr">
        <is>
          <t>Germany</t>
        </is>
      </c>
      <c r="C668" s="19" t="n">
        <v>83497147</v>
      </c>
      <c r="D668" s="18" t="inlineStr">
        <is>
          <t>DE</t>
        </is>
      </c>
      <c r="E668" s="18" t="inlineStr">
        <is>
          <t>01</t>
        </is>
      </c>
      <c r="F668" s="20" t="n">
        <v>307960</v>
      </c>
      <c r="G668" s="18" t="n"/>
      <c r="H668" s="18" t="inlineStr">
        <is>
          <t>MHG</t>
        </is>
      </c>
      <c r="I668" s="18" t="inlineStr">
        <is>
          <t>Mannheim-City Airport</t>
        </is>
      </c>
      <c r="J668" s="21" t="n">
        <v>3.9</v>
      </c>
      <c r="K668" s="18" t="inlineStr">
        <is>
          <t>MHG</t>
        </is>
      </c>
      <c r="L668" s="18" t="inlineStr">
        <is>
          <t>100k +  pop + airport</t>
        </is>
      </c>
      <c r="M668" s="22" t="n">
        <v>0.596</v>
      </c>
      <c r="N668" s="22" t="n">
        <v>0</v>
      </c>
      <c r="O668" s="18" t="n"/>
      <c r="P668" s="22">
        <f>IF(O668="",(About!$B$5*M668+About!$B$6*N668)/(About!$B$5+About!$B$6),About!$B$5*M668+About!$B$6*N668+About!$B$7*O668)</f>
        <v/>
      </c>
      <c r="Q668" s="23" t="n">
        <v>49.4891</v>
      </c>
      <c r="R668" s="23" t="n">
        <v>8.466900000000001</v>
      </c>
    </row>
    <row r="669" ht="15" customHeight="1" s="12">
      <c r="A669" s="18" t="inlineStr">
        <is>
          <t>Tirupati</t>
        </is>
      </c>
      <c r="B669" s="18" t="inlineStr">
        <is>
          <t>India</t>
        </is>
      </c>
      <c r="C669" s="19" t="n">
        <v>1417492000</v>
      </c>
      <c r="D669" s="18" t="inlineStr">
        <is>
          <t>IN</t>
        </is>
      </c>
      <c r="E669" s="18" t="inlineStr">
        <is>
          <t>02</t>
        </is>
      </c>
      <c r="F669" s="20" t="n">
        <v>250821</v>
      </c>
      <c r="G669" s="18" t="n"/>
      <c r="H669" s="18" t="inlineStr">
        <is>
          <t>TIR</t>
        </is>
      </c>
      <c r="I669" s="18" t="inlineStr">
        <is>
          <t>Tirupati International Airport</t>
        </is>
      </c>
      <c r="J669" s="21" t="n">
        <v>13</v>
      </c>
      <c r="K669" s="18" t="inlineStr">
        <is>
          <t>TIR</t>
        </is>
      </c>
      <c r="L669" s="18" t="inlineStr">
        <is>
          <t>100k +  pop + airport</t>
        </is>
      </c>
      <c r="M669" s="22" t="n">
        <v>0.595</v>
      </c>
      <c r="N669" s="22" t="n">
        <v>0</v>
      </c>
      <c r="O669" s="18" t="n"/>
      <c r="P669" s="22">
        <f>IF(O669="",(About!$B$5*M669+About!$B$6*N669)/(About!$B$5+About!$B$6),About!$B$5*M669+About!$B$6*N669+About!$B$7*O669)</f>
        <v/>
      </c>
      <c r="Q669" s="23" t="n">
        <v>13.6355</v>
      </c>
      <c r="R669" s="23" t="n">
        <v>79.4199</v>
      </c>
    </row>
    <row r="670" ht="15" customHeight="1" s="12">
      <c r="A670" s="18" t="inlineStr">
        <is>
          <t>Ludwigshafen am Rhein</t>
        </is>
      </c>
      <c r="B670" s="18" t="inlineStr">
        <is>
          <t>Germany</t>
        </is>
      </c>
      <c r="C670" s="19" t="n">
        <v>83497147</v>
      </c>
      <c r="D670" s="18" t="inlineStr">
        <is>
          <t>DE</t>
        </is>
      </c>
      <c r="E670" s="18" t="inlineStr">
        <is>
          <t>08</t>
        </is>
      </c>
      <c r="F670" s="20" t="n">
        <v>163196</v>
      </c>
      <c r="G670" s="18" t="n"/>
      <c r="H670" s="18" t="inlineStr">
        <is>
          <t>MHG</t>
        </is>
      </c>
      <c r="I670" s="18" t="inlineStr">
        <is>
          <t>Mannheim-City Airport</t>
        </is>
      </c>
      <c r="J670" s="21" t="n">
        <v>5</v>
      </c>
      <c r="K670" s="18" t="inlineStr">
        <is>
          <t>MHG</t>
        </is>
      </c>
      <c r="L670" s="18" t="inlineStr">
        <is>
          <t>100k +  pop + airport</t>
        </is>
      </c>
      <c r="M670" s="22" t="n">
        <v>0.596</v>
      </c>
      <c r="N670" s="22" t="n">
        <v>0</v>
      </c>
      <c r="O670" s="18" t="n"/>
      <c r="P670" s="22">
        <f>IF(O670="",(About!$B$5*M670+About!$B$6*N670)/(About!$B$5+About!$B$6),About!$B$5*M670+About!$B$6*N670+About!$B$7*O670)</f>
        <v/>
      </c>
      <c r="Q670" s="23" t="n">
        <v>49.4812</v>
      </c>
      <c r="R670" s="23" t="n">
        <v>8.446400000000001</v>
      </c>
    </row>
    <row r="671" ht="15" customHeight="1" s="12">
      <c r="A671" s="18" t="inlineStr">
        <is>
          <t>Heidelberg</t>
        </is>
      </c>
      <c r="B671" s="18" t="inlineStr">
        <is>
          <t>Germany</t>
        </is>
      </c>
      <c r="C671" s="19" t="n">
        <v>83497147</v>
      </c>
      <c r="D671" s="18" t="inlineStr">
        <is>
          <t>DE</t>
        </is>
      </c>
      <c r="E671" s="18" t="inlineStr">
        <is>
          <t>01</t>
        </is>
      </c>
      <c r="F671" s="20" t="n">
        <v>143345</v>
      </c>
      <c r="G671" s="18" t="n"/>
      <c r="H671" s="18" t="inlineStr">
        <is>
          <t>MHG</t>
        </is>
      </c>
      <c r="I671" s="18" t="inlineStr">
        <is>
          <t>Mannheim-City Airport</t>
        </is>
      </c>
      <c r="J671" s="21" t="n">
        <v>14.7</v>
      </c>
      <c r="K671" s="18" t="inlineStr">
        <is>
          <t>MHG</t>
        </is>
      </c>
      <c r="L671" s="18" t="inlineStr">
        <is>
          <t>100k +  pop</t>
        </is>
      </c>
      <c r="M671" s="22" t="n">
        <v>0.596</v>
      </c>
      <c r="N671" s="22" t="n">
        <v>0</v>
      </c>
      <c r="O671" s="18" t="n"/>
      <c r="P671" s="22">
        <f>IF(O671="",(About!$B$5*M671+About!$B$6*N671)/(About!$B$5+About!$B$6),About!$B$5*M671+About!$B$6*N671+About!$B$7*O671)</f>
        <v/>
      </c>
      <c r="Q671" s="23" t="n">
        <v>49.4077</v>
      </c>
      <c r="R671" s="23" t="n">
        <v>8.690799999999999</v>
      </c>
    </row>
    <row r="672" ht="15" customHeight="1" s="12">
      <c r="A672" s="18" t="inlineStr">
        <is>
          <t>Bucaramanga</t>
        </is>
      </c>
      <c r="B672" s="18" t="inlineStr">
        <is>
          <t>Colombia</t>
        </is>
      </c>
      <c r="C672" s="19" t="n">
        <v>53057212</v>
      </c>
      <c r="D672" s="18" t="inlineStr">
        <is>
          <t>CO</t>
        </is>
      </c>
      <c r="E672" s="18" t="inlineStr">
        <is>
          <t>26</t>
        </is>
      </c>
      <c r="F672" s="20" t="n">
        <v>571820</v>
      </c>
      <c r="G672" s="18" t="n"/>
      <c r="H672" s="18" t="inlineStr">
        <is>
          <t>BGA</t>
        </is>
      </c>
      <c r="I672" s="18" t="inlineStr">
        <is>
          <t>Palonegro Airport</t>
        </is>
      </c>
      <c r="J672" s="21" t="n">
        <v>7.2</v>
      </c>
      <c r="K672" s="18" t="inlineStr">
        <is>
          <t>BGA</t>
        </is>
      </c>
      <c r="L672" s="18" t="inlineStr">
        <is>
          <t>100k +  pop + airport</t>
        </is>
      </c>
      <c r="M672" s="22" t="n">
        <v>0.594</v>
      </c>
      <c r="N672" s="22" t="n">
        <v>0</v>
      </c>
      <c r="O672" s="18" t="n"/>
      <c r="P672" s="22">
        <f>IF(O672="",(About!$B$5*M672+About!$B$6*N672)/(About!$B$5+About!$B$6),About!$B$5*M672+About!$B$6*N672+About!$B$7*O672)</f>
        <v/>
      </c>
      <c r="Q672" s="23" t="n">
        <v>7.1254</v>
      </c>
      <c r="R672" s="23" t="n">
        <v>-73.1198</v>
      </c>
    </row>
    <row r="673" ht="15" customHeight="1" s="12">
      <c r="A673" s="18" t="inlineStr">
        <is>
          <t>Floridablanca</t>
        </is>
      </c>
      <c r="B673" s="18" t="inlineStr">
        <is>
          <t>Colombia</t>
        </is>
      </c>
      <c r="C673" s="19" t="n">
        <v>53057212</v>
      </c>
      <c r="D673" s="18" t="inlineStr">
        <is>
          <t>CO</t>
        </is>
      </c>
      <c r="E673" s="18" t="inlineStr">
        <is>
          <t>26</t>
        </is>
      </c>
      <c r="F673" s="20" t="n">
        <v>252267</v>
      </c>
      <c r="G673" s="18" t="n"/>
      <c r="H673" s="18" t="inlineStr">
        <is>
          <t>BGA</t>
        </is>
      </c>
      <c r="I673" s="18" t="inlineStr">
        <is>
          <t>Palonegro Airport</t>
        </is>
      </c>
      <c r="J673" s="21" t="n">
        <v>13</v>
      </c>
      <c r="K673" s="18" t="inlineStr">
        <is>
          <t>BGA</t>
        </is>
      </c>
      <c r="L673" s="18" t="inlineStr">
        <is>
          <t>100k +  pop</t>
        </is>
      </c>
      <c r="M673" s="22" t="n">
        <v>0.594</v>
      </c>
      <c r="N673" s="22" t="n">
        <v>0</v>
      </c>
      <c r="O673" s="18" t="n"/>
      <c r="P673" s="22">
        <f>IF(O673="",(About!$B$5*M673+About!$B$6*N673)/(About!$B$5+About!$B$6),About!$B$5*M673+About!$B$6*N673+About!$B$7*O673)</f>
        <v/>
      </c>
      <c r="Q673" s="23" t="n">
        <v>7.0622</v>
      </c>
      <c r="R673" s="23" t="n">
        <v>-73.0864</v>
      </c>
    </row>
    <row r="674" ht="15" customHeight="1" s="12">
      <c r="A674" s="18" t="inlineStr">
        <is>
          <t>Eldoret</t>
        </is>
      </c>
      <c r="B674" s="18" t="inlineStr">
        <is>
          <t>Kenya</t>
        </is>
      </c>
      <c r="C674" s="19" t="n">
        <v>53330978</v>
      </c>
      <c r="D674" s="18" t="inlineStr">
        <is>
          <t>KE</t>
        </is>
      </c>
      <c r="E674" s="18" t="inlineStr">
        <is>
          <t>52</t>
        </is>
      </c>
      <c r="F674" s="20" t="n">
        <v>218446</v>
      </c>
      <c r="G674" s="18" t="n"/>
      <c r="H674" s="18" t="inlineStr">
        <is>
          <t>EDL</t>
        </is>
      </c>
      <c r="I674" s="18" t="inlineStr">
        <is>
          <t>Eldoret International Airport</t>
        </is>
      </c>
      <c r="J674" s="21" t="n">
        <v>13.3</v>
      </c>
      <c r="K674" s="18" t="inlineStr">
        <is>
          <t>EDL</t>
        </is>
      </c>
      <c r="L674" s="18" t="inlineStr">
        <is>
          <t>100k +  pop + airport</t>
        </is>
      </c>
      <c r="M674" s="22" t="n">
        <v>0.594</v>
      </c>
      <c r="N674" s="22" t="n">
        <v>0</v>
      </c>
      <c r="O674" s="18" t="n"/>
      <c r="P674" s="22">
        <f>IF(O674="",(About!$B$5*M674+About!$B$6*N674)/(About!$B$5+About!$B$6),About!$B$5*M674+About!$B$6*N674+About!$B$7*O674)</f>
        <v/>
      </c>
      <c r="Q674" s="23" t="n">
        <v>0.5204</v>
      </c>
      <c r="R674" s="23" t="n">
        <v>35.2699</v>
      </c>
    </row>
    <row r="675" ht="15" customHeight="1" s="12">
      <c r="A675" s="18" t="inlineStr">
        <is>
          <t>Erfurt</t>
        </is>
      </c>
      <c r="B675" s="18" t="inlineStr">
        <is>
          <t>Germany</t>
        </is>
      </c>
      <c r="C675" s="19" t="n">
        <v>83497147</v>
      </c>
      <c r="D675" s="18" t="inlineStr">
        <is>
          <t>DE</t>
        </is>
      </c>
      <c r="E675" s="18" t="inlineStr">
        <is>
          <t>15</t>
        </is>
      </c>
      <c r="F675" s="20" t="n">
        <v>203254</v>
      </c>
      <c r="G675" s="18" t="n"/>
      <c r="H675" s="18" t="inlineStr">
        <is>
          <t>ERF</t>
        </is>
      </c>
      <c r="I675" s="18" t="inlineStr">
        <is>
          <t>Erfurt-Weimar Airport</t>
        </is>
      </c>
      <c r="J675" s="21" t="n">
        <v>5</v>
      </c>
      <c r="K675" s="18" t="inlineStr">
        <is>
          <t>ERF</t>
        </is>
      </c>
      <c r="L675" s="18" t="inlineStr">
        <is>
          <t>100k +  pop + airport</t>
        </is>
      </c>
      <c r="M675" s="22" t="n">
        <v>0.595</v>
      </c>
      <c r="N675" s="22" t="n">
        <v>0</v>
      </c>
      <c r="O675" s="18" t="n"/>
      <c r="P675" s="22">
        <f>IF(O675="",(About!$B$5*M675+About!$B$6*N675)/(About!$B$5+About!$B$6),About!$B$5*M675+About!$B$6*N675+About!$B$7*O675)</f>
        <v/>
      </c>
      <c r="Q675" s="23" t="n">
        <v>50.9787</v>
      </c>
      <c r="R675" s="23" t="n">
        <v>11.0328</v>
      </c>
    </row>
    <row r="676" ht="15" customHeight="1" s="12">
      <c r="A676" s="18" t="inlineStr">
        <is>
          <t>Girón</t>
        </is>
      </c>
      <c r="B676" s="18" t="inlineStr">
        <is>
          <t>Colombia</t>
        </is>
      </c>
      <c r="C676" s="19" t="n">
        <v>53057212</v>
      </c>
      <c r="D676" s="18" t="inlineStr">
        <is>
          <t>CO</t>
        </is>
      </c>
      <c r="E676" s="18" t="inlineStr">
        <is>
          <t>26</t>
        </is>
      </c>
      <c r="F676" s="20" t="n">
        <v>108466</v>
      </c>
      <c r="G676" s="18" t="n"/>
      <c r="H676" s="18" t="inlineStr">
        <is>
          <t>BGA</t>
        </is>
      </c>
      <c r="I676" s="18" t="inlineStr">
        <is>
          <t>Palonegro Airport</t>
        </is>
      </c>
      <c r="J676" s="21" t="n">
        <v>6.7</v>
      </c>
      <c r="K676" s="18" t="inlineStr">
        <is>
          <t>BGA</t>
        </is>
      </c>
      <c r="L676" s="18" t="inlineStr">
        <is>
          <t>100k +  pop + airport</t>
        </is>
      </c>
      <c r="M676" s="22" t="n">
        <v>0.594</v>
      </c>
      <c r="N676" s="22" t="n">
        <v>0</v>
      </c>
      <c r="O676" s="18" t="n"/>
      <c r="P676" s="22">
        <f>IF(O676="",(About!$B$5*M676+About!$B$6*N676)/(About!$B$5+About!$B$6),About!$B$5*M676+About!$B$6*N676+About!$B$7*O676)</f>
        <v/>
      </c>
      <c r="Q676" s="23" t="n">
        <v>7.0682</v>
      </c>
      <c r="R676" s="23" t="n">
        <v>-73.1698</v>
      </c>
    </row>
    <row r="677" ht="15" customHeight="1" s="12">
      <c r="A677" s="18" t="inlineStr">
        <is>
          <t>Pohang</t>
        </is>
      </c>
      <c r="B677" s="18" t="inlineStr">
        <is>
          <t>South Korea</t>
        </is>
      </c>
      <c r="C677" s="19" t="n">
        <v>51111158</v>
      </c>
      <c r="D677" s="18" t="inlineStr">
        <is>
          <t>KR</t>
        </is>
      </c>
      <c r="E677" s="18" t="inlineStr">
        <is>
          <t>14</t>
        </is>
      </c>
      <c r="F677" s="20" t="n">
        <v>500000</v>
      </c>
      <c r="G677" s="18" t="n"/>
      <c r="H677" s="18" t="inlineStr">
        <is>
          <t>KPO</t>
        </is>
      </c>
      <c r="I677" s="18" t="inlineStr">
        <is>
          <t>Pohang Airport (G-815/K-3)</t>
        </is>
      </c>
      <c r="J677" s="21" t="n">
        <v>6.8</v>
      </c>
      <c r="K677" s="18" t="inlineStr">
        <is>
          <t>KPO</t>
        </is>
      </c>
      <c r="L677" s="18" t="inlineStr">
        <is>
          <t>100k +  pop + airport</t>
        </is>
      </c>
      <c r="M677" s="22" t="n">
        <v>0.591</v>
      </c>
      <c r="N677" s="22" t="n">
        <v>0</v>
      </c>
      <c r="O677" s="18" t="n"/>
      <c r="P677" s="22">
        <f>IF(O677="",(About!$B$5*M677+About!$B$6*N677)/(About!$B$5+About!$B$6),About!$B$5*M677+About!$B$6*N677+About!$B$7*O677)</f>
        <v/>
      </c>
      <c r="Q677" s="23" t="n">
        <v>36.0292</v>
      </c>
      <c r="R677" s="23" t="n">
        <v>129.3648</v>
      </c>
    </row>
    <row r="678" ht="15" customHeight="1" s="12">
      <c r="A678" s="18" t="inlineStr">
        <is>
          <t>Montpellier</t>
        </is>
      </c>
      <c r="B678" s="18" t="inlineStr">
        <is>
          <t>France</t>
        </is>
      </c>
      <c r="C678" s="19" t="n">
        <v>69081996</v>
      </c>
      <c r="D678" s="18" t="inlineStr">
        <is>
          <t>FR</t>
        </is>
      </c>
      <c r="E678" s="18" t="inlineStr">
        <is>
          <t>76</t>
        </is>
      </c>
      <c r="F678" s="20" t="n">
        <v>248252</v>
      </c>
      <c r="G678" s="18" t="n"/>
      <c r="H678" s="18" t="inlineStr">
        <is>
          <t>MPL</t>
        </is>
      </c>
      <c r="I678" s="18" t="inlineStr">
        <is>
          <t>Montpellier-Méditerranée Airport</t>
        </is>
      </c>
      <c r="J678" s="21" t="n">
        <v>7.9</v>
      </c>
      <c r="K678" s="18" t="inlineStr">
        <is>
          <t>MPL</t>
        </is>
      </c>
      <c r="L678" s="18" t="inlineStr">
        <is>
          <t>100k +  pop + airport</t>
        </is>
      </c>
      <c r="M678" s="22" t="n">
        <v>0.592</v>
      </c>
      <c r="N678" s="22" t="n">
        <v>0</v>
      </c>
      <c r="O678" s="18" t="n"/>
      <c r="P678" s="22">
        <f>IF(O678="",(About!$B$5*M678+About!$B$6*N678)/(About!$B$5+About!$B$6),About!$B$5*M678+About!$B$6*N678+About!$B$7*O678)</f>
        <v/>
      </c>
      <c r="Q678" s="23" t="n">
        <v>43.6109</v>
      </c>
      <c r="R678" s="23" t="n">
        <v>3.8772</v>
      </c>
    </row>
    <row r="679" ht="15" customHeight="1" s="12">
      <c r="A679" s="18" t="inlineStr">
        <is>
          <t>Gyeongju</t>
        </is>
      </c>
      <c r="B679" s="18" t="inlineStr">
        <is>
          <t>South Korea</t>
        </is>
      </c>
      <c r="C679" s="19" t="n">
        <v>51111158</v>
      </c>
      <c r="D679" s="18" t="inlineStr">
        <is>
          <t>KR</t>
        </is>
      </c>
      <c r="E679" s="18" t="inlineStr">
        <is>
          <t>14</t>
        </is>
      </c>
      <c r="F679" s="20" t="n">
        <v>155237</v>
      </c>
      <c r="G679" s="18" t="n"/>
      <c r="H679" s="18" t="inlineStr">
        <is>
          <t>KPO</t>
        </is>
      </c>
      <c r="I679" s="18" t="inlineStr">
        <is>
          <t>Pohang Airport (G-815/K-3)</t>
        </is>
      </c>
      <c r="J679" s="21" t="n">
        <v>24.8</v>
      </c>
      <c r="K679" s="18" t="inlineStr">
        <is>
          <t>KPO</t>
        </is>
      </c>
      <c r="L679" s="18" t="inlineStr">
        <is>
          <t>100k +  pop</t>
        </is>
      </c>
      <c r="M679" s="22" t="n">
        <v>0.591</v>
      </c>
      <c r="N679" s="22" t="n">
        <v>0</v>
      </c>
      <c r="O679" s="18" t="n"/>
      <c r="P679" s="22">
        <f>IF(O679="",(About!$B$5*M679+About!$B$6*N679)/(About!$B$5+About!$B$6),About!$B$5*M679+About!$B$6*N679+About!$B$7*O679)</f>
        <v/>
      </c>
      <c r="Q679" s="23" t="n">
        <v>35.8428</v>
      </c>
      <c r="R679" s="23" t="n">
        <v>129.2117</v>
      </c>
    </row>
    <row r="680" ht="15" customHeight="1" s="12">
      <c r="A680" s="18" t="inlineStr">
        <is>
          <t>Saint Helier</t>
        </is>
      </c>
      <c r="B680" s="18" t="inlineStr">
        <is>
          <t>Jersey</t>
        </is>
      </c>
      <c r="C680" s="19" t="n">
        <v>103267</v>
      </c>
      <c r="D680" s="18" t="inlineStr">
        <is>
          <t>JE</t>
        </is>
      </c>
      <c r="E680" s="18" t="inlineStr">
        <is>
          <t>3237864</t>
        </is>
      </c>
      <c r="F680" s="20" t="n">
        <v>28000</v>
      </c>
      <c r="G680" s="18" t="inlineStr">
        <is>
          <t>Yes</t>
        </is>
      </c>
      <c r="H680" s="18" t="inlineStr">
        <is>
          <t>JER</t>
        </is>
      </c>
      <c r="I680" s="18" t="inlineStr">
        <is>
          <t>Jersey Airport</t>
        </is>
      </c>
      <c r="J680" s="21" t="n">
        <v>6.9</v>
      </c>
      <c r="K680" s="18" t="inlineStr">
        <is>
          <t>JER</t>
        </is>
      </c>
      <c r="L680" s="18" t="inlineStr">
        <is>
          <t>capital + airport</t>
        </is>
      </c>
      <c r="M680" s="22" t="n">
        <v>0.593</v>
      </c>
      <c r="N680" s="22" t="n">
        <v>0</v>
      </c>
      <c r="O680" s="18" t="n"/>
      <c r="P680" s="22">
        <f>IF(O680="",(About!$B$5*M680+About!$B$6*N680)/(About!$B$5+About!$B$6),About!$B$5*M680+About!$B$6*N680+About!$B$7*O680)</f>
        <v/>
      </c>
      <c r="Q680" s="23" t="n">
        <v>49.188</v>
      </c>
      <c r="R680" s="23" t="n">
        <v>-2.1049</v>
      </c>
    </row>
    <row r="681" ht="15" customHeight="1" s="12">
      <c r="A681" s="18" t="inlineStr">
        <is>
          <t>N'Djamena</t>
        </is>
      </c>
      <c r="B681" s="18" t="inlineStr">
        <is>
          <t>Chad</t>
        </is>
      </c>
      <c r="C681" s="19" t="n">
        <v>19340757</v>
      </c>
      <c r="D681" s="18" t="inlineStr">
        <is>
          <t>TD</t>
        </is>
      </c>
      <c r="E681" s="18" t="inlineStr">
        <is>
          <t>21</t>
        </is>
      </c>
      <c r="F681" s="20" t="n">
        <v>721081</v>
      </c>
      <c r="G681" s="18" t="inlineStr">
        <is>
          <t>Yes</t>
        </is>
      </c>
      <c r="H681" s="18" t="inlineStr">
        <is>
          <t>NDJ</t>
        </is>
      </c>
      <c r="I681" s="18" t="inlineStr">
        <is>
          <t>N'Djamena International Airport</t>
        </is>
      </c>
      <c r="J681" s="21" t="n">
        <v>3.2</v>
      </c>
      <c r="K681" s="18" t="inlineStr">
        <is>
          <t>NDJ</t>
        </is>
      </c>
      <c r="L681" s="18" t="inlineStr">
        <is>
          <t>100k +  pop + capital + airport</t>
        </is>
      </c>
      <c r="M681" s="22" t="n">
        <v>0.59</v>
      </c>
      <c r="N681" s="22" t="n">
        <v>0</v>
      </c>
      <c r="O681" s="18" t="n"/>
      <c r="P681" s="22">
        <f>IF(O681="",(About!$B$5*M681+About!$B$6*N681)/(About!$B$5+About!$B$6),About!$B$5*M681+About!$B$6*N681+About!$B$7*O681)</f>
        <v/>
      </c>
      <c r="Q681" s="23" t="n">
        <v>12.1067</v>
      </c>
      <c r="R681" s="23" t="n">
        <v>15.0444</v>
      </c>
    </row>
    <row r="682" ht="15" customHeight="1" s="12">
      <c r="A682" s="18" t="inlineStr">
        <is>
          <t>Bremen</t>
        </is>
      </c>
      <c r="B682" s="18" t="inlineStr">
        <is>
          <t>Germany</t>
        </is>
      </c>
      <c r="C682" s="19" t="n">
        <v>83497147</v>
      </c>
      <c r="D682" s="18" t="inlineStr">
        <is>
          <t>DE</t>
        </is>
      </c>
      <c r="E682" s="18" t="inlineStr">
        <is>
          <t>03</t>
        </is>
      </c>
      <c r="F682" s="20" t="n">
        <v>546501</v>
      </c>
      <c r="G682" s="18" t="n"/>
      <c r="H682" s="18" t="inlineStr">
        <is>
          <t>BRE</t>
        </is>
      </c>
      <c r="I682" s="18" t="inlineStr">
        <is>
          <t>Bremen Airport</t>
        </is>
      </c>
      <c r="J682" s="21" t="n">
        <v>3.4</v>
      </c>
      <c r="K682" s="18" t="inlineStr">
        <is>
          <t>BRE</t>
        </is>
      </c>
      <c r="L682" s="18" t="inlineStr">
        <is>
          <t>100k +  pop + airport</t>
        </is>
      </c>
      <c r="M682" s="22" t="n">
        <v>0.59</v>
      </c>
      <c r="N682" s="22" t="n">
        <v>0</v>
      </c>
      <c r="O682" s="18" t="n"/>
      <c r="P682" s="22">
        <f>IF(O682="",(About!$B$5*M682+About!$B$6*N682)/(About!$B$5+About!$B$6),About!$B$5*M682+About!$B$6*N682+About!$B$7*O682)</f>
        <v/>
      </c>
      <c r="Q682" s="23" t="n">
        <v>53.0758</v>
      </c>
      <c r="R682" s="23" t="n">
        <v>8.8072</v>
      </c>
    </row>
    <row r="683" ht="15" customHeight="1" s="12">
      <c r="A683" s="18" t="inlineStr">
        <is>
          <t>Ostrava</t>
        </is>
      </c>
      <c r="B683" s="18" t="inlineStr">
        <is>
          <t>Czechia</t>
        </is>
      </c>
      <c r="C683" s="19" t="n">
        <v>10915839</v>
      </c>
      <c r="D683" s="18" t="inlineStr">
        <is>
          <t>CZ</t>
        </is>
      </c>
      <c r="E683" s="18" t="inlineStr">
        <is>
          <t>85</t>
        </is>
      </c>
      <c r="F683" s="20" t="n">
        <v>313088</v>
      </c>
      <c r="G683" s="18" t="n"/>
      <c r="H683" s="18" t="inlineStr">
        <is>
          <t>OSR</t>
        </is>
      </c>
      <c r="I683" s="18" t="inlineStr">
        <is>
          <t>Leoš Janáček Airport Ostrava</t>
        </is>
      </c>
      <c r="J683" s="21" t="n">
        <v>19.7</v>
      </c>
      <c r="K683" s="18" t="inlineStr">
        <is>
          <t>OSR</t>
        </is>
      </c>
      <c r="L683" s="18" t="inlineStr">
        <is>
          <t>100k +  pop</t>
        </is>
      </c>
      <c r="M683" s="22" t="n">
        <v>0.59</v>
      </c>
      <c r="N683" s="22" t="n">
        <v>0</v>
      </c>
      <c r="O683" s="18" t="n"/>
      <c r="P683" s="22">
        <f>IF(O683="",(About!$B$5*M683+About!$B$6*N683)/(About!$B$5+About!$B$6),About!$B$5*M683+About!$B$6*N683+About!$B$7*O683)</f>
        <v/>
      </c>
      <c r="Q683" s="23" t="n">
        <v>49.8347</v>
      </c>
      <c r="R683" s="23" t="n">
        <v>18.282</v>
      </c>
    </row>
    <row r="684" ht="15" customHeight="1" s="12">
      <c r="A684" s="18" t="inlineStr">
        <is>
          <t>Xichang</t>
        </is>
      </c>
      <c r="B684" s="18" t="inlineStr">
        <is>
          <t>China</t>
        </is>
      </c>
      <c r="C684" s="19" t="n">
        <v>1404890000</v>
      </c>
      <c r="D684" s="18" t="inlineStr">
        <is>
          <t>CN</t>
        </is>
      </c>
      <c r="E684" s="18" t="inlineStr">
        <is>
          <t>32</t>
        </is>
      </c>
      <c r="F684" s="20" t="n">
        <v>126787</v>
      </c>
      <c r="G684" s="18" t="n"/>
      <c r="H684" s="18" t="inlineStr">
        <is>
          <t>XIC</t>
        </is>
      </c>
      <c r="I684" s="18" t="inlineStr">
        <is>
          <t>Xichang Qingshan Airport</t>
        </is>
      </c>
      <c r="J684" s="21" t="n">
        <v>12.9</v>
      </c>
      <c r="K684" s="18" t="inlineStr">
        <is>
          <t>XIC</t>
        </is>
      </c>
      <c r="L684" s="18" t="inlineStr">
        <is>
          <t>100k +  pop</t>
        </is>
      </c>
      <c r="M684" s="22" t="n">
        <v>0.59</v>
      </c>
      <c r="N684" s="22" t="n">
        <v>0</v>
      </c>
      <c r="O684" s="18" t="n"/>
      <c r="P684" s="22">
        <f>IF(O684="",(About!$B$5*M684+About!$B$6*N684)/(About!$B$5+About!$B$6),About!$B$5*M684+About!$B$6*N684+About!$B$7*O684)</f>
        <v/>
      </c>
      <c r="Q684" s="23" t="n">
        <v>27.8964</v>
      </c>
      <c r="R684" s="23" t="n">
        <v>102.2634</v>
      </c>
    </row>
    <row r="685" ht="15" customHeight="1" s="12">
      <c r="A685" s="18" t="inlineStr">
        <is>
          <t>Funchal</t>
        </is>
      </c>
      <c r="B685" s="18" t="inlineStr">
        <is>
          <t>Portugal</t>
        </is>
      </c>
      <c r="C685" s="19" t="n">
        <v>10749635</v>
      </c>
      <c r="D685" s="18" t="inlineStr">
        <is>
          <t>PT</t>
        </is>
      </c>
      <c r="E685" s="18" t="inlineStr">
        <is>
          <t>10</t>
        </is>
      </c>
      <c r="F685" s="20" t="n">
        <v>100847</v>
      </c>
      <c r="G685" s="18" t="n"/>
      <c r="H685" s="18" t="inlineStr">
        <is>
          <t>FNC</t>
        </is>
      </c>
      <c r="I685" s="18" t="inlineStr">
        <is>
          <t>Cristiano Ronaldo International Airport</t>
        </is>
      </c>
      <c r="J685" s="21" t="n">
        <v>14.6</v>
      </c>
      <c r="K685" s="18" t="inlineStr">
        <is>
          <t>FNC</t>
        </is>
      </c>
      <c r="L685" s="18" t="inlineStr">
        <is>
          <t>100k +  pop + airport</t>
        </is>
      </c>
      <c r="M685" s="22" t="n">
        <v>0.589</v>
      </c>
      <c r="N685" s="22" t="n">
        <v>0</v>
      </c>
      <c r="O685" s="18" t="n"/>
      <c r="P685" s="22">
        <f>IF(O685="",(About!$B$5*M685+About!$B$6*N685)/(About!$B$5+About!$B$6),About!$B$5*M685+About!$B$6*N685+About!$B$7*O685)</f>
        <v/>
      </c>
      <c r="Q685" s="23" t="n">
        <v>32.6657</v>
      </c>
      <c r="R685" s="23" t="n">
        <v>-16.9255</v>
      </c>
    </row>
    <row r="686" ht="15" customHeight="1" s="12">
      <c r="A686" s="18" t="inlineStr">
        <is>
          <t>Kingston</t>
        </is>
      </c>
      <c r="B686" s="18" t="inlineStr">
        <is>
          <t>Jamaica</t>
        </is>
      </c>
      <c r="C686" s="19" t="n">
        <v>2774538</v>
      </c>
      <c r="D686" s="18" t="inlineStr">
        <is>
          <t>JM</t>
        </is>
      </c>
      <c r="E686" s="18" t="inlineStr">
        <is>
          <t>17</t>
        </is>
      </c>
      <c r="F686" s="20" t="n">
        <v>937700</v>
      </c>
      <c r="G686" s="18" t="inlineStr">
        <is>
          <t>Yes</t>
        </is>
      </c>
      <c r="H686" s="18" t="inlineStr">
        <is>
          <t>KIN</t>
        </is>
      </c>
      <c r="I686" s="18" t="inlineStr">
        <is>
          <t>Norman Manley International Airport</t>
        </is>
      </c>
      <c r="J686" s="21" t="n">
        <v>6.8</v>
      </c>
      <c r="K686" s="18" t="inlineStr">
        <is>
          <t>KIN+KTP</t>
        </is>
      </c>
      <c r="L686" s="18" t="inlineStr">
        <is>
          <t>100k +  pop + capital + airport</t>
        </is>
      </c>
      <c r="M686" s="22" t="n">
        <v>0.588</v>
      </c>
      <c r="N686" s="22" t="n">
        <v>0</v>
      </c>
      <c r="O686" s="18" t="n"/>
      <c r="P686" s="22">
        <f>IF(O686="",(About!$B$5*M686+About!$B$6*N686)/(About!$B$5+About!$B$6),About!$B$5*M686+About!$B$6*N686+About!$B$7*O686)</f>
        <v/>
      </c>
      <c r="Q686" s="23" t="n">
        <v>17.997</v>
      </c>
      <c r="R686" s="23" t="n">
        <v>-76.7936</v>
      </c>
    </row>
    <row r="687" ht="15" customHeight="1" s="12">
      <c r="A687" s="18" t="inlineStr">
        <is>
          <t>Yazd</t>
        </is>
      </c>
      <c r="B687" s="18" t="inlineStr">
        <is>
          <t>Iran</t>
        </is>
      </c>
      <c r="C687" s="19" t="n">
        <v>87134000</v>
      </c>
      <c r="D687" s="18" t="inlineStr">
        <is>
          <t>IR</t>
        </is>
      </c>
      <c r="E687" s="18" t="inlineStr">
        <is>
          <t>40</t>
        </is>
      </c>
      <c r="F687" s="20" t="n">
        <v>477905</v>
      </c>
      <c r="G687" s="18" t="n"/>
      <c r="H687" s="18" t="inlineStr">
        <is>
          <t>AZD</t>
        </is>
      </c>
      <c r="I687" s="18" t="inlineStr">
        <is>
          <t>Shahid Sadooghi Airport</t>
        </is>
      </c>
      <c r="J687" s="21" t="n">
        <v>8.6</v>
      </c>
      <c r="K687" s="18" t="inlineStr">
        <is>
          <t>AZD</t>
        </is>
      </c>
      <c r="L687" s="18" t="inlineStr">
        <is>
          <t>100k +  pop + airport</t>
        </is>
      </c>
      <c r="M687" s="22" t="n">
        <v>0.587</v>
      </c>
      <c r="N687" s="22" t="n">
        <v>0</v>
      </c>
      <c r="O687" s="18" t="n"/>
      <c r="P687" s="22">
        <f>IF(O687="",(About!$B$5*M687+About!$B$6*N687)/(About!$B$5+About!$B$6),About!$B$5*M687+About!$B$6*N687+About!$B$7*O687)</f>
        <v/>
      </c>
      <c r="Q687" s="23" t="n">
        <v>31.8972</v>
      </c>
      <c r="R687" s="23" t="n">
        <v>54.3675</v>
      </c>
    </row>
    <row r="688" ht="15" customHeight="1" s="12">
      <c r="A688" s="18" t="inlineStr">
        <is>
          <t>Southend-on-Sea</t>
        </is>
      </c>
      <c r="B688" s="18" t="inlineStr">
        <is>
          <t>United Kingdom</t>
        </is>
      </c>
      <c r="C688" s="19" t="n">
        <v>69487000</v>
      </c>
      <c r="D688" s="18" t="inlineStr">
        <is>
          <t>GB</t>
        </is>
      </c>
      <c r="E688" s="18" t="inlineStr">
        <is>
          <t>ENG</t>
        </is>
      </c>
      <c r="F688" s="20" t="n">
        <v>295310</v>
      </c>
      <c r="G688" s="18" t="n"/>
      <c r="H688" s="18" t="inlineStr">
        <is>
          <t>SEN</t>
        </is>
      </c>
      <c r="I688" s="18" t="inlineStr">
        <is>
          <t>London Southend Airport</t>
        </is>
      </c>
      <c r="J688" s="21" t="n">
        <v>3.9</v>
      </c>
      <c r="K688" s="18" t="inlineStr">
        <is>
          <t>SEN</t>
        </is>
      </c>
      <c r="L688" s="18" t="inlineStr">
        <is>
          <t>100k +  pop + airport</t>
        </is>
      </c>
      <c r="M688" s="22" t="n">
        <v>0.588</v>
      </c>
      <c r="N688" s="22" t="n">
        <v>0</v>
      </c>
      <c r="O688" s="18" t="n"/>
      <c r="P688" s="22">
        <f>IF(O688="",(About!$B$5*M688+About!$B$6*N688)/(About!$B$5+About!$B$6),About!$B$5*M688+About!$B$6*N688+About!$B$7*O688)</f>
        <v/>
      </c>
      <c r="Q688" s="23" t="n">
        <v>51.5378</v>
      </c>
      <c r="R688" s="23" t="n">
        <v>0.7143</v>
      </c>
    </row>
    <row r="689" ht="15" customHeight="1" s="12">
      <c r="A689" s="18" t="inlineStr">
        <is>
          <t>Ljubljana</t>
        </is>
      </c>
      <c r="B689" s="18" t="inlineStr">
        <is>
          <t>Slovenia</t>
        </is>
      </c>
      <c r="C689" s="19" t="n">
        <v>2135107</v>
      </c>
      <c r="D689" s="18" t="inlineStr">
        <is>
          <t>SI</t>
        </is>
      </c>
      <c r="E689" s="18" t="inlineStr">
        <is>
          <t>61</t>
        </is>
      </c>
      <c r="F689" s="20" t="n">
        <v>272220</v>
      </c>
      <c r="G689" s="18" t="inlineStr">
        <is>
          <t>Yes</t>
        </is>
      </c>
      <c r="H689" s="18" t="inlineStr">
        <is>
          <t>LJU</t>
        </is>
      </c>
      <c r="I689" s="18" t="inlineStr">
        <is>
          <t>Ljubljana Jože Pučnik Airport</t>
        </is>
      </c>
      <c r="J689" s="21" t="n">
        <v>19.5</v>
      </c>
      <c r="K689" s="18" t="inlineStr">
        <is>
          <t>LJU</t>
        </is>
      </c>
      <c r="L689" s="18" t="inlineStr">
        <is>
          <t>100k +  pop + capital</t>
        </is>
      </c>
      <c r="M689" s="22" t="n">
        <v>0.588</v>
      </c>
      <c r="N689" s="22" t="n">
        <v>0</v>
      </c>
      <c r="O689" s="18" t="n"/>
      <c r="P689" s="22">
        <f>IF(O689="",(About!$B$5*M689+About!$B$6*N689)/(About!$B$5+About!$B$6),About!$B$5*M689+About!$B$6*N689+About!$B$7*O689)</f>
        <v/>
      </c>
      <c r="Q689" s="23" t="n">
        <v>46.0511</v>
      </c>
      <c r="R689" s="23" t="n">
        <v>14.5051</v>
      </c>
    </row>
    <row r="690" ht="15" customHeight="1" s="12">
      <c r="A690" s="18" t="inlineStr">
        <is>
          <t>Udon Thani</t>
        </is>
      </c>
      <c r="B690" s="18" t="inlineStr">
        <is>
          <t>Thailand</t>
        </is>
      </c>
      <c r="C690" s="19" t="n">
        <v>65826149</v>
      </c>
      <c r="D690" s="18" t="inlineStr">
        <is>
          <t>TH</t>
        </is>
      </c>
      <c r="E690" s="18" t="inlineStr">
        <is>
          <t>76</t>
        </is>
      </c>
      <c r="F690" s="20" t="n">
        <v>247231</v>
      </c>
      <c r="G690" s="18" t="n"/>
      <c r="H690" s="18" t="inlineStr">
        <is>
          <t>UTH</t>
        </is>
      </c>
      <c r="I690" s="18" t="inlineStr">
        <is>
          <t>Udon Thani International Airport</t>
        </is>
      </c>
      <c r="J690" s="21" t="n">
        <v>3.3</v>
      </c>
      <c r="K690" s="18" t="inlineStr">
        <is>
          <t>UTH</t>
        </is>
      </c>
      <c r="L690" s="18" t="inlineStr">
        <is>
          <t>100k +  pop + airport</t>
        </is>
      </c>
      <c r="M690" s="22" t="n">
        <v>0.588</v>
      </c>
      <c r="N690" s="22" t="n">
        <v>0</v>
      </c>
      <c r="O690" s="18" t="n"/>
      <c r="P690" s="22">
        <f>IF(O690="",(About!$B$5*M690+About!$B$6*N690)/(About!$B$5+About!$B$6),About!$B$5*M690+About!$B$6*N690+About!$B$7*O690)</f>
        <v/>
      </c>
      <c r="Q690" s="23" t="n">
        <v>17.4157</v>
      </c>
      <c r="R690" s="23" t="n">
        <v>102.7859</v>
      </c>
    </row>
    <row r="691" ht="15" customHeight="1" s="12">
      <c r="A691" s="18" t="inlineStr">
        <is>
          <t>Rennes</t>
        </is>
      </c>
      <c r="B691" s="18" t="inlineStr">
        <is>
          <t>France</t>
        </is>
      </c>
      <c r="C691" s="19" t="n">
        <v>69081996</v>
      </c>
      <c r="D691" s="18" t="inlineStr">
        <is>
          <t>FR</t>
        </is>
      </c>
      <c r="E691" s="18" t="inlineStr">
        <is>
          <t>53</t>
        </is>
      </c>
      <c r="F691" s="20" t="n">
        <v>209375</v>
      </c>
      <c r="G691" s="18" t="n"/>
      <c r="H691" s="18" t="inlineStr">
        <is>
          <t>RNS</t>
        </is>
      </c>
      <c r="I691" s="18" t="inlineStr">
        <is>
          <t>Rennes-Saint-Jacques Airport</t>
        </is>
      </c>
      <c r="J691" s="21" t="n">
        <v>6.5</v>
      </c>
      <c r="K691" s="18" t="inlineStr">
        <is>
          <t>RNS</t>
        </is>
      </c>
      <c r="L691" s="18" t="inlineStr">
        <is>
          <t>100k +  pop + airport</t>
        </is>
      </c>
      <c r="M691" s="22" t="n">
        <v>0.587</v>
      </c>
      <c r="N691" s="22" t="n">
        <v>0</v>
      </c>
      <c r="O691" s="18" t="n"/>
      <c r="P691" s="22">
        <f>IF(O691="",(About!$B$5*M691+About!$B$6*N691)/(About!$B$5+About!$B$6),About!$B$5*M691+About!$B$6*N691+About!$B$7*O691)</f>
        <v/>
      </c>
      <c r="Q691" s="23" t="n">
        <v>48.112</v>
      </c>
      <c r="R691" s="23" t="n">
        <v>-1.6743</v>
      </c>
    </row>
    <row r="692" ht="15" customHeight="1" s="12">
      <c r="A692" s="18" t="inlineStr">
        <is>
          <t>Gaborone</t>
        </is>
      </c>
      <c r="B692" s="18" t="inlineStr">
        <is>
          <t>Botswana</t>
        </is>
      </c>
      <c r="C692" s="19" t="n">
        <v>2359609</v>
      </c>
      <c r="D692" s="18" t="inlineStr">
        <is>
          <t>BW</t>
        </is>
      </c>
      <c r="E692" s="18" t="inlineStr">
        <is>
          <t>14</t>
        </is>
      </c>
      <c r="F692" s="20" t="n">
        <v>208411</v>
      </c>
      <c r="G692" s="18" t="inlineStr">
        <is>
          <t>Yes</t>
        </is>
      </c>
      <c r="H692" s="18" t="inlineStr">
        <is>
          <t>GBE</t>
        </is>
      </c>
      <c r="I692" s="18" t="inlineStr">
        <is>
          <t>Sir Seretse Khama International Airport</t>
        </is>
      </c>
      <c r="J692" s="21" t="n">
        <v>11.1</v>
      </c>
      <c r="K692" s="18" t="inlineStr">
        <is>
          <t>GBE</t>
        </is>
      </c>
      <c r="L692" s="18" t="inlineStr">
        <is>
          <t>100k +  pop + capital + airport</t>
        </is>
      </c>
      <c r="M692" s="22" t="n">
        <v>0.589</v>
      </c>
      <c r="N692" s="22" t="n">
        <v>0</v>
      </c>
      <c r="O692" s="18" t="n"/>
      <c r="P692" s="22">
        <f>IF(O692="",(About!$B$5*M692+About!$B$6*N692)/(About!$B$5+About!$B$6),About!$B$5*M692+About!$B$6*N692+About!$B$7*O692)</f>
        <v/>
      </c>
      <c r="Q692" s="23" t="n">
        <v>-24.6545</v>
      </c>
      <c r="R692" s="23" t="n">
        <v>25.9086</v>
      </c>
    </row>
    <row r="693" ht="15" customHeight="1" s="12">
      <c r="A693" s="18" t="inlineStr">
        <is>
          <t>Spanish Town</t>
        </is>
      </c>
      <c r="B693" s="18" t="inlineStr">
        <is>
          <t>Jamaica</t>
        </is>
      </c>
      <c r="C693" s="19" t="n">
        <v>2774538</v>
      </c>
      <c r="D693" s="18" t="inlineStr">
        <is>
          <t>JM</t>
        </is>
      </c>
      <c r="E693" s="18" t="inlineStr">
        <is>
          <t>10</t>
        </is>
      </c>
      <c r="F693" s="20" t="n">
        <v>145018</v>
      </c>
      <c r="G693" s="18" t="n"/>
      <c r="H693" s="18" t="inlineStr">
        <is>
          <t>KIN</t>
        </is>
      </c>
      <c r="I693" s="18" t="inlineStr">
        <is>
          <t>Norman Manley International Airport</t>
        </is>
      </c>
      <c r="J693" s="21" t="n">
        <v>19</v>
      </c>
      <c r="K693" s="18" t="inlineStr">
        <is>
          <t>KIN+KTP</t>
        </is>
      </c>
      <c r="L693" s="18" t="inlineStr">
        <is>
          <t>100k +  pop</t>
        </is>
      </c>
      <c r="M693" s="22" t="n">
        <v>0.588</v>
      </c>
      <c r="N693" s="22" t="n">
        <v>0</v>
      </c>
      <c r="O693" s="18" t="n"/>
      <c r="P693" s="22">
        <f>IF(O693="",(About!$B$5*M693+About!$B$6*N693)/(About!$B$5+About!$B$6),About!$B$5*M693+About!$B$6*N693+About!$B$7*O693)</f>
        <v/>
      </c>
      <c r="Q693" s="23" t="n">
        <v>17.9911</v>
      </c>
      <c r="R693" s="23" t="n">
        <v>-76.95740000000001</v>
      </c>
    </row>
    <row r="694" ht="15" customHeight="1" s="12">
      <c r="A694" s="18" t="inlineStr">
        <is>
          <t>Basildon</t>
        </is>
      </c>
      <c r="B694" s="18" t="inlineStr">
        <is>
          <t>United Kingdom</t>
        </is>
      </c>
      <c r="C694" s="19" t="n">
        <v>69487000</v>
      </c>
      <c r="D694" s="18" t="inlineStr">
        <is>
          <t>GB</t>
        </is>
      </c>
      <c r="E694" s="18" t="inlineStr">
        <is>
          <t>ENG</t>
        </is>
      </c>
      <c r="F694" s="20" t="n">
        <v>144859</v>
      </c>
      <c r="G694" s="18" t="n"/>
      <c r="H694" s="18" t="inlineStr">
        <is>
          <t>SEN</t>
        </is>
      </c>
      <c r="I694" s="18" t="inlineStr">
        <is>
          <t>London Southend Airport</t>
        </is>
      </c>
      <c r="J694" s="21" t="n">
        <v>16.3</v>
      </c>
      <c r="K694" s="18" t="inlineStr">
        <is>
          <t>SEN</t>
        </is>
      </c>
      <c r="L694" s="18" t="inlineStr">
        <is>
          <t>100k +  pop</t>
        </is>
      </c>
      <c r="M694" s="22" t="n">
        <v>0.588</v>
      </c>
      <c r="N694" s="22" t="n">
        <v>0</v>
      </c>
      <c r="O694" s="18" t="n"/>
      <c r="P694" s="22">
        <f>IF(O694="",(About!$B$5*M694+About!$B$6*N694)/(About!$B$5+About!$B$6),About!$B$5*M694+About!$B$6*N694+About!$B$7*O694)</f>
        <v/>
      </c>
      <c r="Q694" s="23" t="n">
        <v>51.5684</v>
      </c>
      <c r="R694" s="23" t="n">
        <v>0.4578</v>
      </c>
    </row>
    <row r="695" ht="15" customHeight="1" s="12">
      <c r="A695" s="18" t="inlineStr">
        <is>
          <t>Portmore</t>
        </is>
      </c>
      <c r="B695" s="18" t="inlineStr">
        <is>
          <t>Jamaica</t>
        </is>
      </c>
      <c r="C695" s="19" t="n">
        <v>2774538</v>
      </c>
      <c r="D695" s="18" t="inlineStr">
        <is>
          <t>JM</t>
        </is>
      </c>
      <c r="E695" s="18" t="inlineStr">
        <is>
          <t>10</t>
        </is>
      </c>
      <c r="F695" s="20" t="n">
        <v>102861</v>
      </c>
      <c r="G695" s="18" t="n"/>
      <c r="H695" s="18" t="inlineStr">
        <is>
          <t>KIN</t>
        </is>
      </c>
      <c r="I695" s="18" t="inlineStr">
        <is>
          <t>Norman Manley International Airport</t>
        </is>
      </c>
      <c r="J695" s="21" t="n">
        <v>10.1</v>
      </c>
      <c r="K695" s="18" t="inlineStr">
        <is>
          <t>KIN+KTP</t>
        </is>
      </c>
      <c r="L695" s="18" t="inlineStr">
        <is>
          <t>100k +  pop + airport</t>
        </is>
      </c>
      <c r="M695" s="22" t="n">
        <v>0.588</v>
      </c>
      <c r="N695" s="22" t="n">
        <v>0</v>
      </c>
      <c r="O695" s="18" t="n"/>
      <c r="P695" s="22">
        <f>IF(O695="",(About!$B$5*M695+About!$B$6*N695)/(About!$B$5+About!$B$6),About!$B$5*M695+About!$B$6*N695+About!$B$7*O695)</f>
        <v/>
      </c>
      <c r="Q695" s="23" t="n">
        <v>17.9503</v>
      </c>
      <c r="R695" s="23" t="n">
        <v>-76.88209999999999</v>
      </c>
    </row>
    <row r="696" ht="15" customHeight="1" s="12">
      <c r="A696" s="18" t="inlineStr">
        <is>
          <t>Gillingham</t>
        </is>
      </c>
      <c r="B696" s="18" t="inlineStr">
        <is>
          <t>United Kingdom</t>
        </is>
      </c>
      <c r="C696" s="19" t="n">
        <v>69487000</v>
      </c>
      <c r="D696" s="18" t="inlineStr">
        <is>
          <t>GB</t>
        </is>
      </c>
      <c r="E696" s="18" t="inlineStr">
        <is>
          <t>ENG</t>
        </is>
      </c>
      <c r="F696" s="20" t="n">
        <v>101187</v>
      </c>
      <c r="G696" s="18" t="n"/>
      <c r="H696" s="18" t="inlineStr">
        <is>
          <t>SEN</t>
        </is>
      </c>
      <c r="I696" s="18" t="inlineStr">
        <is>
          <t>London Southend Airport</t>
        </is>
      </c>
      <c r="J696" s="21" t="n">
        <v>22.5</v>
      </c>
      <c r="K696" s="18" t="inlineStr">
        <is>
          <t>SEN</t>
        </is>
      </c>
      <c r="L696" s="18" t="inlineStr">
        <is>
          <t>100k +  pop</t>
        </is>
      </c>
      <c r="M696" s="22" t="n">
        <v>0.588</v>
      </c>
      <c r="N696" s="22" t="n">
        <v>0</v>
      </c>
      <c r="O696" s="18" t="n"/>
      <c r="P696" s="22">
        <f>IF(O696="",(About!$B$5*M696+About!$B$6*N696)/(About!$B$5+About!$B$6),About!$B$5*M696+About!$B$6*N696+About!$B$7*O696)</f>
        <v/>
      </c>
      <c r="Q696" s="23" t="n">
        <v>51.3891</v>
      </c>
      <c r="R696" s="23" t="n">
        <v>0.5486</v>
      </c>
    </row>
    <row r="697" ht="15" customHeight="1" s="12">
      <c r="A697" s="18" t="inlineStr">
        <is>
          <t>Kranj</t>
        </is>
      </c>
      <c r="B697" s="18" t="inlineStr">
        <is>
          <t>Slovenia</t>
        </is>
      </c>
      <c r="C697" s="19" t="n">
        <v>2135107</v>
      </c>
      <c r="D697" s="18" t="inlineStr">
        <is>
          <t>SI</t>
        </is>
      </c>
      <c r="E697" s="18" t="inlineStr">
        <is>
          <t>52</t>
        </is>
      </c>
      <c r="F697" s="20" t="n">
        <v>36874</v>
      </c>
      <c r="G697" s="18" t="n"/>
      <c r="H697" s="18" t="inlineStr">
        <is>
          <t>LJU</t>
        </is>
      </c>
      <c r="I697" s="18" t="inlineStr">
        <is>
          <t>Ljubljana Jože Pučnik Airport</t>
        </is>
      </c>
      <c r="J697" s="21" t="n">
        <v>8</v>
      </c>
      <c r="K697" s="18" t="inlineStr">
        <is>
          <t>LJU</t>
        </is>
      </c>
      <c r="L697" s="18" t="inlineStr">
        <is>
          <t>airport</t>
        </is>
      </c>
      <c r="M697" s="22" t="n">
        <v>0.588</v>
      </c>
      <c r="N697" s="22" t="n">
        <v>0</v>
      </c>
      <c r="O697" s="18" t="n"/>
      <c r="P697" s="22">
        <f>IF(O697="",(About!$B$5*M697+About!$B$6*N697)/(About!$B$5+About!$B$6),About!$B$5*M697+About!$B$6*N697+About!$B$7*O697)</f>
        <v/>
      </c>
      <c r="Q697" s="23" t="n">
        <v>46.2389</v>
      </c>
      <c r="R697" s="23" t="n">
        <v>14.3556</v>
      </c>
    </row>
    <row r="698" ht="15" customHeight="1" s="12">
      <c r="A698" s="18" t="inlineStr">
        <is>
          <t>Dubrovnik</t>
        </is>
      </c>
      <c r="B698" s="18" t="inlineStr">
        <is>
          <t>Croatia</t>
        </is>
      </c>
      <c r="C698" s="19" t="n">
        <v>3866233</v>
      </c>
      <c r="D698" s="18" t="inlineStr">
        <is>
          <t>HR</t>
        </is>
      </c>
      <c r="E698" s="18" t="inlineStr">
        <is>
          <t>03</t>
        </is>
      </c>
      <c r="F698" s="20" t="n">
        <v>28428</v>
      </c>
      <c r="G698" s="18" t="n"/>
      <c r="H698" s="18" t="inlineStr">
        <is>
          <t>DBV</t>
        </is>
      </c>
      <c r="I698" s="18" t="inlineStr">
        <is>
          <t>Dubrovnik Ruđer Bošković Airport</t>
        </is>
      </c>
      <c r="J698" s="21" t="n">
        <v>15.5</v>
      </c>
      <c r="K698" s="18" t="inlineStr">
        <is>
          <t>DBV</t>
        </is>
      </c>
      <c r="L698" s="18" t="inlineStr">
        <is>
          <t>airport</t>
        </is>
      </c>
      <c r="M698" s="22" t="n">
        <v>0.587</v>
      </c>
      <c r="N698" s="22" t="n">
        <v>0</v>
      </c>
      <c r="O698" s="18" t="n"/>
      <c r="P698" s="22">
        <f>IF(O698="",(About!$B$5*M698+About!$B$6*N698)/(About!$B$5+About!$B$6),About!$B$5*M698+About!$B$6*N698+About!$B$7*O698)</f>
        <v/>
      </c>
      <c r="Q698" s="23" t="n">
        <v>42.6412</v>
      </c>
      <c r="R698" s="23" t="n">
        <v>18.1091</v>
      </c>
    </row>
    <row r="699" ht="15" customHeight="1" s="12">
      <c r="A699" s="18" t="inlineStr">
        <is>
          <t>Dali</t>
        </is>
      </c>
      <c r="B699" s="18" t="inlineStr">
        <is>
          <t>China</t>
        </is>
      </c>
      <c r="C699" s="19" t="n">
        <v>1404890000</v>
      </c>
      <c r="D699" s="18" t="inlineStr">
        <is>
          <t>CN</t>
        </is>
      </c>
      <c r="E699" s="18" t="inlineStr">
        <is>
          <t>29</t>
        </is>
      </c>
      <c r="F699" s="20" t="n">
        <v>134040</v>
      </c>
      <c r="G699" s="18" t="n"/>
      <c r="H699" s="18" t="inlineStr">
        <is>
          <t>DLU</t>
        </is>
      </c>
      <c r="I699" s="18" t="inlineStr">
        <is>
          <t>Dali Fengyi Airport</t>
        </is>
      </c>
      <c r="J699" s="21" t="n">
        <v>12.9</v>
      </c>
      <c r="K699" s="18" t="inlineStr">
        <is>
          <t>DLU</t>
        </is>
      </c>
      <c r="L699" s="18" t="inlineStr">
        <is>
          <t>100k +  pop</t>
        </is>
      </c>
      <c r="M699" s="22" t="n">
        <v>0.587</v>
      </c>
      <c r="N699" s="22" t="n">
        <v>0</v>
      </c>
      <c r="O699" s="18" t="n"/>
      <c r="P699" s="22">
        <f>IF(O699="",(About!$B$5*M699+About!$B$6*N699)/(About!$B$5+About!$B$6),About!$B$5*M699+About!$B$6*N699+About!$B$7*O699)</f>
        <v/>
      </c>
      <c r="Q699" s="23" t="n">
        <v>25.5847</v>
      </c>
      <c r="R699" s="23" t="n">
        <v>100.2123</v>
      </c>
    </row>
    <row r="700" ht="15" customHeight="1" s="12">
      <c r="A700" s="18" t="inlineStr">
        <is>
          <t>Asunción</t>
        </is>
      </c>
      <c r="B700" s="18" t="inlineStr">
        <is>
          <t>Paraguay</t>
        </is>
      </c>
      <c r="C700" s="19" t="n">
        <v>6109644</v>
      </c>
      <c r="D700" s="18" t="inlineStr">
        <is>
          <t>PY</t>
        </is>
      </c>
      <c r="E700" s="18" t="inlineStr">
        <is>
          <t>22</t>
        </is>
      </c>
      <c r="F700" s="20" t="n">
        <v>1482200</v>
      </c>
      <c r="G700" s="18" t="inlineStr">
        <is>
          <t>Yes</t>
        </is>
      </c>
      <c r="H700" s="18" t="inlineStr">
        <is>
          <t>ASU</t>
        </is>
      </c>
      <c r="I700" s="18" t="inlineStr">
        <is>
          <t>Silvio Pettirossi International Airport</t>
        </is>
      </c>
      <c r="J700" s="21" t="n">
        <v>13.8</v>
      </c>
      <c r="K700" s="18" t="inlineStr">
        <is>
          <t>ASU</t>
        </is>
      </c>
      <c r="L700" s="18" t="inlineStr">
        <is>
          <t>100k +  pop + capital + airport</t>
        </is>
      </c>
      <c r="M700" s="22" t="n">
        <v>0.584</v>
      </c>
      <c r="N700" s="22" t="n">
        <v>0</v>
      </c>
      <c r="O700" s="18" t="n"/>
      <c r="P700" s="22">
        <f>IF(O700="",(About!$B$5*M700+About!$B$6*N700)/(About!$B$5+About!$B$6),About!$B$5*M700+About!$B$6*N700+About!$B$7*O700)</f>
        <v/>
      </c>
      <c r="Q700" s="23" t="n">
        <v>-25.2865</v>
      </c>
      <c r="R700" s="23" t="n">
        <v>-57.647</v>
      </c>
    </row>
    <row r="701" ht="15" customHeight="1" s="12">
      <c r="A701" s="18" t="inlineStr">
        <is>
          <t>Niamey</t>
        </is>
      </c>
      <c r="B701" s="18" t="inlineStr">
        <is>
          <t>Niger</t>
        </is>
      </c>
      <c r="C701" s="19" t="n">
        <v>27522750</v>
      </c>
      <c r="D701" s="18" t="inlineStr">
        <is>
          <t>NE</t>
        </is>
      </c>
      <c r="E701" s="18" t="inlineStr">
        <is>
          <t>08</t>
        </is>
      </c>
      <c r="F701" s="20" t="n">
        <v>774235</v>
      </c>
      <c r="G701" s="18" t="inlineStr">
        <is>
          <t>Yes</t>
        </is>
      </c>
      <c r="H701" s="18" t="inlineStr">
        <is>
          <t>NIM</t>
        </is>
      </c>
      <c r="I701" s="18" t="inlineStr">
        <is>
          <t>Diori Hamani International Airport</t>
        </is>
      </c>
      <c r="J701" s="21" t="n">
        <v>8.699999999999999</v>
      </c>
      <c r="K701" s="18" t="inlineStr">
        <is>
          <t>NIM</t>
        </is>
      </c>
      <c r="L701" s="18" t="inlineStr">
        <is>
          <t>100k +  pop + capital + airport</t>
        </is>
      </c>
      <c r="M701" s="22" t="n">
        <v>0.583</v>
      </c>
      <c r="N701" s="22" t="n">
        <v>0</v>
      </c>
      <c r="O701" s="18" t="n"/>
      <c r="P701" s="22">
        <f>IF(O701="",(About!$B$5*M701+About!$B$6*N701)/(About!$B$5+About!$B$6),About!$B$5*M701+About!$B$6*N701+About!$B$7*O701)</f>
        <v/>
      </c>
      <c r="Q701" s="23" t="n">
        <v>13.5137</v>
      </c>
      <c r="R701" s="23" t="n">
        <v>2.1098</v>
      </c>
    </row>
    <row r="702" ht="15" customHeight="1" s="12">
      <c r="A702" s="18" t="inlineStr">
        <is>
          <t>Beira</t>
        </is>
      </c>
      <c r="B702" s="18" t="inlineStr">
        <is>
          <t>Mozambique</t>
        </is>
      </c>
      <c r="C702" s="19" t="n">
        <v>34090466</v>
      </c>
      <c r="D702" s="18" t="inlineStr">
        <is>
          <t>MZ</t>
        </is>
      </c>
      <c r="E702" s="18" t="inlineStr">
        <is>
          <t>05</t>
        </is>
      </c>
      <c r="F702" s="20" t="n">
        <v>530604</v>
      </c>
      <c r="G702" s="18" t="n"/>
      <c r="H702" s="18" t="inlineStr">
        <is>
          <t>BEW</t>
        </is>
      </c>
      <c r="I702" s="18" t="inlineStr">
        <is>
          <t>Beira International Airport</t>
        </is>
      </c>
      <c r="J702" s="21" t="n">
        <v>8.9</v>
      </c>
      <c r="K702" s="18" t="inlineStr">
        <is>
          <t>BEW</t>
        </is>
      </c>
      <c r="L702" s="18" t="inlineStr">
        <is>
          <t>100k +  pop + airport</t>
        </is>
      </c>
      <c r="M702" s="22" t="n">
        <v>0.584</v>
      </c>
      <c r="N702" s="22" t="n">
        <v>0</v>
      </c>
      <c r="O702" s="18" t="n"/>
      <c r="P702" s="22">
        <f>IF(O702="",(About!$B$5*M702+About!$B$6*N702)/(About!$B$5+About!$B$6),About!$B$5*M702+About!$B$6*N702+About!$B$7*O702)</f>
        <v/>
      </c>
      <c r="Q702" s="23" t="n">
        <v>-19.8436</v>
      </c>
      <c r="R702" s="23" t="n">
        <v>34.8389</v>
      </c>
    </row>
    <row r="703" ht="15" customHeight="1" s="12">
      <c r="A703" s="18" t="inlineStr">
        <is>
          <t>Beihai</t>
        </is>
      </c>
      <c r="B703" s="18" t="inlineStr">
        <is>
          <t>China</t>
        </is>
      </c>
      <c r="C703" s="19" t="n">
        <v>1404890000</v>
      </c>
      <c r="D703" s="18" t="inlineStr">
        <is>
          <t>CN</t>
        </is>
      </c>
      <c r="E703" s="18" t="inlineStr">
        <is>
          <t>16</t>
        </is>
      </c>
      <c r="F703" s="20" t="n">
        <v>289568</v>
      </c>
      <c r="G703" s="18" t="n"/>
      <c r="H703" s="18" t="inlineStr">
        <is>
          <t>BHY</t>
        </is>
      </c>
      <c r="I703" s="18" t="inlineStr">
        <is>
          <t>Beihai Fucheng Airport</t>
        </is>
      </c>
      <c r="J703" s="21" t="n">
        <v>21</v>
      </c>
      <c r="K703" s="18" t="inlineStr">
        <is>
          <t>BHY</t>
        </is>
      </c>
      <c r="L703" s="18" t="inlineStr">
        <is>
          <t>100k +  pop + airport</t>
        </is>
      </c>
      <c r="M703" s="22" t="n">
        <v>0.583</v>
      </c>
      <c r="N703" s="22" t="n">
        <v>0</v>
      </c>
      <c r="O703" s="18" t="n"/>
      <c r="P703" s="22">
        <f>IF(O703="",(About!$B$5*M703+About!$B$6*N703)/(About!$B$5+About!$B$6),About!$B$5*M703+About!$B$6*N703+About!$B$7*O703)</f>
        <v/>
      </c>
      <c r="Q703" s="23" t="n">
        <v>21.4833</v>
      </c>
      <c r="R703" s="23" t="n">
        <v>109.1</v>
      </c>
    </row>
    <row r="704" ht="15" customHeight="1" s="12">
      <c r="A704" s="18" t="inlineStr">
        <is>
          <t>San Lorenzo</t>
        </is>
      </c>
      <c r="B704" s="18" t="inlineStr">
        <is>
          <t>Paraguay</t>
        </is>
      </c>
      <c r="C704" s="19" t="n">
        <v>6109644</v>
      </c>
      <c r="D704" s="18" t="inlineStr">
        <is>
          <t>PY</t>
        </is>
      </c>
      <c r="E704" s="18" t="inlineStr">
        <is>
          <t>06</t>
        </is>
      </c>
      <c r="F704" s="20" t="n">
        <v>227876</v>
      </c>
      <c r="G704" s="18" t="n"/>
      <c r="H704" s="18" t="inlineStr">
        <is>
          <t>ASU</t>
        </is>
      </c>
      <c r="I704" s="18" t="inlineStr">
        <is>
          <t>Silvio Pettirossi International Airport</t>
        </is>
      </c>
      <c r="J704" s="21" t="n">
        <v>11.1</v>
      </c>
      <c r="K704" s="18" t="inlineStr">
        <is>
          <t>ASU</t>
        </is>
      </c>
      <c r="L704" s="18" t="inlineStr">
        <is>
          <t>100k +  pop</t>
        </is>
      </c>
      <c r="M704" s="22" t="n">
        <v>0.584</v>
      </c>
      <c r="N704" s="22" t="n">
        <v>0</v>
      </c>
      <c r="O704" s="18" t="n"/>
      <c r="P704" s="22">
        <f>IF(O704="",(About!$B$5*M704+About!$B$6*N704)/(About!$B$5+About!$B$6),About!$B$5*M704+About!$B$6*N704+About!$B$7*O704)</f>
        <v/>
      </c>
      <c r="Q704" s="23" t="n">
        <v>-25.3397</v>
      </c>
      <c r="R704" s="23" t="n">
        <v>-57.5088</v>
      </c>
    </row>
    <row r="705" ht="15" customHeight="1" s="12">
      <c r="A705" s="18" t="inlineStr">
        <is>
          <t>Mek'ele</t>
        </is>
      </c>
      <c r="B705" s="18" t="inlineStr">
        <is>
          <t>Ethiopia</t>
        </is>
      </c>
      <c r="C705" s="19" t="n">
        <v>111652998</v>
      </c>
      <c r="D705" s="18" t="inlineStr">
        <is>
          <t>ET</t>
        </is>
      </c>
      <c r="E705" s="18" t="inlineStr">
        <is>
          <t>53</t>
        </is>
      </c>
      <c r="F705" s="20" t="n">
        <v>215546</v>
      </c>
      <c r="G705" s="18" t="n"/>
      <c r="H705" s="18" t="inlineStr">
        <is>
          <t>MQX</t>
        </is>
      </c>
      <c r="I705" s="18" t="inlineStr">
        <is>
          <t>Mekele Alula Aba Nega Airport</t>
        </is>
      </c>
      <c r="J705" s="21" t="n">
        <v>7.1</v>
      </c>
      <c r="K705" s="18" t="inlineStr">
        <is>
          <t>MQX</t>
        </is>
      </c>
      <c r="L705" s="18" t="inlineStr">
        <is>
          <t>100k +  pop + airport</t>
        </is>
      </c>
      <c r="M705" s="22" t="n">
        <v>0.583</v>
      </c>
      <c r="N705" s="22" t="n">
        <v>0</v>
      </c>
      <c r="O705" s="18" t="n"/>
      <c r="P705" s="22">
        <f>IF(O705="",(About!$B$5*M705+About!$B$6*N705)/(About!$B$5+About!$B$6),About!$B$5*M705+About!$B$6*N705+About!$B$7*O705)</f>
        <v/>
      </c>
      <c r="Q705" s="23" t="n">
        <v>13.4967</v>
      </c>
      <c r="R705" s="23" t="n">
        <v>39.4753</v>
      </c>
    </row>
    <row r="706" ht="15" customHeight="1" s="12">
      <c r="A706" s="18" t="inlineStr">
        <is>
          <t>Kindu</t>
        </is>
      </c>
      <c r="B706" s="18" t="inlineStr">
        <is>
          <t>DR Congo</t>
        </is>
      </c>
      <c r="C706" s="19" t="n">
        <v>112832000</v>
      </c>
      <c r="D706" s="18" t="inlineStr">
        <is>
          <t>CD</t>
        </is>
      </c>
      <c r="E706" s="18" t="inlineStr">
        <is>
          <t>10</t>
        </is>
      </c>
      <c r="F706" s="20" t="n">
        <v>135698</v>
      </c>
      <c r="G706" s="18" t="n"/>
      <c r="H706" s="18" t="inlineStr">
        <is>
          <t>KND</t>
        </is>
      </c>
      <c r="I706" s="18" t="inlineStr">
        <is>
          <t>Kindu Airport</t>
        </is>
      </c>
      <c r="J706" s="21" t="n">
        <v>2.8</v>
      </c>
      <c r="K706" s="18" t="inlineStr">
        <is>
          <t>KND</t>
        </is>
      </c>
      <c r="L706" s="18" t="inlineStr">
        <is>
          <t>100k +  pop + airport</t>
        </is>
      </c>
      <c r="M706" s="22" t="n">
        <v>0.584</v>
      </c>
      <c r="N706" s="22" t="n">
        <v>0</v>
      </c>
      <c r="O706" s="18" t="n"/>
      <c r="P706" s="22">
        <f>IF(O706="",(About!$B$5*M706+About!$B$6*N706)/(About!$B$5+About!$B$6),About!$B$5*M706+About!$B$6*N706+About!$B$7*O706)</f>
        <v/>
      </c>
      <c r="Q706" s="23" t="n">
        <v>-2.9437</v>
      </c>
      <c r="R706" s="23" t="n">
        <v>25.9224</v>
      </c>
    </row>
    <row r="707" ht="15" customHeight="1" s="12">
      <c r="A707" s="18" t="inlineStr">
        <is>
          <t>Tripoli</t>
        </is>
      </c>
      <c r="B707" s="18" t="inlineStr">
        <is>
          <t>Libya</t>
        </is>
      </c>
      <c r="C707" s="19" t="n">
        <v>7459000</v>
      </c>
      <c r="D707" s="18" t="inlineStr">
        <is>
          <t>LY</t>
        </is>
      </c>
      <c r="E707" s="18" t="inlineStr">
        <is>
          <t>77</t>
        </is>
      </c>
      <c r="F707" s="20" t="n">
        <v>1150989</v>
      </c>
      <c r="G707" s="18" t="inlineStr">
        <is>
          <t>Yes</t>
        </is>
      </c>
      <c r="H707" s="18" t="inlineStr">
        <is>
          <t>MJI</t>
        </is>
      </c>
      <c r="I707" s="18" t="inlineStr">
        <is>
          <t>Mitiga International Airport</t>
        </is>
      </c>
      <c r="J707" s="21" t="n">
        <v>9.4</v>
      </c>
      <c r="K707" s="18" t="inlineStr">
        <is>
          <t>MJI</t>
        </is>
      </c>
      <c r="L707" s="18" t="inlineStr">
        <is>
          <t>100k +  pop + capital + airport</t>
        </is>
      </c>
      <c r="M707" s="22" t="n">
        <v>0.583</v>
      </c>
      <c r="N707" s="22" t="n">
        <v>0</v>
      </c>
      <c r="O707" s="18" t="n"/>
      <c r="P707" s="22">
        <f>IF(O707="",(About!$B$5*M707+About!$B$6*N707)/(About!$B$5+About!$B$6),About!$B$5*M707+About!$B$6*N707+About!$B$7*O707)</f>
        <v/>
      </c>
      <c r="Q707" s="23" t="n">
        <v>32.8874</v>
      </c>
      <c r="R707" s="23" t="n">
        <v>13.1873</v>
      </c>
    </row>
    <row r="708" ht="15" customHeight="1" s="12">
      <c r="A708" s="18" t="inlineStr">
        <is>
          <t>Mérida</t>
        </is>
      </c>
      <c r="B708" s="18" t="inlineStr">
        <is>
          <t>Mexico</t>
        </is>
      </c>
      <c r="C708" s="19" t="n">
        <v>131150866</v>
      </c>
      <c r="D708" s="18" t="inlineStr">
        <is>
          <t>MX</t>
        </is>
      </c>
      <c r="E708" s="18" t="inlineStr">
        <is>
          <t>31</t>
        </is>
      </c>
      <c r="F708" s="20" t="n">
        <v>777615</v>
      </c>
      <c r="G708" s="18" t="n"/>
      <c r="H708" s="18" t="inlineStr">
        <is>
          <t>MID</t>
        </is>
      </c>
      <c r="I708" s="18" t="inlineStr">
        <is>
          <t>Manuel Crescencio Rejón International Airport</t>
        </is>
      </c>
      <c r="J708" s="21" t="n">
        <v>5.8</v>
      </c>
      <c r="K708" s="18" t="inlineStr">
        <is>
          <t>MID</t>
        </is>
      </c>
      <c r="L708" s="18" t="inlineStr">
        <is>
          <t>100k +  pop + airport</t>
        </is>
      </c>
      <c r="M708" s="22" t="n">
        <v>0.581</v>
      </c>
      <c r="N708" s="22" t="n">
        <v>0</v>
      </c>
      <c r="O708" s="18" t="n"/>
      <c r="P708" s="22">
        <f>IF(O708="",(About!$B$5*M708+About!$B$6*N708)/(About!$B$5+About!$B$6),About!$B$5*M708+About!$B$6*N708+About!$B$7*O708)</f>
        <v/>
      </c>
      <c r="Q708" s="23" t="n">
        <v>20.9754</v>
      </c>
      <c r="R708" s="23" t="n">
        <v>-89.617</v>
      </c>
    </row>
    <row r="709" ht="15" customHeight="1" s="12">
      <c r="A709" s="18" t="inlineStr">
        <is>
          <t>Agadir</t>
        </is>
      </c>
      <c r="B709" s="18" t="inlineStr">
        <is>
          <t>Morocco</t>
        </is>
      </c>
      <c r="C709" s="19" t="n">
        <v>36828330</v>
      </c>
      <c r="D709" s="18" t="inlineStr">
        <is>
          <t>MA</t>
        </is>
      </c>
      <c r="E709" s="18" t="inlineStr">
        <is>
          <t>09</t>
        </is>
      </c>
      <c r="F709" s="20" t="n">
        <v>698310</v>
      </c>
      <c r="G709" s="18" t="n"/>
      <c r="H709" s="18" t="inlineStr">
        <is>
          <t>AGA</t>
        </is>
      </c>
      <c r="I709" s="18" t="inlineStr">
        <is>
          <t>Al Massira Airport</t>
        </is>
      </c>
      <c r="J709" s="21" t="n">
        <v>20.9</v>
      </c>
      <c r="K709" s="18" t="inlineStr">
        <is>
          <t>AGA</t>
        </is>
      </c>
      <c r="L709" s="18" t="inlineStr">
        <is>
          <t>100k +  pop</t>
        </is>
      </c>
      <c r="M709" s="22" t="n">
        <v>0.582</v>
      </c>
      <c r="N709" s="22" t="n">
        <v>0</v>
      </c>
      <c r="O709" s="18" t="n"/>
      <c r="P709" s="22">
        <f>IF(O709="",(About!$B$5*M709+About!$B$6*N709)/(About!$B$5+About!$B$6),About!$B$5*M709+About!$B$6*N709+About!$B$7*O709)</f>
        <v/>
      </c>
      <c r="Q709" s="23" t="n">
        <v>30.4202</v>
      </c>
      <c r="R709" s="23" t="n">
        <v>-9.5982</v>
      </c>
    </row>
    <row r="710" ht="15" customHeight="1" s="12">
      <c r="A710" s="18" t="inlineStr">
        <is>
          <t>Sarajevo</t>
        </is>
      </c>
      <c r="B710" s="18" t="inlineStr">
        <is>
          <t>Bosnia and Herzegovina</t>
        </is>
      </c>
      <c r="C710" s="19" t="n">
        <v>3412000</v>
      </c>
      <c r="D710" s="18" t="inlineStr">
        <is>
          <t>BA</t>
        </is>
      </c>
      <c r="E710" s="18" t="inlineStr">
        <is>
          <t>01</t>
        </is>
      </c>
      <c r="F710" s="20" t="n">
        <v>696731</v>
      </c>
      <c r="G710" s="18" t="inlineStr">
        <is>
          <t>Yes</t>
        </is>
      </c>
      <c r="H710" s="18" t="inlineStr">
        <is>
          <t>SJJ</t>
        </is>
      </c>
      <c r="I710" s="18" t="inlineStr">
        <is>
          <t>Sarajevo International Airport</t>
        </is>
      </c>
      <c r="J710" s="21" t="n">
        <v>3.3</v>
      </c>
      <c r="K710" s="18" t="inlineStr">
        <is>
          <t>SJJ</t>
        </is>
      </c>
      <c r="L710" s="18" t="inlineStr">
        <is>
          <t>100k +  pop + capital + airport</t>
        </is>
      </c>
      <c r="M710" s="22" t="n">
        <v>0.582</v>
      </c>
      <c r="N710" s="22" t="n">
        <v>0</v>
      </c>
      <c r="O710" s="18" t="n"/>
      <c r="P710" s="22">
        <f>IF(O710="",(About!$B$5*M710+About!$B$6*N710)/(About!$B$5+About!$B$6),About!$B$5*M710+About!$B$6*N710+About!$B$7*O710)</f>
        <v/>
      </c>
      <c r="Q710" s="23" t="n">
        <v>43.8486</v>
      </c>
      <c r="R710" s="23" t="n">
        <v>18.3564</v>
      </c>
    </row>
    <row r="711" ht="15" customHeight="1" s="12">
      <c r="A711" s="18" t="inlineStr">
        <is>
          <t>Morelia</t>
        </is>
      </c>
      <c r="B711" s="18" t="inlineStr">
        <is>
          <t>Mexico</t>
        </is>
      </c>
      <c r="C711" s="19" t="n">
        <v>131150866</v>
      </c>
      <c r="D711" s="18" t="inlineStr">
        <is>
          <t>MX</t>
        </is>
      </c>
      <c r="E711" s="18" t="inlineStr">
        <is>
          <t>16</t>
        </is>
      </c>
      <c r="F711" s="20" t="n">
        <v>597511</v>
      </c>
      <c r="G711" s="18" t="n"/>
      <c r="H711" s="18" t="inlineStr">
        <is>
          <t>MLM</t>
        </is>
      </c>
      <c r="I711" s="18" t="inlineStr">
        <is>
          <t>General Francisco J. Mujica International Airport</t>
        </is>
      </c>
      <c r="J711" s="21" t="n">
        <v>23.5</v>
      </c>
      <c r="K711" s="18" t="inlineStr">
        <is>
          <t>MLM</t>
        </is>
      </c>
      <c r="L711" s="18" t="inlineStr">
        <is>
          <t>100k +  pop + airport</t>
        </is>
      </c>
      <c r="M711" s="22" t="n">
        <v>0.582</v>
      </c>
      <c r="N711" s="22" t="n">
        <v>0</v>
      </c>
      <c r="O711" s="18" t="n"/>
      <c r="P711" s="22">
        <f>IF(O711="",(About!$B$5*M711+About!$B$6*N711)/(About!$B$5+About!$B$6),About!$B$5*M711+About!$B$6*N711+About!$B$7*O711)</f>
        <v/>
      </c>
      <c r="Q711" s="23" t="n">
        <v>19.7008</v>
      </c>
      <c r="R711" s="23" t="n">
        <v>-101.1844</v>
      </c>
    </row>
    <row r="712" ht="15" customHeight="1" s="12">
      <c r="A712" s="18" t="inlineStr">
        <is>
          <t>London</t>
        </is>
      </c>
      <c r="B712" s="18" t="inlineStr">
        <is>
          <t>Canada</t>
        </is>
      </c>
      <c r="C712" s="19" t="n">
        <v>41472081</v>
      </c>
      <c r="D712" s="18" t="inlineStr">
        <is>
          <t>CA</t>
        </is>
      </c>
      <c r="E712" s="18" t="inlineStr">
        <is>
          <t>08</t>
        </is>
      </c>
      <c r="F712" s="20" t="n">
        <v>346765</v>
      </c>
      <c r="G712" s="18" t="n"/>
      <c r="H712" s="18" t="inlineStr">
        <is>
          <t>YXU</t>
        </is>
      </c>
      <c r="I712" s="18" t="inlineStr">
        <is>
          <t>London International Airport</t>
        </is>
      </c>
      <c r="J712" s="21" t="n">
        <v>8.800000000000001</v>
      </c>
      <c r="K712" s="18" t="inlineStr">
        <is>
          <t>YXU</t>
        </is>
      </c>
      <c r="L712" s="18" t="inlineStr">
        <is>
          <t>100k +  pop + airport</t>
        </is>
      </c>
      <c r="M712" s="22" t="n">
        <v>0.582</v>
      </c>
      <c r="N712" s="22" t="n">
        <v>0</v>
      </c>
      <c r="O712" s="18" t="n"/>
      <c r="P712" s="22">
        <f>IF(O712="",(About!$B$5*M712+About!$B$6*N712)/(About!$B$5+About!$B$6),About!$B$5*M712+About!$B$6*N712+About!$B$7*O712)</f>
        <v/>
      </c>
      <c r="Q712" s="23" t="n">
        <v>42.9834</v>
      </c>
      <c r="R712" s="23" t="n">
        <v>-81.233</v>
      </c>
    </row>
    <row r="713" ht="15" customHeight="1" s="12">
      <c r="A713" s="18" t="inlineStr">
        <is>
          <t>Tanga</t>
        </is>
      </c>
      <c r="B713" s="18" t="inlineStr">
        <is>
          <t>Tanzania</t>
        </is>
      </c>
      <c r="C713" s="19" t="n">
        <v>68153004</v>
      </c>
      <c r="D713" s="18" t="inlineStr">
        <is>
          <t>TZ</t>
        </is>
      </c>
      <c r="E713" s="18" t="inlineStr">
        <is>
          <t>18</t>
        </is>
      </c>
      <c r="F713" s="20" t="n">
        <v>224876</v>
      </c>
      <c r="G713" s="18" t="n"/>
      <c r="H713" s="18" t="inlineStr">
        <is>
          <t>TGT</t>
        </is>
      </c>
      <c r="I713" s="18" t="inlineStr">
        <is>
          <t>Tanga Airport</t>
        </is>
      </c>
      <c r="J713" s="21" t="n">
        <v>4</v>
      </c>
      <c r="K713" s="18" t="inlineStr">
        <is>
          <t>TGT</t>
        </is>
      </c>
      <c r="L713" s="18" t="inlineStr">
        <is>
          <t>100k +  pop + airport</t>
        </is>
      </c>
      <c r="M713" s="22" t="n">
        <v>0.581</v>
      </c>
      <c r="N713" s="22" t="n">
        <v>0</v>
      </c>
      <c r="O713" s="18" t="n"/>
      <c r="P713" s="22">
        <f>IF(O713="",(About!$B$5*M713+About!$B$6*N713)/(About!$B$5+About!$B$6),About!$B$5*M713+About!$B$6*N713+About!$B$7*O713)</f>
        <v/>
      </c>
      <c r="Q713" s="23" t="n">
        <v>-5.0689</v>
      </c>
      <c r="R713" s="23" t="n">
        <v>39.0988</v>
      </c>
    </row>
    <row r="714" ht="15" customHeight="1" s="12">
      <c r="A714" s="18" t="inlineStr">
        <is>
          <t>Şalālah</t>
        </is>
      </c>
      <c r="B714" s="18" t="inlineStr">
        <is>
          <t>Oman</t>
        </is>
      </c>
      <c r="C714" s="19" t="n">
        <v>5368120</v>
      </c>
      <c r="D714" s="18" t="inlineStr">
        <is>
          <t>OM</t>
        </is>
      </c>
      <c r="E714" s="18" t="inlineStr">
        <is>
          <t>08</t>
        </is>
      </c>
      <c r="F714" s="20" t="n">
        <v>163140</v>
      </c>
      <c r="G714" s="18" t="n"/>
      <c r="H714" s="18" t="inlineStr">
        <is>
          <t>SLL</t>
        </is>
      </c>
      <c r="I714" s="18" t="inlineStr">
        <is>
          <t>Salalah International Airport</t>
        </is>
      </c>
      <c r="J714" s="21" t="n">
        <v>2.6</v>
      </c>
      <c r="K714" s="18" t="inlineStr">
        <is>
          <t>SLL</t>
        </is>
      </c>
      <c r="L714" s="18" t="inlineStr">
        <is>
          <t>100k +  pop + airport</t>
        </is>
      </c>
      <c r="M714" s="22" t="n">
        <v>0.582</v>
      </c>
      <c r="N714" s="22" t="n">
        <v>0</v>
      </c>
      <c r="O714" s="18" t="n"/>
      <c r="P714" s="22">
        <f>IF(O714="",(About!$B$5*M714+About!$B$6*N714)/(About!$B$5+About!$B$6),About!$B$5*M714+About!$B$6*N714+About!$B$7*O714)</f>
        <v/>
      </c>
      <c r="Q714" s="23" t="n">
        <v>17.015</v>
      </c>
      <c r="R714" s="23" t="n">
        <v>54.0924</v>
      </c>
    </row>
    <row r="715" ht="15" customHeight="1" s="12">
      <c r="A715" s="18" t="inlineStr">
        <is>
          <t>Bandar Seri Begawan</t>
        </is>
      </c>
      <c r="B715" s="18" t="inlineStr">
        <is>
          <t>Brunei</t>
        </is>
      </c>
      <c r="C715" s="19" t="n">
        <v>458600</v>
      </c>
      <c r="D715" s="18" t="inlineStr">
        <is>
          <t>BN</t>
        </is>
      </c>
      <c r="E715" s="18" t="inlineStr">
        <is>
          <t>02</t>
        </is>
      </c>
      <c r="F715" s="20" t="n">
        <v>64409</v>
      </c>
      <c r="G715" s="18" t="inlineStr">
        <is>
          <t>Yes</t>
        </is>
      </c>
      <c r="H715" s="18" t="inlineStr">
        <is>
          <t>BWN</t>
        </is>
      </c>
      <c r="I715" s="18" t="inlineStr">
        <is>
          <t>Brunei International Airport</t>
        </is>
      </c>
      <c r="J715" s="21" t="n">
        <v>6.1</v>
      </c>
      <c r="K715" s="18" t="inlineStr">
        <is>
          <t>BWN+LMN</t>
        </is>
      </c>
      <c r="L715" s="18" t="inlineStr">
        <is>
          <t>capital + airport</t>
        </is>
      </c>
      <c r="M715" s="22" t="n">
        <v>0.582</v>
      </c>
      <c r="N715" s="22" t="n">
        <v>0</v>
      </c>
      <c r="O715" s="18" t="n"/>
      <c r="P715" s="22">
        <f>IF(O715="",(About!$B$5*M715+About!$B$6*N715)/(About!$B$5+About!$B$6),About!$B$5*M715+About!$B$6*N715+About!$B$7*O715)</f>
        <v/>
      </c>
      <c r="Q715" s="23" t="n">
        <v>4.8903</v>
      </c>
      <c r="R715" s="23" t="n">
        <v>114.9401</v>
      </c>
    </row>
    <row r="716" ht="15" customHeight="1" s="12">
      <c r="A716" s="18" t="inlineStr">
        <is>
          <t>Mata-Utu</t>
        </is>
      </c>
      <c r="B716" s="18" t="inlineStr">
        <is>
          <t>Wallis and Futuna</t>
        </is>
      </c>
      <c r="C716" s="19" t="n">
        <v>11620</v>
      </c>
      <c r="D716" s="18" t="inlineStr">
        <is>
          <t>WF</t>
        </is>
      </c>
      <c r="E716" s="18" t="inlineStr">
        <is>
          <t>98613</t>
        </is>
      </c>
      <c r="F716" s="20" t="n">
        <v>1200</v>
      </c>
      <c r="G716" s="18" t="inlineStr">
        <is>
          <t>Yes</t>
        </is>
      </c>
      <c r="H716" s="18" t="inlineStr">
        <is>
          <t>WLS</t>
        </is>
      </c>
      <c r="I716" s="18" t="inlineStr">
        <is>
          <t>Hihifo Airport</t>
        </is>
      </c>
      <c r="J716" s="21" t="n">
        <v>5.4</v>
      </c>
      <c r="K716" s="18" t="inlineStr">
        <is>
          <t>WLS</t>
        </is>
      </c>
      <c r="L716" s="18" t="inlineStr">
        <is>
          <t>capital</t>
        </is>
      </c>
      <c r="M716" s="22" t="n">
        <v>0.582</v>
      </c>
      <c r="N716" s="22" t="n">
        <v>0</v>
      </c>
      <c r="O716" s="18" t="n"/>
      <c r="P716" s="22">
        <f>IF(O716="",(About!$B$5*M716+About!$B$6*N716)/(About!$B$5+About!$B$6),About!$B$5*M716+About!$B$6*N716+About!$B$7*O716)</f>
        <v/>
      </c>
      <c r="Q716" s="23" t="n">
        <v>-13.2816</v>
      </c>
      <c r="R716" s="23" t="n">
        <v>-176.1745</v>
      </c>
    </row>
    <row r="717" ht="15" customHeight="1" s="12">
      <c r="A717" s="18" t="inlineStr">
        <is>
          <t>Pereira</t>
        </is>
      </c>
      <c r="B717" s="18" t="inlineStr">
        <is>
          <t>Colombia</t>
        </is>
      </c>
      <c r="C717" s="19" t="n">
        <v>53057212</v>
      </c>
      <c r="D717" s="18" t="inlineStr">
        <is>
          <t>CO</t>
        </is>
      </c>
      <c r="E717" s="18" t="inlineStr">
        <is>
          <t>24</t>
        </is>
      </c>
      <c r="F717" s="20" t="n">
        <v>440118</v>
      </c>
      <c r="G717" s="18" t="n"/>
      <c r="H717" s="18" t="inlineStr">
        <is>
          <t>PEI</t>
        </is>
      </c>
      <c r="I717" s="18" t="inlineStr">
        <is>
          <t>Matecaña International Airport</t>
        </is>
      </c>
      <c r="J717" s="21" t="n">
        <v>4.8</v>
      </c>
      <c r="K717" s="18" t="inlineStr">
        <is>
          <t>PEI</t>
        </is>
      </c>
      <c r="L717" s="18" t="inlineStr">
        <is>
          <t>100k +  pop + airport</t>
        </is>
      </c>
      <c r="M717" s="22" t="n">
        <v>0.58</v>
      </c>
      <c r="N717" s="22" t="n">
        <v>0</v>
      </c>
      <c r="O717" s="18" t="n"/>
      <c r="P717" s="22">
        <f>IF(O717="",(About!$B$5*M717+About!$B$6*N717)/(About!$B$5+About!$B$6),About!$B$5*M717+About!$B$6*N717+About!$B$7*O717)</f>
        <v/>
      </c>
      <c r="Q717" s="23" t="n">
        <v>4.8133</v>
      </c>
      <c r="R717" s="23" t="n">
        <v>-75.6961</v>
      </c>
    </row>
    <row r="718" ht="15" customHeight="1" s="12">
      <c r="A718" s="18" t="inlineStr">
        <is>
          <t>Kashgar</t>
        </is>
      </c>
      <c r="B718" s="18" t="inlineStr">
        <is>
          <t>China</t>
        </is>
      </c>
      <c r="C718" s="19" t="n">
        <v>1404890000</v>
      </c>
      <c r="D718" s="18" t="inlineStr">
        <is>
          <t>CN</t>
        </is>
      </c>
      <c r="E718" s="18" t="inlineStr">
        <is>
          <t>13</t>
        </is>
      </c>
      <c r="F718" s="20" t="n">
        <v>274717</v>
      </c>
      <c r="G718" s="18" t="n"/>
      <c r="H718" s="18" t="inlineStr">
        <is>
          <t>KHG</t>
        </is>
      </c>
      <c r="I718" s="18" t="inlineStr">
        <is>
          <t>Kashgar Laining International Airport</t>
        </is>
      </c>
      <c r="J718" s="21" t="n">
        <v>8.4</v>
      </c>
      <c r="K718" s="18" t="inlineStr">
        <is>
          <t>KHG</t>
        </is>
      </c>
      <c r="L718" s="18" t="inlineStr">
        <is>
          <t>100k +  pop + airport</t>
        </is>
      </c>
      <c r="M718" s="22" t="n">
        <v>0.58</v>
      </c>
      <c r="N718" s="22" t="n">
        <v>0</v>
      </c>
      <c r="O718" s="18" t="n"/>
      <c r="P718" s="22">
        <f>IF(O718="",(About!$B$5*M718+About!$B$6*N718)/(About!$B$5+About!$B$6),About!$B$5*M718+About!$B$6*N718+About!$B$7*O718)</f>
        <v/>
      </c>
      <c r="Q718" s="23" t="n">
        <v>39.4707</v>
      </c>
      <c r="R718" s="23" t="n">
        <v>75.98950000000001</v>
      </c>
    </row>
    <row r="719" ht="15" customHeight="1" s="12">
      <c r="A719" s="18" t="inlineStr">
        <is>
          <t>Ðà Lạt</t>
        </is>
      </c>
      <c r="B719" s="18" t="inlineStr">
        <is>
          <t>Vietnam</t>
        </is>
      </c>
      <c r="C719" s="19" t="n">
        <v>102300000</v>
      </c>
      <c r="D719" s="18" t="inlineStr">
        <is>
          <t>VN</t>
        </is>
      </c>
      <c r="E719" s="18" t="inlineStr">
        <is>
          <t>23</t>
        </is>
      </c>
      <c r="F719" s="20" t="n">
        <v>197000</v>
      </c>
      <c r="G719" s="18" t="n"/>
      <c r="H719" s="18" t="inlineStr">
        <is>
          <t>DLI</t>
        </is>
      </c>
      <c r="I719" s="18" t="inlineStr">
        <is>
          <t>Lien Khuong Airport</t>
        </is>
      </c>
      <c r="J719" s="21" t="n">
        <v>23.3</v>
      </c>
      <c r="K719" s="18" t="inlineStr">
        <is>
          <t>DLI</t>
        </is>
      </c>
      <c r="L719" s="18" t="inlineStr">
        <is>
          <t>100k +  pop</t>
        </is>
      </c>
      <c r="M719" s="22" t="n">
        <v>0.58</v>
      </c>
      <c r="N719" s="22" t="n">
        <v>0</v>
      </c>
      <c r="O719" s="18" t="n"/>
      <c r="P719" s="22">
        <f>IF(O719="",(About!$B$5*M719+About!$B$6*N719)/(About!$B$5+About!$B$6),About!$B$5*M719+About!$B$6*N719+About!$B$7*O719)</f>
        <v/>
      </c>
      <c r="Q719" s="23" t="n">
        <v>11.9465</v>
      </c>
      <c r="R719" s="23" t="n">
        <v>108.4419</v>
      </c>
    </row>
    <row r="720" ht="15" customHeight="1" s="12">
      <c r="A720" s="18" t="inlineStr">
        <is>
          <t>Dosquebradas</t>
        </is>
      </c>
      <c r="B720" s="18" t="inlineStr">
        <is>
          <t>Colombia</t>
        </is>
      </c>
      <c r="C720" s="19" t="n">
        <v>53057212</v>
      </c>
      <c r="D720" s="18" t="inlineStr">
        <is>
          <t>CO</t>
        </is>
      </c>
      <c r="E720" s="18" t="inlineStr">
        <is>
          <t>24</t>
        </is>
      </c>
      <c r="F720" s="20" t="n">
        <v>179583</v>
      </c>
      <c r="G720" s="18" t="n"/>
      <c r="H720" s="18" t="inlineStr">
        <is>
          <t>PEI</t>
        </is>
      </c>
      <c r="I720" s="18" t="inlineStr">
        <is>
          <t>Matecaña International Airport</t>
        </is>
      </c>
      <c r="J720" s="21" t="n">
        <v>8.5</v>
      </c>
      <c r="K720" s="18" t="inlineStr">
        <is>
          <t>PEI</t>
        </is>
      </c>
      <c r="L720" s="18" t="inlineStr">
        <is>
          <t>100k +  pop + airport</t>
        </is>
      </c>
      <c r="M720" s="22" t="n">
        <v>0.58</v>
      </c>
      <c r="N720" s="22" t="n">
        <v>0</v>
      </c>
      <c r="O720" s="18" t="n"/>
      <c r="P720" s="22">
        <f>IF(O720="",(About!$B$5*M720+About!$B$6*N720)/(About!$B$5+About!$B$6),About!$B$5*M720+About!$B$6*N720+About!$B$7*O720)</f>
        <v/>
      </c>
      <c r="Q720" s="23" t="n">
        <v>4.8392</v>
      </c>
      <c r="R720" s="23" t="n">
        <v>-75.6673</v>
      </c>
    </row>
    <row r="721" ht="15" customHeight="1" s="12">
      <c r="A721" s="18" t="inlineStr">
        <is>
          <t>Đưc Trọng</t>
        </is>
      </c>
      <c r="B721" s="18" t="inlineStr">
        <is>
          <t>Vietnam</t>
        </is>
      </c>
      <c r="C721" s="19" t="n">
        <v>102300000</v>
      </c>
      <c r="D721" s="18" t="inlineStr">
        <is>
          <t>VN</t>
        </is>
      </c>
      <c r="E721" s="18" t="inlineStr">
        <is>
          <t>23</t>
        </is>
      </c>
      <c r="F721" s="20" t="n">
        <v>161232</v>
      </c>
      <c r="G721" s="18" t="n"/>
      <c r="H721" s="18" t="inlineStr">
        <is>
          <t>DLI</t>
        </is>
      </c>
      <c r="I721" s="18" t="inlineStr">
        <is>
          <t>Lien Khuong Airport</t>
        </is>
      </c>
      <c r="J721" s="21" t="n">
        <v>1.8</v>
      </c>
      <c r="K721" s="18" t="inlineStr">
        <is>
          <t>DLI</t>
        </is>
      </c>
      <c r="L721" s="18" t="inlineStr">
        <is>
          <t>100k +  pop + airport</t>
        </is>
      </c>
      <c r="M721" s="22" t="n">
        <v>0.58</v>
      </c>
      <c r="N721" s="22" t="n">
        <v>0</v>
      </c>
      <c r="O721" s="18" t="n"/>
      <c r="P721" s="22">
        <f>IF(O721="",(About!$B$5*M721+About!$B$6*N721)/(About!$B$5+About!$B$6),About!$B$5*M721+About!$B$6*N721+About!$B$7*O721)</f>
        <v/>
      </c>
      <c r="Q721" s="23" t="n">
        <v>11.7356</v>
      </c>
      <c r="R721" s="23" t="n">
        <v>108.3733</v>
      </c>
    </row>
    <row r="722" ht="15" customHeight="1" s="12">
      <c r="A722" s="18" t="inlineStr">
        <is>
          <t>Greater Sudbury</t>
        </is>
      </c>
      <c r="B722" s="18" t="inlineStr">
        <is>
          <t>Canada</t>
        </is>
      </c>
      <c r="C722" s="19" t="n">
        <v>41472081</v>
      </c>
      <c r="D722" s="18" t="inlineStr">
        <is>
          <t>CA</t>
        </is>
      </c>
      <c r="E722" s="18" t="inlineStr">
        <is>
          <t>08</t>
        </is>
      </c>
      <c r="F722" s="20" t="n">
        <v>157857</v>
      </c>
      <c r="G722" s="18" t="n"/>
      <c r="H722" s="18" t="inlineStr">
        <is>
          <t>YSB</t>
        </is>
      </c>
      <c r="I722" s="18" t="inlineStr">
        <is>
          <t>Sudbury Airport</t>
        </is>
      </c>
      <c r="J722" s="21" t="n">
        <v>20.9</v>
      </c>
      <c r="K722" s="18" t="inlineStr">
        <is>
          <t>YSB</t>
        </is>
      </c>
      <c r="L722" s="18" t="inlineStr">
        <is>
          <t>100k +  pop</t>
        </is>
      </c>
      <c r="M722" s="22" t="n">
        <v>0.58</v>
      </c>
      <c r="N722" s="22" t="n">
        <v>0</v>
      </c>
      <c r="O722" s="18" t="n"/>
      <c r="P722" s="22">
        <f>IF(O722="",(About!$B$5*M722+About!$B$6*N722)/(About!$B$5+About!$B$6),About!$B$5*M722+About!$B$6*N722+About!$B$7*O722)</f>
        <v/>
      </c>
      <c r="Q722" s="23" t="n">
        <v>46.49</v>
      </c>
      <c r="R722" s="23" t="n">
        <v>-80.98999999999999</v>
      </c>
    </row>
    <row r="723" ht="15" customHeight="1" s="12">
      <c r="A723" s="18" t="inlineStr">
        <is>
          <t>Weihai</t>
        </is>
      </c>
      <c r="B723" s="18" t="inlineStr">
        <is>
          <t>China</t>
        </is>
      </c>
      <c r="C723" s="19" t="n">
        <v>1404890000</v>
      </c>
      <c r="D723" s="18" t="inlineStr">
        <is>
          <t>CN</t>
        </is>
      </c>
      <c r="E723" s="18" t="inlineStr">
        <is>
          <t>25</t>
        </is>
      </c>
      <c r="F723" s="20" t="n">
        <v>152595</v>
      </c>
      <c r="G723" s="18" t="n"/>
      <c r="H723" s="18" t="inlineStr">
        <is>
          <t>WEH</t>
        </is>
      </c>
      <c r="I723" s="18" t="inlineStr">
        <is>
          <t>Weihai Dashuibo Airport</t>
        </is>
      </c>
      <c r="J723" s="21" t="n">
        <v>37.2</v>
      </c>
      <c r="K723" s="18" t="inlineStr">
        <is>
          <t>WEH</t>
        </is>
      </c>
      <c r="L723" s="18" t="inlineStr">
        <is>
          <t>100k +  pop + airport</t>
        </is>
      </c>
      <c r="M723" s="22" t="n">
        <v>0.579</v>
      </c>
      <c r="N723" s="22" t="n">
        <v>0</v>
      </c>
      <c r="O723" s="18" t="n"/>
      <c r="P723" s="22">
        <f>IF(O723="",(About!$B$5*M723+About!$B$6*N723)/(About!$B$5+About!$B$6),About!$B$5*M723+About!$B$6*N723+About!$B$7*O723)</f>
        <v/>
      </c>
      <c r="Q723" s="23" t="n">
        <v>37.5091</v>
      </c>
      <c r="R723" s="23" t="n">
        <v>122.1136</v>
      </c>
    </row>
    <row r="724" ht="15" customHeight="1" s="12">
      <c r="A724" s="18" t="inlineStr">
        <is>
          <t>Cartago</t>
        </is>
      </c>
      <c r="B724" s="18" t="inlineStr">
        <is>
          <t>Colombia</t>
        </is>
      </c>
      <c r="C724" s="19" t="n">
        <v>53057212</v>
      </c>
      <c r="D724" s="18" t="inlineStr">
        <is>
          <t>CO</t>
        </is>
      </c>
      <c r="E724" s="18" t="inlineStr">
        <is>
          <t>29</t>
        </is>
      </c>
      <c r="F724" s="20" t="n">
        <v>134827</v>
      </c>
      <c r="G724" s="18" t="n"/>
      <c r="H724" s="18" t="inlineStr">
        <is>
          <t>PEI</t>
        </is>
      </c>
      <c r="I724" s="18" t="inlineStr">
        <is>
          <t>Matecaña International Airport</t>
        </is>
      </c>
      <c r="J724" s="21" t="n">
        <v>20.5</v>
      </c>
      <c r="K724" s="18" t="inlineStr">
        <is>
          <t>PEI</t>
        </is>
      </c>
      <c r="L724" s="18" t="inlineStr">
        <is>
          <t>100k +  pop</t>
        </is>
      </c>
      <c r="M724" s="22" t="n">
        <v>0.58</v>
      </c>
      <c r="N724" s="22" t="n">
        <v>0</v>
      </c>
      <c r="O724" s="18" t="n"/>
      <c r="P724" s="22">
        <f>IF(O724="",(About!$B$5*M724+About!$B$6*N724)/(About!$B$5+About!$B$6),About!$B$5*M724+About!$B$6*N724+About!$B$7*O724)</f>
        <v/>
      </c>
      <c r="Q724" s="23" t="n">
        <v>4.7464</v>
      </c>
      <c r="R724" s="23" t="n">
        <v>-75.9117</v>
      </c>
    </row>
    <row r="725" ht="15" customHeight="1" s="12">
      <c r="A725" s="18" t="inlineStr">
        <is>
          <t>Cotonou</t>
        </is>
      </c>
      <c r="B725" s="18" t="inlineStr">
        <is>
          <t>Benin</t>
        </is>
      </c>
      <c r="C725" s="19" t="n">
        <v>13224860</v>
      </c>
      <c r="D725" s="18" t="inlineStr">
        <is>
          <t>BJ</t>
        </is>
      </c>
      <c r="E725" s="18" t="inlineStr">
        <is>
          <t>14</t>
        </is>
      </c>
      <c r="F725" s="20" t="n">
        <v>780000</v>
      </c>
      <c r="G725" s="18" t="inlineStr">
        <is>
          <t>Yes</t>
        </is>
      </c>
      <c r="H725" s="18" t="inlineStr">
        <is>
          <t>COO</t>
        </is>
      </c>
      <c r="I725" s="18" t="inlineStr">
        <is>
          <t>Cotonou Cadjehoun International Airport</t>
        </is>
      </c>
      <c r="J725" s="21" t="n">
        <v>3.9</v>
      </c>
      <c r="K725" s="18" t="inlineStr">
        <is>
          <t>COO</t>
        </is>
      </c>
      <c r="L725" s="18" t="inlineStr">
        <is>
          <t>100k +  pop + capital + airport</t>
        </is>
      </c>
      <c r="M725" s="22" t="n">
        <v>0.578</v>
      </c>
      <c r="N725" s="22" t="n">
        <v>0</v>
      </c>
      <c r="O725" s="18" t="n"/>
      <c r="P725" s="22">
        <f>IF(O725="",(About!$B$5*M725+About!$B$6*N725)/(About!$B$5+About!$B$6),About!$B$5*M725+About!$B$6*N725+About!$B$7*O725)</f>
        <v/>
      </c>
      <c r="Q725" s="23" t="n">
        <v>6.3654</v>
      </c>
      <c r="R725" s="23" t="n">
        <v>2.4183</v>
      </c>
    </row>
    <row r="726" ht="15" customHeight="1" s="12">
      <c r="A726" s="18" t="inlineStr">
        <is>
          <t>Djibouti</t>
        </is>
      </c>
      <c r="B726" s="18" t="inlineStr">
        <is>
          <t>Djibouti</t>
        </is>
      </c>
      <c r="C726" s="19" t="n">
        <v>1066809</v>
      </c>
      <c r="D726" s="18" t="inlineStr">
        <is>
          <t>DJ</t>
        </is>
      </c>
      <c r="E726" s="18" t="inlineStr">
        <is>
          <t>07</t>
        </is>
      </c>
      <c r="F726" s="20" t="n">
        <v>623891</v>
      </c>
      <c r="G726" s="18" t="inlineStr">
        <is>
          <t>Yes</t>
        </is>
      </c>
      <c r="H726" s="18" t="inlineStr">
        <is>
          <t>JIB</t>
        </is>
      </c>
      <c r="I726" s="18" t="inlineStr">
        <is>
          <t>Djibouti-Ambouli Airport</t>
        </is>
      </c>
      <c r="J726" s="21" t="n">
        <v>4.9</v>
      </c>
      <c r="K726" s="18" t="inlineStr">
        <is>
          <t>JIB</t>
        </is>
      </c>
      <c r="L726" s="18" t="inlineStr">
        <is>
          <t>100k +  pop + capital + airport</t>
        </is>
      </c>
      <c r="M726" s="22" t="n">
        <v>0.577</v>
      </c>
      <c r="N726" s="22" t="n">
        <v>0</v>
      </c>
      <c r="O726" s="18" t="n"/>
      <c r="P726" s="22">
        <f>IF(O726="",(About!$B$5*M726+About!$B$6*N726)/(About!$B$5+About!$B$6),About!$B$5*M726+About!$B$6*N726+About!$B$7*O726)</f>
        <v/>
      </c>
      <c r="Q726" s="23" t="n">
        <v>11.589</v>
      </c>
      <c r="R726" s="23" t="n">
        <v>43.145</v>
      </c>
    </row>
    <row r="727" ht="15" customHeight="1" s="12">
      <c r="A727" s="18" t="inlineStr">
        <is>
          <t>Iloilo</t>
        </is>
      </c>
      <c r="B727" s="18" t="inlineStr">
        <is>
          <t>Philippines</t>
        </is>
      </c>
      <c r="C727" s="19" t="n">
        <v>114123600</v>
      </c>
      <c r="D727" s="18" t="inlineStr">
        <is>
          <t>PH</t>
        </is>
      </c>
      <c r="E727" s="18" t="inlineStr">
        <is>
          <t>06</t>
        </is>
      </c>
      <c r="F727" s="20" t="n">
        <v>387681</v>
      </c>
      <c r="G727" s="18" t="n"/>
      <c r="H727" s="18" t="inlineStr">
        <is>
          <t>ILO</t>
        </is>
      </c>
      <c r="I727" s="18" t="inlineStr">
        <is>
          <t>Iloilo International Airport</t>
        </is>
      </c>
      <c r="J727" s="21" t="n">
        <v>17</v>
      </c>
      <c r="K727" s="18" t="inlineStr">
        <is>
          <t>ILO</t>
        </is>
      </c>
      <c r="L727" s="18" t="inlineStr">
        <is>
          <t>100k +  pop</t>
        </is>
      </c>
      <c r="M727" s="22" t="n">
        <v>0.579</v>
      </c>
      <c r="N727" s="22" t="n">
        <v>0</v>
      </c>
      <c r="O727" s="18" t="n"/>
      <c r="P727" s="22">
        <f>IF(O727="",(About!$B$5*M727+About!$B$6*N727)/(About!$B$5+About!$B$6),About!$B$5*M727+About!$B$6*N727+About!$B$7*O727)</f>
        <v/>
      </c>
      <c r="Q727" s="23" t="n">
        <v>10.6969</v>
      </c>
      <c r="R727" s="23" t="n">
        <v>122.5644</v>
      </c>
    </row>
    <row r="728" ht="15" customHeight="1" s="12">
      <c r="A728" s="18" t="inlineStr">
        <is>
          <t>Abomey-Calavi</t>
        </is>
      </c>
      <c r="B728" s="18" t="inlineStr">
        <is>
          <t>Benin</t>
        </is>
      </c>
      <c r="C728" s="19" t="n">
        <v>13224860</v>
      </c>
      <c r="D728" s="18" t="inlineStr">
        <is>
          <t>BJ</t>
        </is>
      </c>
      <c r="E728" s="18" t="inlineStr">
        <is>
          <t>09</t>
        </is>
      </c>
      <c r="F728" s="20" t="n">
        <v>385755</v>
      </c>
      <c r="G728" s="18" t="n"/>
      <c r="H728" s="18" t="inlineStr">
        <is>
          <t>COO</t>
        </is>
      </c>
      <c r="I728" s="18" t="inlineStr">
        <is>
          <t>Cotonou Cadjehoun International Airport</t>
        </is>
      </c>
      <c r="J728" s="21" t="n">
        <v>10.6</v>
      </c>
      <c r="K728" s="18" t="inlineStr">
        <is>
          <t>COO</t>
        </is>
      </c>
      <c r="L728" s="18" t="inlineStr">
        <is>
          <t>100k +  pop</t>
        </is>
      </c>
      <c r="M728" s="22" t="n">
        <v>0.578</v>
      </c>
      <c r="N728" s="22" t="n">
        <v>0</v>
      </c>
      <c r="O728" s="18" t="n"/>
      <c r="P728" s="22">
        <f>IF(O728="",(About!$B$5*M728+About!$B$6*N728)/(About!$B$5+About!$B$6),About!$B$5*M728+About!$B$6*N728+About!$B$7*O728)</f>
        <v/>
      </c>
      <c r="Q728" s="23" t="n">
        <v>6.4485</v>
      </c>
      <c r="R728" s="23" t="n">
        <v>2.3557</v>
      </c>
    </row>
    <row r="729" ht="15" customHeight="1" s="12">
      <c r="A729" s="18" t="inlineStr">
        <is>
          <t>Abha</t>
        </is>
      </c>
      <c r="B729" s="18" t="inlineStr">
        <is>
          <t>Saudi Arabia</t>
        </is>
      </c>
      <c r="C729" s="19" t="n">
        <v>35300280</v>
      </c>
      <c r="D729" s="18" t="inlineStr">
        <is>
          <t>SA</t>
        </is>
      </c>
      <c r="E729" s="18" t="inlineStr">
        <is>
          <t>11</t>
        </is>
      </c>
      <c r="F729" s="20" t="n">
        <v>210886</v>
      </c>
      <c r="G729" s="18" t="n"/>
      <c r="H729" s="18" t="inlineStr">
        <is>
          <t>AHB</t>
        </is>
      </c>
      <c r="I729" s="18" t="inlineStr">
        <is>
          <t>Abha International Airport</t>
        </is>
      </c>
      <c r="J729" s="21" t="n">
        <v>16.2</v>
      </c>
      <c r="K729" s="18" t="inlineStr">
        <is>
          <t>AHB</t>
        </is>
      </c>
      <c r="L729" s="18" t="inlineStr">
        <is>
          <t>100k +  pop + airport</t>
        </is>
      </c>
      <c r="M729" s="22" t="n">
        <v>0.578</v>
      </c>
      <c r="N729" s="22" t="n">
        <v>0</v>
      </c>
      <c r="O729" s="18" t="n"/>
      <c r="P729" s="22">
        <f>IF(O729="",(About!$B$5*M729+About!$B$6*N729)/(About!$B$5+About!$B$6),About!$B$5*M729+About!$B$6*N729+About!$B$7*O729)</f>
        <v/>
      </c>
      <c r="Q729" s="23" t="n">
        <v>18.2164</v>
      </c>
      <c r="R729" s="23" t="n">
        <v>42.5053</v>
      </c>
    </row>
    <row r="730" ht="15" customHeight="1" s="12">
      <c r="A730" s="18" t="inlineStr">
        <is>
          <t>Kassel</t>
        </is>
      </c>
      <c r="B730" s="18" t="inlineStr">
        <is>
          <t>Germany</t>
        </is>
      </c>
      <c r="C730" s="19" t="n">
        <v>83497147</v>
      </c>
      <c r="D730" s="18" t="inlineStr">
        <is>
          <t>DE</t>
        </is>
      </c>
      <c r="E730" s="18" t="inlineStr">
        <is>
          <t>05</t>
        </is>
      </c>
      <c r="F730" s="20" t="n">
        <v>194501</v>
      </c>
      <c r="G730" s="18" t="n"/>
      <c r="H730" s="18" t="inlineStr">
        <is>
          <t>KSF</t>
        </is>
      </c>
      <c r="I730" s="18" t="inlineStr">
        <is>
          <t>Kassel Airport</t>
        </is>
      </c>
      <c r="J730" s="21" t="n">
        <v>13.6</v>
      </c>
      <c r="K730" s="18" t="inlineStr">
        <is>
          <t>KSF</t>
        </is>
      </c>
      <c r="L730" s="18" t="inlineStr">
        <is>
          <t>100k +  pop</t>
        </is>
      </c>
      <c r="M730" s="22" t="n">
        <v>0.577</v>
      </c>
      <c r="N730" s="22" t="n">
        <v>0</v>
      </c>
      <c r="O730" s="18" t="n"/>
      <c r="P730" s="22">
        <f>IF(O730="",(About!$B$5*M730+About!$B$6*N730)/(About!$B$5+About!$B$6),About!$B$5*M730+About!$B$6*N730+About!$B$7*O730)</f>
        <v/>
      </c>
      <c r="Q730" s="23" t="n">
        <v>51.3167</v>
      </c>
      <c r="R730" s="23" t="n">
        <v>9.5</v>
      </c>
    </row>
    <row r="731" ht="15" customHeight="1" s="12">
      <c r="A731" s="18" t="inlineStr">
        <is>
          <t>Fort-de-France</t>
        </is>
      </c>
      <c r="B731" s="18" t="inlineStr">
        <is>
          <t>Martinique</t>
        </is>
      </c>
      <c r="C731" s="19" t="n">
        <v>346000</v>
      </c>
      <c r="D731" s="18" t="inlineStr">
        <is>
          <t>MQ</t>
        </is>
      </c>
      <c r="E731" s="18" t="inlineStr">
        <is>
          <t>MQ</t>
        </is>
      </c>
      <c r="F731" s="20" t="n">
        <v>89995</v>
      </c>
      <c r="G731" s="18" t="inlineStr">
        <is>
          <t>Yes</t>
        </is>
      </c>
      <c r="H731" s="18" t="inlineStr">
        <is>
          <t>FDF</t>
        </is>
      </c>
      <c r="I731" s="18" t="inlineStr">
        <is>
          <t>Martinique Aimé Césaire International Airport</t>
        </is>
      </c>
      <c r="J731" s="21" t="n">
        <v>7.8</v>
      </c>
      <c r="K731" s="18" t="inlineStr">
        <is>
          <t>FDF</t>
        </is>
      </c>
      <c r="L731" s="18" t="inlineStr">
        <is>
          <t>capital + airport</t>
        </is>
      </c>
      <c r="M731" s="22" t="n">
        <v>0.578</v>
      </c>
      <c r="N731" s="22" t="n">
        <v>0</v>
      </c>
      <c r="O731" s="18" t="n"/>
      <c r="P731" s="22">
        <f>IF(O731="",(About!$B$5*M731+About!$B$6*N731)/(About!$B$5+About!$B$6),About!$B$5*M731+About!$B$6*N731+About!$B$7*O731)</f>
        <v/>
      </c>
      <c r="Q731" s="23" t="n">
        <v>14.6037</v>
      </c>
      <c r="R731" s="23" t="n">
        <v>-61.0742</v>
      </c>
    </row>
    <row r="732" ht="15" customHeight="1" s="12">
      <c r="A732" s="18" t="inlineStr">
        <is>
          <t>Le Lamentin</t>
        </is>
      </c>
      <c r="B732" s="18" t="inlineStr">
        <is>
          <t>Martinique</t>
        </is>
      </c>
      <c r="C732" s="19" t="n">
        <v>346000</v>
      </c>
      <c r="D732" s="18" t="inlineStr">
        <is>
          <t>MQ</t>
        </is>
      </c>
      <c r="E732" s="18" t="inlineStr">
        <is>
          <t>MQ</t>
        </is>
      </c>
      <c r="F732" s="20" t="n">
        <v>39229</v>
      </c>
      <c r="G732" s="18" t="n"/>
      <c r="H732" s="18" t="inlineStr">
        <is>
          <t>FDF</t>
        </is>
      </c>
      <c r="I732" s="18" t="inlineStr">
        <is>
          <t>Martinique Aimé Césaire International Airport</t>
        </is>
      </c>
      <c r="J732" s="21" t="n">
        <v>2.5</v>
      </c>
      <c r="K732" s="18" t="inlineStr">
        <is>
          <t>FDF</t>
        </is>
      </c>
      <c r="L732" s="18" t="inlineStr">
        <is>
          <t>airport</t>
        </is>
      </c>
      <c r="M732" s="22" t="n">
        <v>0.578</v>
      </c>
      <c r="N732" s="22" t="n">
        <v>0</v>
      </c>
      <c r="O732" s="18" t="n"/>
      <c r="P732" s="22">
        <f>IF(O732="",(About!$B$5*M732+About!$B$6*N732)/(About!$B$5+About!$B$6),About!$B$5*M732+About!$B$6*N732+About!$B$7*O732)</f>
        <v/>
      </c>
      <c r="Q732" s="23" t="n">
        <v>14.6134</v>
      </c>
      <c r="R732" s="23" t="n">
        <v>-60.9996</v>
      </c>
    </row>
    <row r="733" ht="15" customHeight="1" s="12">
      <c r="A733" s="18" t="inlineStr">
        <is>
          <t>Cardiff</t>
        </is>
      </c>
      <c r="B733" s="18" t="inlineStr">
        <is>
          <t>United Kingdom</t>
        </is>
      </c>
      <c r="C733" s="19" t="n">
        <v>69487000</v>
      </c>
      <c r="D733" s="18" t="inlineStr">
        <is>
          <t>GB</t>
        </is>
      </c>
      <c r="E733" s="18" t="inlineStr">
        <is>
          <t>WLS</t>
        </is>
      </c>
      <c r="F733" s="20" t="n">
        <v>447287</v>
      </c>
      <c r="G733" s="18" t="n"/>
      <c r="H733" s="18" t="inlineStr">
        <is>
          <t>CWL</t>
        </is>
      </c>
      <c r="I733" s="18" t="inlineStr">
        <is>
          <t>Cardiff International Airport</t>
        </is>
      </c>
      <c r="J733" s="21" t="n">
        <v>14.6</v>
      </c>
      <c r="K733" s="18" t="inlineStr">
        <is>
          <t>CWL</t>
        </is>
      </c>
      <c r="L733" s="18" t="inlineStr">
        <is>
          <t>100k +  pop + airport</t>
        </is>
      </c>
      <c r="M733" s="22" t="n">
        <v>0.577</v>
      </c>
      <c r="N733" s="22" t="n">
        <v>0</v>
      </c>
      <c r="O733" s="18" t="n"/>
      <c r="P733" s="22">
        <f>IF(O733="",(About!$B$5*M733+About!$B$6*N733)/(About!$B$5+About!$B$6),About!$B$5*M733+About!$B$6*N733+About!$B$7*O733)</f>
        <v/>
      </c>
      <c r="Q733" s="23" t="n">
        <v>51.48</v>
      </c>
      <c r="R733" s="23" t="n">
        <v>-3.18</v>
      </c>
    </row>
    <row r="734" ht="15" customHeight="1" s="12">
      <c r="A734" s="18" t="inlineStr">
        <is>
          <t>Tacloban</t>
        </is>
      </c>
      <c r="B734" s="18" t="inlineStr">
        <is>
          <t>Philippines</t>
        </is>
      </c>
      <c r="C734" s="19" t="n">
        <v>114123600</v>
      </c>
      <c r="D734" s="18" t="inlineStr">
        <is>
          <t>PH</t>
        </is>
      </c>
      <c r="E734" s="18" t="inlineStr">
        <is>
          <t>08</t>
        </is>
      </c>
      <c r="F734" s="20" t="n">
        <v>242089</v>
      </c>
      <c r="G734" s="18" t="n"/>
      <c r="H734" s="18" t="inlineStr">
        <is>
          <t>TAC</t>
        </is>
      </c>
      <c r="I734" s="18" t="inlineStr">
        <is>
          <t>Daniel Z. Romualdez Airport</t>
        </is>
      </c>
      <c r="J734" s="21" t="n">
        <v>3.1</v>
      </c>
      <c r="K734" s="18" t="inlineStr">
        <is>
          <t>TAC</t>
        </is>
      </c>
      <c r="L734" s="18" t="inlineStr">
        <is>
          <t>100k +  pop + airport</t>
        </is>
      </c>
      <c r="M734" s="22" t="n">
        <v>0.576</v>
      </c>
      <c r="N734" s="22" t="n">
        <v>0</v>
      </c>
      <c r="O734" s="18" t="n"/>
      <c r="P734" s="22">
        <f>IF(O734="",(About!$B$5*M734+About!$B$6*N734)/(About!$B$5+About!$B$6),About!$B$5*M734+About!$B$6*N734+About!$B$7*O734)</f>
        <v/>
      </c>
      <c r="Q734" s="23" t="n">
        <v>11.2433</v>
      </c>
      <c r="R734" s="23" t="n">
        <v>125.0047</v>
      </c>
    </row>
    <row r="735" ht="15" customHeight="1" s="12">
      <c r="A735" s="18" t="inlineStr">
        <is>
          <t>Panalanoy</t>
        </is>
      </c>
      <c r="B735" s="18" t="inlineStr">
        <is>
          <t>Philippines</t>
        </is>
      </c>
      <c r="C735" s="19" t="n">
        <v>114123600</v>
      </c>
      <c r="D735" s="18" t="inlineStr">
        <is>
          <t>PH</t>
        </is>
      </c>
      <c r="E735" s="18" t="inlineStr">
        <is>
          <t>08</t>
        </is>
      </c>
      <c r="F735" s="20" t="n">
        <v>189090</v>
      </c>
      <c r="G735" s="18" t="n"/>
      <c r="H735" s="18" t="inlineStr">
        <is>
          <t>TAC</t>
        </is>
      </c>
      <c r="I735" s="18" t="inlineStr">
        <is>
          <t>Daniel Z. Romualdez Airport</t>
        </is>
      </c>
      <c r="J735" s="21" t="n">
        <v>3.5</v>
      </c>
      <c r="K735" s="18" t="inlineStr">
        <is>
          <t>TAC</t>
        </is>
      </c>
      <c r="L735" s="18" t="inlineStr">
        <is>
          <t>100k +  pop + airport</t>
        </is>
      </c>
      <c r="M735" s="22" t="n">
        <v>0.576</v>
      </c>
      <c r="N735" s="22" t="n">
        <v>0</v>
      </c>
      <c r="O735" s="18" t="n"/>
      <c r="P735" s="22">
        <f>IF(O735="",(About!$B$5*M735+About!$B$6*N735)/(About!$B$5+About!$B$6),About!$B$5*M735+About!$B$6*N735+About!$B$7*O735)</f>
        <v/>
      </c>
      <c r="Q735" s="23" t="n">
        <v>11.2511</v>
      </c>
      <c r="R735" s="23" t="n">
        <v>125.0064</v>
      </c>
    </row>
    <row r="736" ht="15" customHeight="1" s="12">
      <c r="A736" s="18" t="inlineStr">
        <is>
          <t>Lugano</t>
        </is>
      </c>
      <c r="B736" s="18" t="inlineStr">
        <is>
          <t>Switzerland</t>
        </is>
      </c>
      <c r="C736" s="19" t="n">
        <v>9124288</v>
      </c>
      <c r="D736" s="18" t="inlineStr">
        <is>
          <t>CH</t>
        </is>
      </c>
      <c r="E736" s="18" t="inlineStr">
        <is>
          <t>TI</t>
        </is>
      </c>
      <c r="F736" s="20" t="n">
        <v>63000</v>
      </c>
      <c r="G736" s="18" t="n"/>
      <c r="H736" s="18" t="inlineStr">
        <is>
          <t>LUG</t>
        </is>
      </c>
      <c r="I736" s="18" t="inlineStr">
        <is>
          <t>Lugano Airport</t>
        </is>
      </c>
      <c r="J736" s="21" t="n">
        <v>3.9</v>
      </c>
      <c r="K736" s="18" t="inlineStr">
        <is>
          <t>LUG</t>
        </is>
      </c>
      <c r="L736" s="18" t="inlineStr">
        <is>
          <t>airport</t>
        </is>
      </c>
      <c r="M736" s="22" t="n">
        <v>0.577</v>
      </c>
      <c r="N736" s="22" t="n">
        <v>0</v>
      </c>
      <c r="O736" s="18" t="n"/>
      <c r="P736" s="22">
        <f>IF(O736="",(About!$B$5*M736+About!$B$6*N736)/(About!$B$5+About!$B$6),About!$B$5*M736+About!$B$6*N736+About!$B$7*O736)</f>
        <v/>
      </c>
      <c r="Q736" s="23" t="n">
        <v>46.0101</v>
      </c>
      <c r="R736" s="23" t="n">
        <v>8.960000000000001</v>
      </c>
    </row>
    <row r="737" ht="15" customHeight="1" s="12">
      <c r="A737" s="18" t="inlineStr">
        <is>
          <t>Liberia</t>
        </is>
      </c>
      <c r="B737" s="18" t="inlineStr">
        <is>
          <t>Costa Rica</t>
        </is>
      </c>
      <c r="C737" s="19" t="n">
        <v>5191824</v>
      </c>
      <c r="D737" s="18" t="inlineStr">
        <is>
          <t>CR</t>
        </is>
      </c>
      <c r="E737" s="18" t="inlineStr">
        <is>
          <t>03</t>
        </is>
      </c>
      <c r="F737" s="20" t="n">
        <v>45380</v>
      </c>
      <c r="G737" s="18" t="n"/>
      <c r="H737" s="18" t="inlineStr">
        <is>
          <t>LIR</t>
        </is>
      </c>
      <c r="I737" s="18" t="inlineStr">
        <is>
          <t>Daniel Oduber Quirós International Airport</t>
        </is>
      </c>
      <c r="J737" s="21" t="n">
        <v>12.5</v>
      </c>
      <c r="K737" s="18" t="inlineStr">
        <is>
          <t>LIR</t>
        </is>
      </c>
      <c r="L737" s="18" t="inlineStr">
        <is>
          <t>airport</t>
        </is>
      </c>
      <c r="M737" s="22" t="n">
        <v>0.577</v>
      </c>
      <c r="N737" s="22" t="n">
        <v>0</v>
      </c>
      <c r="O737" s="18" t="n"/>
      <c r="P737" s="22">
        <f>IF(O737="",(About!$B$5*M737+About!$B$6*N737)/(About!$B$5+About!$B$6),About!$B$5*M737+About!$B$6*N737+About!$B$7*O737)</f>
        <v/>
      </c>
      <c r="Q737" s="23" t="n">
        <v>10.635</v>
      </c>
      <c r="R737" s="23" t="n">
        <v>-85.43770000000001</v>
      </c>
    </row>
    <row r="738" ht="15" customHeight="1" s="12">
      <c r="A738" s="18" t="inlineStr">
        <is>
          <t>Managua</t>
        </is>
      </c>
      <c r="B738" s="18" t="inlineStr">
        <is>
          <t>Nicaragua</t>
        </is>
      </c>
      <c r="C738" s="19" t="n">
        <v>6874748</v>
      </c>
      <c r="D738" s="18" t="inlineStr">
        <is>
          <t>NI</t>
        </is>
      </c>
      <c r="E738" s="18" t="inlineStr">
        <is>
          <t>10</t>
        </is>
      </c>
      <c r="F738" s="20" t="n">
        <v>973087</v>
      </c>
      <c r="G738" s="18" t="inlineStr">
        <is>
          <t>Yes</t>
        </is>
      </c>
      <c r="H738" s="18" t="inlineStr">
        <is>
          <t>MGA</t>
        </is>
      </c>
      <c r="I738" s="18" t="inlineStr">
        <is>
          <t>Augusto C. Sandino (Managua) International Airport</t>
        </is>
      </c>
      <c r="J738" s="21" t="n">
        <v>9</v>
      </c>
      <c r="K738" s="18" t="inlineStr">
        <is>
          <t>MGA</t>
        </is>
      </c>
      <c r="L738" s="18" t="inlineStr">
        <is>
          <t>100k +  pop + capital + airport</t>
        </is>
      </c>
      <c r="M738" s="22" t="n">
        <v>0.573</v>
      </c>
      <c r="N738" s="22" t="n">
        <v>0</v>
      </c>
      <c r="O738" s="18" t="n"/>
      <c r="P738" s="22">
        <f>IF(O738="",(About!$B$5*M738+About!$B$6*N738)/(About!$B$5+About!$B$6),About!$B$5*M738+About!$B$6*N738+About!$B$7*O738)</f>
        <v/>
      </c>
      <c r="Q738" s="23" t="n">
        <v>12.1328</v>
      </c>
      <c r="R738" s="23" t="n">
        <v>-86.2504</v>
      </c>
    </row>
    <row r="739" ht="15" customHeight="1" s="12">
      <c r="A739" s="18" t="inlineStr">
        <is>
          <t>Nottingham</t>
        </is>
      </c>
      <c r="B739" s="18" t="inlineStr">
        <is>
          <t>United Kingdom</t>
        </is>
      </c>
      <c r="C739" s="19" t="n">
        <v>69487000</v>
      </c>
      <c r="D739" s="18" t="inlineStr">
        <is>
          <t>GB</t>
        </is>
      </c>
      <c r="E739" s="18" t="inlineStr">
        <is>
          <t>ENG</t>
        </is>
      </c>
      <c r="F739" s="20" t="n">
        <v>729977</v>
      </c>
      <c r="G739" s="18" t="n"/>
      <c r="H739" s="18" t="inlineStr">
        <is>
          <t>EMA</t>
        </is>
      </c>
      <c r="I739" s="18" t="inlineStr">
        <is>
          <t>East Midlands Airport</t>
        </is>
      </c>
      <c r="J739" s="21" t="n">
        <v>18.1</v>
      </c>
      <c r="K739" s="18" t="inlineStr">
        <is>
          <t>EMA</t>
        </is>
      </c>
      <c r="L739" s="18" t="inlineStr">
        <is>
          <t>100k +  pop</t>
        </is>
      </c>
      <c r="M739" s="22" t="n">
        <v>0.573</v>
      </c>
      <c r="N739" s="22" t="n">
        <v>0</v>
      </c>
      <c r="O739" s="18" t="n"/>
      <c r="P739" s="22">
        <f>IF(O739="",(About!$B$5*M739+About!$B$6*N739)/(About!$B$5+About!$B$6),About!$B$5*M739+About!$B$6*N739+About!$B$7*O739)</f>
        <v/>
      </c>
      <c r="Q739" s="23" t="n">
        <v>52.9536</v>
      </c>
      <c r="R739" s="23" t="n">
        <v>-1.1505</v>
      </c>
    </row>
    <row r="740" ht="15" customHeight="1" s="12">
      <c r="A740" s="18" t="inlineStr">
        <is>
          <t>Blantyre</t>
        </is>
      </c>
      <c r="B740" s="18" t="inlineStr">
        <is>
          <t>Malawi</t>
        </is>
      </c>
      <c r="C740" s="19" t="n">
        <v>20734262</v>
      </c>
      <c r="D740" s="18" t="inlineStr">
        <is>
          <t>MW</t>
        </is>
      </c>
      <c r="E740" s="18" t="inlineStr">
        <is>
          <t>S</t>
        </is>
      </c>
      <c r="F740" s="20" t="n">
        <v>584877</v>
      </c>
      <c r="G740" s="18" t="n"/>
      <c r="H740" s="18" t="inlineStr">
        <is>
          <t>BLZ</t>
        </is>
      </c>
      <c r="I740" s="18" t="inlineStr">
        <is>
          <t>Chileka International Airport</t>
        </is>
      </c>
      <c r="J740" s="21" t="n">
        <v>12.6</v>
      </c>
      <c r="K740" s="18" t="inlineStr">
        <is>
          <t>BLZ</t>
        </is>
      </c>
      <c r="L740" s="18" t="inlineStr">
        <is>
          <t>100k +  pop + airport</t>
        </is>
      </c>
      <c r="M740" s="22" t="n">
        <v>0.574</v>
      </c>
      <c r="N740" s="22" t="n">
        <v>0</v>
      </c>
      <c r="O740" s="18" t="n"/>
      <c r="P740" s="22">
        <f>IF(O740="",(About!$B$5*M740+About!$B$6*N740)/(About!$B$5+About!$B$6),About!$B$5*M740+About!$B$6*N740+About!$B$7*O740)</f>
        <v/>
      </c>
      <c r="Q740" s="23" t="n">
        <v>-15.785</v>
      </c>
      <c r="R740" s="23" t="n">
        <v>35.0085</v>
      </c>
    </row>
    <row r="741" ht="15" customHeight="1" s="12">
      <c r="A741" s="18" t="inlineStr">
        <is>
          <t>Windsor</t>
        </is>
      </c>
      <c r="B741" s="18" t="inlineStr">
        <is>
          <t>Canada</t>
        </is>
      </c>
      <c r="C741" s="19" t="n">
        <v>41472081</v>
      </c>
      <c r="D741" s="18" t="inlineStr">
        <is>
          <t>CA</t>
        </is>
      </c>
      <c r="E741" s="18" t="inlineStr">
        <is>
          <t>08</t>
        </is>
      </c>
      <c r="F741" s="20" t="n">
        <v>278013</v>
      </c>
      <c r="G741" s="18" t="n"/>
      <c r="H741" s="18" t="inlineStr">
        <is>
          <t>YQG</t>
        </is>
      </c>
      <c r="I741" s="18" t="inlineStr">
        <is>
          <t>Windsor International Airport</t>
        </is>
      </c>
      <c r="J741" s="21" t="n">
        <v>5.7</v>
      </c>
      <c r="K741" s="18" t="inlineStr">
        <is>
          <t>YQG</t>
        </is>
      </c>
      <c r="L741" s="18" t="inlineStr">
        <is>
          <t>100k +  pop + airport</t>
        </is>
      </c>
      <c r="M741" s="22" t="n">
        <v>0.575</v>
      </c>
      <c r="N741" s="22" t="n">
        <v>0</v>
      </c>
      <c r="O741" s="18" t="n"/>
      <c r="P741" s="22">
        <f>IF(O741="",(About!$B$5*M741+About!$B$6*N741)/(About!$B$5+About!$B$6),About!$B$5*M741+About!$B$6*N741+About!$B$7*O741)</f>
        <v/>
      </c>
      <c r="Q741" s="23" t="n">
        <v>42.3001</v>
      </c>
      <c r="R741" s="23" t="n">
        <v>-83.01649999999999</v>
      </c>
    </row>
    <row r="742" ht="15" customHeight="1" s="12">
      <c r="A742" s="18" t="inlineStr">
        <is>
          <t>Derby</t>
        </is>
      </c>
      <c r="B742" s="18" t="inlineStr">
        <is>
          <t>United Kingdom</t>
        </is>
      </c>
      <c r="C742" s="19" t="n">
        <v>69487000</v>
      </c>
      <c r="D742" s="18" t="inlineStr">
        <is>
          <t>GB</t>
        </is>
      </c>
      <c r="E742" s="18" t="inlineStr">
        <is>
          <t>ENG</t>
        </is>
      </c>
      <c r="F742" s="20" t="n">
        <v>270468</v>
      </c>
      <c r="G742" s="18" t="n"/>
      <c r="H742" s="18" t="inlineStr">
        <is>
          <t>EMA</t>
        </is>
      </c>
      <c r="I742" s="18" t="inlineStr">
        <is>
          <t>East Midlands Airport</t>
        </is>
      </c>
      <c r="J742" s="21" t="n">
        <v>14.3</v>
      </c>
      <c r="K742" s="18" t="inlineStr">
        <is>
          <t>EMA</t>
        </is>
      </c>
      <c r="L742" s="18" t="inlineStr">
        <is>
          <t>100k +  pop</t>
        </is>
      </c>
      <c r="M742" s="22" t="n">
        <v>0.573</v>
      </c>
      <c r="N742" s="22" t="n">
        <v>0</v>
      </c>
      <c r="O742" s="18" t="n"/>
      <c r="P742" s="22">
        <f>IF(O742="",(About!$B$5*M742+About!$B$6*N742)/(About!$B$5+About!$B$6),About!$B$5*M742+About!$B$6*N742+About!$B$7*O742)</f>
        <v/>
      </c>
      <c r="Q742" s="23" t="n">
        <v>52.9228</v>
      </c>
      <c r="R742" s="23" t="n">
        <v>-1.4766</v>
      </c>
    </row>
    <row r="743" ht="15" customHeight="1" s="12">
      <c r="A743" s="18" t="inlineStr">
        <is>
          <t>Sucre</t>
        </is>
      </c>
      <c r="B743" s="18" t="inlineStr">
        <is>
          <t>Bolivia</t>
        </is>
      </c>
      <c r="C743" s="19" t="n">
        <v>11365333</v>
      </c>
      <c r="D743" s="18" t="inlineStr">
        <is>
          <t>BO</t>
        </is>
      </c>
      <c r="E743" s="18" t="inlineStr">
        <is>
          <t>01</t>
        </is>
      </c>
      <c r="F743" s="20" t="n">
        <v>224838</v>
      </c>
      <c r="G743" s="18" t="inlineStr">
        <is>
          <t>Yes</t>
        </is>
      </c>
      <c r="H743" s="18" t="inlineStr">
        <is>
          <t>SRE</t>
        </is>
      </c>
      <c r="I743" s="18" t="inlineStr">
        <is>
          <t>Alcantarí International Airport</t>
        </is>
      </c>
      <c r="J743" s="21" t="n">
        <v>26.5</v>
      </c>
      <c r="K743" s="18" t="inlineStr">
        <is>
          <t>SRE</t>
        </is>
      </c>
      <c r="L743" s="18" t="inlineStr">
        <is>
          <t>100k +  pop + capital + airport</t>
        </is>
      </c>
      <c r="M743" s="22" t="n">
        <v>0.573</v>
      </c>
      <c r="N743" s="22" t="n">
        <v>0</v>
      </c>
      <c r="O743" s="18" t="n"/>
      <c r="P743" s="22">
        <f>IF(O743="",(About!$B$5*M743+About!$B$6*N743)/(About!$B$5+About!$B$6),About!$B$5*M743+About!$B$6*N743+About!$B$7*O743)</f>
        <v/>
      </c>
      <c r="Q743" s="23" t="n">
        <v>-19.0333</v>
      </c>
      <c r="R743" s="23" t="n">
        <v>-65.2627</v>
      </c>
    </row>
    <row r="744" ht="15" customHeight="1" s="12">
      <c r="A744" s="18" t="inlineStr">
        <is>
          <t>Nicosia</t>
        </is>
      </c>
      <c r="B744" s="18" t="inlineStr">
        <is>
          <t>Cyprus</t>
        </is>
      </c>
      <c r="C744" s="19" t="n">
        <v>983000</v>
      </c>
      <c r="D744" s="18" t="inlineStr">
        <is>
          <t>CY</t>
        </is>
      </c>
      <c r="E744" s="18" t="inlineStr">
        <is>
          <t>04</t>
        </is>
      </c>
      <c r="F744" s="20" t="n">
        <v>200452</v>
      </c>
      <c r="G744" s="18" t="inlineStr">
        <is>
          <t>Yes</t>
        </is>
      </c>
      <c r="H744" s="18" t="inlineStr">
        <is>
          <t>ECN</t>
        </is>
      </c>
      <c r="I744" s="18" t="inlineStr">
        <is>
          <t>Ercan International Airport</t>
        </is>
      </c>
      <c r="J744" s="21" t="n">
        <v>13.2</v>
      </c>
      <c r="K744" s="18" t="inlineStr">
        <is>
          <t>ECN</t>
        </is>
      </c>
      <c r="L744" s="18" t="inlineStr">
        <is>
          <t>100k +  pop + capital</t>
        </is>
      </c>
      <c r="M744" s="22" t="n">
        <v>0.574</v>
      </c>
      <c r="N744" s="22" t="n">
        <v>0</v>
      </c>
      <c r="O744" s="18" t="n"/>
      <c r="P744" s="22">
        <f>IF(O744="",(About!$B$5*M744+About!$B$6*N744)/(About!$B$5+About!$B$6),About!$B$5*M744+About!$B$6*N744+About!$B$7*O744)</f>
        <v/>
      </c>
      <c r="Q744" s="23" t="n">
        <v>35.1753</v>
      </c>
      <c r="R744" s="23" t="n">
        <v>33.3642</v>
      </c>
    </row>
    <row r="745" ht="15" customHeight="1" s="12">
      <c r="A745" s="18" t="inlineStr">
        <is>
          <t>Masaya</t>
        </is>
      </c>
      <c r="B745" s="18" t="inlineStr">
        <is>
          <t>Nicaragua</t>
        </is>
      </c>
      <c r="C745" s="19" t="n">
        <v>6874748</v>
      </c>
      <c r="D745" s="18" t="inlineStr">
        <is>
          <t>NI</t>
        </is>
      </c>
      <c r="E745" s="18" t="inlineStr">
        <is>
          <t>11</t>
        </is>
      </c>
      <c r="F745" s="20" t="n">
        <v>130113</v>
      </c>
      <c r="G745" s="18" t="n"/>
      <c r="H745" s="18" t="inlineStr">
        <is>
          <t>MGA</t>
        </is>
      </c>
      <c r="I745" s="18" t="inlineStr">
        <is>
          <t>Augusto C. Sandino (Managua) International Airport</t>
        </is>
      </c>
      <c r="J745" s="21" t="n">
        <v>20.2</v>
      </c>
      <c r="K745" s="18" t="inlineStr">
        <is>
          <t>MGA</t>
        </is>
      </c>
      <c r="L745" s="18" t="inlineStr">
        <is>
          <t>100k +  pop</t>
        </is>
      </c>
      <c r="M745" s="22" t="n">
        <v>0.573</v>
      </c>
      <c r="N745" s="22" t="n">
        <v>0</v>
      </c>
      <c r="O745" s="18" t="n"/>
      <c r="P745" s="22">
        <f>IF(O745="",(About!$B$5*M745+About!$B$6*N745)/(About!$B$5+About!$B$6),About!$B$5*M745+About!$B$6*N745+About!$B$7*O745)</f>
        <v/>
      </c>
      <c r="Q745" s="23" t="n">
        <v>11.9744</v>
      </c>
      <c r="R745" s="23" t="n">
        <v>-86.0942</v>
      </c>
    </row>
    <row r="746" ht="15" customHeight="1" s="12">
      <c r="A746" s="18" t="inlineStr">
        <is>
          <t>Isiro</t>
        </is>
      </c>
      <c r="B746" s="18" t="inlineStr">
        <is>
          <t>DR Congo</t>
        </is>
      </c>
      <c r="C746" s="19" t="n">
        <v>112832000</v>
      </c>
      <c r="D746" s="18" t="inlineStr">
        <is>
          <t>CD</t>
        </is>
      </c>
      <c r="E746" s="18" t="inlineStr">
        <is>
          <t>16</t>
        </is>
      </c>
      <c r="F746" s="20" t="n">
        <v>127076</v>
      </c>
      <c r="G746" s="18" t="n"/>
      <c r="H746" s="18" t="inlineStr">
        <is>
          <t>IRP</t>
        </is>
      </c>
      <c r="I746" s="18" t="inlineStr">
        <is>
          <t>Matari Airport</t>
        </is>
      </c>
      <c r="J746" s="21" t="n">
        <v>6.7</v>
      </c>
      <c r="K746" s="18" t="inlineStr">
        <is>
          <t>IRP</t>
        </is>
      </c>
      <c r="L746" s="18" t="inlineStr">
        <is>
          <t>100k +  pop + airport</t>
        </is>
      </c>
      <c r="M746" s="22" t="n">
        <v>0.574</v>
      </c>
      <c r="N746" s="22" t="n">
        <v>0</v>
      </c>
      <c r="O746" s="18" t="n"/>
      <c r="P746" s="22">
        <f>IF(O746="",(About!$B$5*M746+About!$B$6*N746)/(About!$B$5+About!$B$6),About!$B$5*M746+About!$B$6*N746+About!$B$7*O746)</f>
        <v/>
      </c>
      <c r="Q746" s="23" t="n">
        <v>2.7739</v>
      </c>
      <c r="R746" s="23" t="n">
        <v>27.616</v>
      </c>
    </row>
    <row r="747" ht="15" customHeight="1" s="12">
      <c r="A747" s="18" t="inlineStr">
        <is>
          <t>Burton upon Trent</t>
        </is>
      </c>
      <c r="B747" s="18" t="inlineStr">
        <is>
          <t>United Kingdom</t>
        </is>
      </c>
      <c r="C747" s="19" t="n">
        <v>69487000</v>
      </c>
      <c r="D747" s="18" t="inlineStr">
        <is>
          <t>GB</t>
        </is>
      </c>
      <c r="E747" s="18" t="inlineStr">
        <is>
          <t>ENG</t>
        </is>
      </c>
      <c r="F747" s="20" t="n">
        <v>122199</v>
      </c>
      <c r="G747" s="18" t="n"/>
      <c r="H747" s="18" t="inlineStr">
        <is>
          <t>EMA</t>
        </is>
      </c>
      <c r="I747" s="18" t="inlineStr">
        <is>
          <t>East Midlands Airport</t>
        </is>
      </c>
      <c r="J747" s="21" t="n">
        <v>21.3</v>
      </c>
      <c r="K747" s="18" t="inlineStr">
        <is>
          <t>EMA</t>
        </is>
      </c>
      <c r="L747" s="18" t="inlineStr">
        <is>
          <t>100k +  pop</t>
        </is>
      </c>
      <c r="M747" s="22" t="n">
        <v>0.573</v>
      </c>
      <c r="N747" s="22" t="n">
        <v>0</v>
      </c>
      <c r="O747" s="18" t="n"/>
      <c r="P747" s="22">
        <f>IF(O747="",(About!$B$5*M747+About!$B$6*N747)/(About!$B$5+About!$B$6),About!$B$5*M747+About!$B$6*N747+About!$B$7*O747)</f>
        <v/>
      </c>
      <c r="Q747" s="23" t="n">
        <v>52.8073</v>
      </c>
      <c r="R747" s="23" t="n">
        <v>-1.6426</v>
      </c>
    </row>
    <row r="748" ht="15" customHeight="1" s="12">
      <c r="A748" s="18" t="inlineStr">
        <is>
          <t>Camayenne</t>
        </is>
      </c>
      <c r="B748" s="18" t="inlineStr">
        <is>
          <t>Guinea</t>
        </is>
      </c>
      <c r="C748" s="19" t="n">
        <v>17521167</v>
      </c>
      <c r="D748" s="18" t="inlineStr">
        <is>
          <t>GN</t>
        </is>
      </c>
      <c r="E748" s="18" t="inlineStr">
        <is>
          <t>04</t>
        </is>
      </c>
      <c r="F748" s="20" t="n">
        <v>1871242</v>
      </c>
      <c r="G748" s="18" t="n"/>
      <c r="H748" s="18" t="inlineStr">
        <is>
          <t>CKY</t>
        </is>
      </c>
      <c r="I748" s="18" t="inlineStr">
        <is>
          <t>Ahmed Sékou Touré International Airport</t>
        </is>
      </c>
      <c r="J748" s="21" t="n">
        <v>9.5</v>
      </c>
      <c r="K748" s="18" t="inlineStr">
        <is>
          <t>CKY</t>
        </is>
      </c>
      <c r="L748" s="18" t="inlineStr">
        <is>
          <t>100k +  pop + airport</t>
        </is>
      </c>
      <c r="M748" s="22" t="n">
        <v>0.572</v>
      </c>
      <c r="N748" s="22" t="n">
        <v>0</v>
      </c>
      <c r="O748" s="18" t="n"/>
      <c r="P748" s="22">
        <f>IF(O748="",(About!$B$5*M748+About!$B$6*N748)/(About!$B$5+About!$B$6),About!$B$5*M748+About!$B$6*N748+About!$B$7*O748)</f>
        <v/>
      </c>
      <c r="Q748" s="23" t="n">
        <v>9.535</v>
      </c>
      <c r="R748" s="23" t="n">
        <v>-13.6878</v>
      </c>
    </row>
    <row r="749" ht="15" customHeight="1" s="12">
      <c r="A749" s="18" t="inlineStr">
        <is>
          <t>Conakry</t>
        </is>
      </c>
      <c r="B749" s="18" t="inlineStr">
        <is>
          <t>Guinea</t>
        </is>
      </c>
      <c r="C749" s="19" t="n">
        <v>17521167</v>
      </c>
      <c r="D749" s="18" t="inlineStr">
        <is>
          <t>GN</t>
        </is>
      </c>
      <c r="E749" s="18" t="inlineStr">
        <is>
          <t>04</t>
        </is>
      </c>
      <c r="F749" s="20" t="n">
        <v>1767200</v>
      </c>
      <c r="G749" s="18" t="inlineStr">
        <is>
          <t>Yes</t>
        </is>
      </c>
      <c r="H749" s="18" t="inlineStr">
        <is>
          <t>CKY</t>
        </is>
      </c>
      <c r="I749" s="18" t="inlineStr">
        <is>
          <t>Ahmed Sékou Touré International Airport</t>
        </is>
      </c>
      <c r="J749" s="21" t="n">
        <v>8.4</v>
      </c>
      <c r="K749" s="18" t="inlineStr">
        <is>
          <t>CKY</t>
        </is>
      </c>
      <c r="L749" s="18" t="inlineStr">
        <is>
          <t>100k +  pop + capital + airport</t>
        </is>
      </c>
      <c r="M749" s="22" t="n">
        <v>0.572</v>
      </c>
      <c r="N749" s="22" t="n">
        <v>0</v>
      </c>
      <c r="O749" s="18" t="n"/>
      <c r="P749" s="22">
        <f>IF(O749="",(About!$B$5*M749+About!$B$6*N749)/(About!$B$5+About!$B$6),About!$B$5*M749+About!$B$6*N749+About!$B$7*O749)</f>
        <v/>
      </c>
      <c r="Q749" s="23" t="n">
        <v>9.538</v>
      </c>
      <c r="R749" s="23" t="n">
        <v>-13.6773</v>
      </c>
    </row>
    <row r="750" ht="15" customHeight="1" s="12">
      <c r="A750" s="18" t="inlineStr">
        <is>
          <t>Kota Bharu</t>
        </is>
      </c>
      <c r="B750" s="18" t="inlineStr">
        <is>
          <t>Malaysia</t>
        </is>
      </c>
      <c r="C750" s="19" t="n">
        <v>34374300</v>
      </c>
      <c r="D750" s="18" t="inlineStr">
        <is>
          <t>MY</t>
        </is>
      </c>
      <c r="E750" s="18" t="inlineStr">
        <is>
          <t>03</t>
        </is>
      </c>
      <c r="F750" s="20" t="n">
        <v>1459994</v>
      </c>
      <c r="G750" s="18" t="n"/>
      <c r="H750" s="18" t="inlineStr">
        <is>
          <t>KBR</t>
        </is>
      </c>
      <c r="I750" s="18" t="inlineStr">
        <is>
          <t>Sultan Ismail Petra Airport</t>
        </is>
      </c>
      <c r="J750" s="21" t="n">
        <v>7.3</v>
      </c>
      <c r="K750" s="18" t="inlineStr">
        <is>
          <t>KBR</t>
        </is>
      </c>
      <c r="L750" s="18" t="inlineStr">
        <is>
          <t>100k +  pop + airport</t>
        </is>
      </c>
      <c r="M750" s="22" t="n">
        <v>0.571</v>
      </c>
      <c r="N750" s="22" t="n">
        <v>0</v>
      </c>
      <c r="O750" s="18" t="n"/>
      <c r="P750" s="22">
        <f>IF(O750="",(About!$B$5*M750+About!$B$6*N750)/(About!$B$5+About!$B$6),About!$B$5*M750+About!$B$6*N750+About!$B$7*O750)</f>
        <v/>
      </c>
      <c r="Q750" s="23" t="n">
        <v>6.1236</v>
      </c>
      <c r="R750" s="23" t="n">
        <v>102.2433</v>
      </c>
    </row>
    <row r="751" ht="15" customHeight="1" s="12">
      <c r="A751" s="18" t="inlineStr">
        <is>
          <t>Gaziantep</t>
        </is>
      </c>
      <c r="B751" s="18" t="inlineStr">
        <is>
          <t>Türkiye</t>
        </is>
      </c>
      <c r="C751" s="19" t="n">
        <v>86092168</v>
      </c>
      <c r="D751" s="18" t="inlineStr">
        <is>
          <t>TR</t>
        </is>
      </c>
      <c r="E751" s="18" t="inlineStr">
        <is>
          <t>83</t>
        </is>
      </c>
      <c r="F751" s="20" t="n">
        <v>1065975</v>
      </c>
      <c r="G751" s="18" t="n"/>
      <c r="H751" s="18" t="inlineStr">
        <is>
          <t>GZT</t>
        </is>
      </c>
      <c r="I751" s="18" t="inlineStr">
        <is>
          <t>Gaziantep Oğuzeli International Airport</t>
        </is>
      </c>
      <c r="J751" s="21" t="n">
        <v>15.1</v>
      </c>
      <c r="K751" s="18" t="inlineStr">
        <is>
          <t>GZT</t>
        </is>
      </c>
      <c r="L751" s="18" t="inlineStr">
        <is>
          <t>100k +  pop + airport</t>
        </is>
      </c>
      <c r="M751" s="22" t="n">
        <v>0.571</v>
      </c>
      <c r="N751" s="22" t="n">
        <v>0</v>
      </c>
      <c r="O751" s="18" t="n"/>
      <c r="P751" s="22">
        <f>IF(O751="",(About!$B$5*M751+About!$B$6*N751)/(About!$B$5+About!$B$6),About!$B$5*M751+About!$B$6*N751+About!$B$7*O751)</f>
        <v/>
      </c>
      <c r="Q751" s="23" t="n">
        <v>37.0594</v>
      </c>
      <c r="R751" s="23" t="n">
        <v>37.3825</v>
      </c>
    </row>
    <row r="752" ht="15" customHeight="1" s="12">
      <c r="A752" s="18" t="inlineStr">
        <is>
          <t>Taichung</t>
        </is>
      </c>
      <c r="B752" s="18" t="inlineStr">
        <is>
          <t>Taiwan</t>
        </is>
      </c>
      <c r="C752" s="19" t="n">
        <v>23262544</v>
      </c>
      <c r="D752" s="18" t="inlineStr">
        <is>
          <t>TW</t>
        </is>
      </c>
      <c r="E752" s="18" t="inlineStr">
        <is>
          <t>04</t>
        </is>
      </c>
      <c r="F752" s="20" t="n">
        <v>1040725</v>
      </c>
      <c r="G752" s="18" t="n"/>
      <c r="H752" s="18" t="inlineStr">
        <is>
          <t>RMQ</t>
        </is>
      </c>
      <c r="I752" s="18" t="inlineStr">
        <is>
          <t>Taichung International Airport / Ching Chuang Kang Air Base</t>
        </is>
      </c>
      <c r="J752" s="21" t="n">
        <v>14.6</v>
      </c>
      <c r="K752" s="18" t="inlineStr">
        <is>
          <t>RMQ</t>
        </is>
      </c>
      <c r="L752" s="18" t="inlineStr">
        <is>
          <t>100k +  pop</t>
        </is>
      </c>
      <c r="M752" s="22" t="n">
        <v>0.573</v>
      </c>
      <c r="N752" s="22" t="n">
        <v>0</v>
      </c>
      <c r="O752" s="18" t="n"/>
      <c r="P752" s="22">
        <f>IF(O752="",(About!$B$5*M752+About!$B$6*N752)/(About!$B$5+About!$B$6),About!$B$5*M752+About!$B$6*N752+About!$B$7*O752)</f>
        <v/>
      </c>
      <c r="Q752" s="23" t="n">
        <v>24.1469</v>
      </c>
      <c r="R752" s="23" t="n">
        <v>120.6839</v>
      </c>
    </row>
    <row r="753" ht="15" customHeight="1" s="12">
      <c r="A753" s="18" t="inlineStr">
        <is>
          <t>Trujillo</t>
        </is>
      </c>
      <c r="B753" s="18" t="inlineStr">
        <is>
          <t>Peru</t>
        </is>
      </c>
      <c r="C753" s="19" t="n">
        <v>34350244</v>
      </c>
      <c r="D753" s="18" t="inlineStr">
        <is>
          <t>PE</t>
        </is>
      </c>
      <c r="E753" s="18" t="inlineStr">
        <is>
          <t>13</t>
        </is>
      </c>
      <c r="F753" s="20" t="n">
        <v>747450</v>
      </c>
      <c r="G753" s="18" t="n"/>
      <c r="H753" s="18" t="inlineStr">
        <is>
          <t>TRU</t>
        </is>
      </c>
      <c r="I753" s="18" t="inlineStr">
        <is>
          <t>Capitán FAP Carlos Martínez de Pinillos International Airport</t>
        </is>
      </c>
      <c r="J753" s="21" t="n">
        <v>9.4</v>
      </c>
      <c r="K753" s="18" t="inlineStr">
        <is>
          <t>TRU</t>
        </is>
      </c>
      <c r="L753" s="18" t="inlineStr">
        <is>
          <t>100k +  pop + airport</t>
        </is>
      </c>
      <c r="M753" s="22" t="n">
        <v>0.571</v>
      </c>
      <c r="N753" s="22" t="n">
        <v>0</v>
      </c>
      <c r="O753" s="18" t="n"/>
      <c r="P753" s="22">
        <f>IF(O753="",(About!$B$5*M753+About!$B$6*N753)/(About!$B$5+About!$B$6),About!$B$5*M753+About!$B$6*N753+About!$B$7*O753)</f>
        <v/>
      </c>
      <c r="Q753" s="23" t="n">
        <v>-8.116</v>
      </c>
      <c r="R753" s="23" t="n">
        <v>-79.03</v>
      </c>
    </row>
    <row r="754" ht="15" customHeight="1" s="12">
      <c r="A754" s="18" t="inlineStr">
        <is>
          <t>Aswan</t>
        </is>
      </c>
      <c r="B754" s="18" t="inlineStr">
        <is>
          <t>Egypt</t>
        </is>
      </c>
      <c r="C754" s="19" t="n">
        <v>108613296</v>
      </c>
      <c r="D754" s="18" t="inlineStr">
        <is>
          <t>EG</t>
        </is>
      </c>
      <c r="E754" s="18" t="inlineStr">
        <is>
          <t>16</t>
        </is>
      </c>
      <c r="F754" s="20" t="n">
        <v>241261</v>
      </c>
      <c r="G754" s="18" t="n"/>
      <c r="H754" s="18" t="inlineStr">
        <is>
          <t>ASW</t>
        </is>
      </c>
      <c r="I754" s="18" t="inlineStr">
        <is>
          <t>Aswan International Airport</t>
        </is>
      </c>
      <c r="J754" s="21" t="n">
        <v>16.5</v>
      </c>
      <c r="K754" s="18" t="inlineStr">
        <is>
          <t>ASW</t>
        </is>
      </c>
      <c r="L754" s="18" t="inlineStr">
        <is>
          <t>100k +  pop + airport</t>
        </is>
      </c>
      <c r="M754" s="22" t="n">
        <v>0.572</v>
      </c>
      <c r="N754" s="22" t="n">
        <v>0</v>
      </c>
      <c r="O754" s="18" t="n"/>
      <c r="P754" s="22">
        <f>IF(O754="",(About!$B$5*M754+About!$B$6*N754)/(About!$B$5+About!$B$6),About!$B$5*M754+About!$B$6*N754+About!$B$7*O754)</f>
        <v/>
      </c>
      <c r="Q754" s="23" t="n">
        <v>24.0908</v>
      </c>
      <c r="R754" s="23" t="n">
        <v>32.8994</v>
      </c>
    </row>
    <row r="755" ht="15" customHeight="1" s="12">
      <c r="A755" s="18" t="inlineStr">
        <is>
          <t>Abbotsford</t>
        </is>
      </c>
      <c r="B755" s="18" t="inlineStr">
        <is>
          <t>Canada</t>
        </is>
      </c>
      <c r="C755" s="19" t="n">
        <v>41472081</v>
      </c>
      <c r="D755" s="18" t="inlineStr">
        <is>
          <t>CA</t>
        </is>
      </c>
      <c r="E755" s="18" t="inlineStr">
        <is>
          <t>02</t>
        </is>
      </c>
      <c r="F755" s="20" t="n">
        <v>151683</v>
      </c>
      <c r="G755" s="18" t="n"/>
      <c r="H755" s="18" t="inlineStr">
        <is>
          <t>YXX</t>
        </is>
      </c>
      <c r="I755" s="18" t="inlineStr">
        <is>
          <t>Abbotsford International Airport</t>
        </is>
      </c>
      <c r="J755" s="21" t="n">
        <v>8.699999999999999</v>
      </c>
      <c r="K755" s="18" t="inlineStr">
        <is>
          <t>YXX</t>
        </is>
      </c>
      <c r="L755" s="18" t="inlineStr">
        <is>
          <t>100k +  pop + airport</t>
        </is>
      </c>
      <c r="M755" s="22" t="n">
        <v>0.573</v>
      </c>
      <c r="N755" s="22" t="n">
        <v>0</v>
      </c>
      <c r="O755" s="18" t="n"/>
      <c r="P755" s="22">
        <f>IF(O755="",(About!$B$5*M755+About!$B$6*N755)/(About!$B$5+About!$B$6),About!$B$5*M755+About!$B$6*N755+About!$B$7*O755)</f>
        <v/>
      </c>
      <c r="Q755" s="23" t="n">
        <v>49.058</v>
      </c>
      <c r="R755" s="23" t="n">
        <v>-122.2526</v>
      </c>
    </row>
    <row r="756" ht="15" customHeight="1" s="12">
      <c r="A756" s="18" t="inlineStr">
        <is>
          <t>Le Mans</t>
        </is>
      </c>
      <c r="B756" s="18" t="inlineStr">
        <is>
          <t>France</t>
        </is>
      </c>
      <c r="C756" s="19" t="n">
        <v>69081996</v>
      </c>
      <c r="D756" s="18" t="inlineStr">
        <is>
          <t>FR</t>
        </is>
      </c>
      <c r="E756" s="18" t="inlineStr">
        <is>
          <t>52</t>
        </is>
      </c>
      <c r="F756" s="20" t="n">
        <v>144515</v>
      </c>
      <c r="G756" s="18" t="n"/>
      <c r="H756" s="18" t="inlineStr">
        <is>
          <t>LME</t>
        </is>
      </c>
      <c r="I756" s="18" t="inlineStr">
        <is>
          <t>Le Mans-Arnage Airport</t>
        </is>
      </c>
      <c r="J756" s="21" t="n">
        <v>5.8</v>
      </c>
      <c r="K756" s="18" t="inlineStr">
        <is>
          <t>LME</t>
        </is>
      </c>
      <c r="L756" s="18" t="inlineStr">
        <is>
          <t>100k +  pop + airport</t>
        </is>
      </c>
      <c r="M756" s="22" t="n">
        <v>0.572</v>
      </c>
      <c r="N756" s="22" t="n">
        <v>0</v>
      </c>
      <c r="O756" s="18" t="n"/>
      <c r="P756" s="22">
        <f>IF(O756="",(About!$B$5*M756+About!$B$6*N756)/(About!$B$5+About!$B$6),About!$B$5*M756+About!$B$6*N756+About!$B$7*O756)</f>
        <v/>
      </c>
      <c r="Q756" s="23" t="n">
        <v>48.0004</v>
      </c>
      <c r="R756" s="23" t="n">
        <v>0.2047</v>
      </c>
    </row>
    <row r="757" ht="15" customHeight="1" s="12">
      <c r="A757" s="18" t="inlineStr">
        <is>
          <t>Palikir - National Government Center</t>
        </is>
      </c>
      <c r="B757" s="18" t="inlineStr">
        <is>
          <t>Micronesia</t>
        </is>
      </c>
      <c r="C757" s="19" t="n">
        <v>75817</v>
      </c>
      <c r="D757" s="18" t="inlineStr">
        <is>
          <t>FM</t>
        </is>
      </c>
      <c r="E757" s="18" t="inlineStr">
        <is>
          <t>02</t>
        </is>
      </c>
      <c r="F757" s="20" t="n">
        <v>0</v>
      </c>
      <c r="G757" s="18" t="inlineStr">
        <is>
          <t>Yes</t>
        </is>
      </c>
      <c r="H757" s="18" t="inlineStr">
        <is>
          <t>PNI</t>
        </is>
      </c>
      <c r="I757" s="18" t="inlineStr">
        <is>
          <t>Pohnpei International Airport</t>
        </is>
      </c>
      <c r="J757" s="21" t="n">
        <v>8.6</v>
      </c>
      <c r="K757" s="18" t="inlineStr">
        <is>
          <t>PNI</t>
        </is>
      </c>
      <c r="L757" s="18" t="inlineStr">
        <is>
          <t>capital</t>
        </is>
      </c>
      <c r="M757" s="22" t="n">
        <v>0.57</v>
      </c>
      <c r="N757" s="22" t="n">
        <v>0</v>
      </c>
      <c r="O757" s="18" t="n"/>
      <c r="P757" s="22">
        <f>IF(O757="",(About!$B$5*M757+About!$B$6*N757)/(About!$B$5+About!$B$6),About!$B$5*M757+About!$B$6*N757+About!$B$7*O757)</f>
        <v/>
      </c>
      <c r="Q757" s="23" t="n">
        <v>6.9248</v>
      </c>
      <c r="R757" s="23" t="n">
        <v>158.1611</v>
      </c>
    </row>
    <row r="758" ht="15" customHeight="1" s="12">
      <c r="A758" s="18" t="inlineStr">
        <is>
          <t>Chittagong</t>
        </is>
      </c>
      <c r="B758" s="18" t="inlineStr">
        <is>
          <t>Bangladesh</t>
        </is>
      </c>
      <c r="C758" s="19" t="n">
        <v>169828911</v>
      </c>
      <c r="D758" s="18" t="inlineStr">
        <is>
          <t>BD</t>
        </is>
      </c>
      <c r="E758" s="18" t="inlineStr">
        <is>
          <t>84</t>
        </is>
      </c>
      <c r="F758" s="20" t="n">
        <v>3920222</v>
      </c>
      <c r="G758" s="18" t="n"/>
      <c r="H758" s="18" t="inlineStr">
        <is>
          <t>CGP</t>
        </is>
      </c>
      <c r="I758" s="18" t="inlineStr">
        <is>
          <t>Shah Amanat International Airport</t>
        </is>
      </c>
      <c r="J758" s="21" t="n">
        <v>10.1</v>
      </c>
      <c r="K758" s="18" t="inlineStr">
        <is>
          <t>CGP</t>
        </is>
      </c>
      <c r="L758" s="18" t="inlineStr">
        <is>
          <t>100k +  pop</t>
        </is>
      </c>
      <c r="M758" s="22" t="n">
        <v>0.5679999999999999</v>
      </c>
      <c r="N758" s="22" t="n">
        <v>0</v>
      </c>
      <c r="O758" s="18" t="n"/>
      <c r="P758" s="22">
        <f>IF(O758="",(About!$B$5*M758+About!$B$6*N758)/(About!$B$5+About!$B$6),About!$B$5*M758+About!$B$6*N758+About!$B$7*O758)</f>
        <v/>
      </c>
      <c r="Q758" s="23" t="n">
        <v>22.3384</v>
      </c>
      <c r="R758" s="23" t="n">
        <v>91.8317</v>
      </c>
    </row>
    <row r="759" ht="15" customHeight="1" s="12">
      <c r="A759" s="18" t="inlineStr">
        <is>
          <t>Luoyang</t>
        </is>
      </c>
      <c r="B759" s="18" t="inlineStr">
        <is>
          <t>China</t>
        </is>
      </c>
      <c r="C759" s="19" t="n">
        <v>1404890000</v>
      </c>
      <c r="D759" s="18" t="inlineStr">
        <is>
          <t>CN</t>
        </is>
      </c>
      <c r="E759" s="18" t="inlineStr">
        <is>
          <t>09</t>
        </is>
      </c>
      <c r="F759" s="20" t="n">
        <v>1390581</v>
      </c>
      <c r="G759" s="18" t="n"/>
      <c r="H759" s="18" t="inlineStr">
        <is>
          <t>LYA</t>
        </is>
      </c>
      <c r="I759" s="18" t="inlineStr">
        <is>
          <t>Luoyang Beijiao Airport</t>
        </is>
      </c>
      <c r="J759" s="21" t="n">
        <v>8.800000000000001</v>
      </c>
      <c r="K759" s="18" t="inlineStr">
        <is>
          <t>LYA</t>
        </is>
      </c>
      <c r="L759" s="18" t="inlineStr">
        <is>
          <t>100k +  pop + airport</t>
        </is>
      </c>
      <c r="M759" s="22" t="n">
        <v>0.5679999999999999</v>
      </c>
      <c r="N759" s="22" t="n">
        <v>0</v>
      </c>
      <c r="O759" s="18" t="n"/>
      <c r="P759" s="22">
        <f>IF(O759="",(About!$B$5*M759+About!$B$6*N759)/(About!$B$5+About!$B$6),About!$B$5*M759+About!$B$6*N759+About!$B$7*O759)</f>
        <v/>
      </c>
      <c r="Q759" s="23" t="n">
        <v>34.6836</v>
      </c>
      <c r="R759" s="23" t="n">
        <v>112.4536</v>
      </c>
    </row>
    <row r="760" ht="15" customHeight="1" s="12">
      <c r="A760" s="18" t="inlineStr">
        <is>
          <t>Volgograd</t>
        </is>
      </c>
      <c r="B760" s="18" t="inlineStr">
        <is>
          <t>Russia</t>
        </is>
      </c>
      <c r="C760" s="19" t="n">
        <v>146028325</v>
      </c>
      <c r="D760" s="18" t="inlineStr">
        <is>
          <t>RU</t>
        </is>
      </c>
      <c r="E760" s="18" t="inlineStr">
        <is>
          <t>84</t>
        </is>
      </c>
      <c r="F760" s="20" t="n">
        <v>1011417</v>
      </c>
      <c r="G760" s="18" t="n"/>
      <c r="H760" s="18" t="inlineStr">
        <is>
          <t>VOG</t>
        </is>
      </c>
      <c r="I760" s="18" t="inlineStr">
        <is>
          <t>Volgograd International Airport</t>
        </is>
      </c>
      <c r="J760" s="21" t="n">
        <v>13.8</v>
      </c>
      <c r="K760" s="18" t="inlineStr">
        <is>
          <t>VOG</t>
        </is>
      </c>
      <c r="L760" s="18" t="inlineStr">
        <is>
          <t>100k +  pop + airport</t>
        </is>
      </c>
      <c r="M760" s="22" t="n">
        <v>0.5679999999999999</v>
      </c>
      <c r="N760" s="22" t="n">
        <v>0</v>
      </c>
      <c r="O760" s="18" t="n"/>
      <c r="P760" s="22">
        <f>IF(O760="",(About!$B$5*M760+About!$B$6*N760)/(About!$B$5+About!$B$6),About!$B$5*M760+About!$B$6*N760+About!$B$7*O760)</f>
        <v/>
      </c>
      <c r="Q760" s="23" t="n">
        <v>48.7194</v>
      </c>
      <c r="R760" s="23" t="n">
        <v>44.5018</v>
      </c>
    </row>
    <row r="761" ht="15" customHeight="1" s="12">
      <c r="A761" s="18" t="inlineStr">
        <is>
          <t>Benghazi</t>
        </is>
      </c>
      <c r="B761" s="18" t="inlineStr">
        <is>
          <t>Libya</t>
        </is>
      </c>
      <c r="C761" s="19" t="n">
        <v>7459000</v>
      </c>
      <c r="D761" s="18" t="inlineStr">
        <is>
          <t>LY</t>
        </is>
      </c>
      <c r="E761" s="18" t="inlineStr">
        <is>
          <t>69</t>
        </is>
      </c>
      <c r="F761" s="20" t="n">
        <v>650629</v>
      </c>
      <c r="G761" s="18" t="n"/>
      <c r="H761" s="18" t="inlineStr">
        <is>
          <t>BEN</t>
        </is>
      </c>
      <c r="I761" s="18" t="inlineStr">
        <is>
          <t>Benina International Airport</t>
        </is>
      </c>
      <c r="J761" s="21" t="n">
        <v>19</v>
      </c>
      <c r="K761" s="18" t="inlineStr">
        <is>
          <t>BEN</t>
        </is>
      </c>
      <c r="L761" s="18" t="inlineStr">
        <is>
          <t>100k +  pop</t>
        </is>
      </c>
      <c r="M761" s="22" t="n">
        <v>0.5669999999999999</v>
      </c>
      <c r="N761" s="22" t="n">
        <v>0</v>
      </c>
      <c r="O761" s="18" t="n"/>
      <c r="P761" s="22">
        <f>IF(O761="",(About!$B$5*M761+About!$B$6*N761)/(About!$B$5+About!$B$6),About!$B$5*M761+About!$B$6*N761+About!$B$7*O761)</f>
        <v/>
      </c>
      <c r="Q761" s="23" t="n">
        <v>32.1149</v>
      </c>
      <c r="R761" s="23" t="n">
        <v>20.0686</v>
      </c>
    </row>
    <row r="762" ht="15" customHeight="1" s="12">
      <c r="A762" s="18" t="inlineStr">
        <is>
          <t>Veracruz</t>
        </is>
      </c>
      <c r="B762" s="18" t="inlineStr">
        <is>
          <t>Mexico</t>
        </is>
      </c>
      <c r="C762" s="19" t="n">
        <v>131150866</v>
      </c>
      <c r="D762" s="18" t="inlineStr">
        <is>
          <t>MX</t>
        </is>
      </c>
      <c r="E762" s="18" t="inlineStr">
        <is>
          <t>30</t>
        </is>
      </c>
      <c r="F762" s="20" t="n">
        <v>428323</v>
      </c>
      <c r="G762" s="18" t="n"/>
      <c r="H762" s="18" t="inlineStr">
        <is>
          <t>VER</t>
        </is>
      </c>
      <c r="I762" s="18" t="inlineStr">
        <is>
          <t>General Heriberto Jara International Airport</t>
        </is>
      </c>
      <c r="J762" s="21" t="n">
        <v>6.6</v>
      </c>
      <c r="K762" s="18" t="inlineStr">
        <is>
          <t>VER</t>
        </is>
      </c>
      <c r="L762" s="18" t="inlineStr">
        <is>
          <t>100k +  pop + airport</t>
        </is>
      </c>
      <c r="M762" s="22" t="n">
        <v>0.5669999999999999</v>
      </c>
      <c r="N762" s="22" t="n">
        <v>0</v>
      </c>
      <c r="O762" s="18" t="n"/>
      <c r="P762" s="22">
        <f>IF(O762="",(About!$B$5*M762+About!$B$6*N762)/(About!$B$5+About!$B$6),About!$B$5*M762+About!$B$6*N762+About!$B$7*O762)</f>
        <v/>
      </c>
      <c r="Q762" s="23" t="n">
        <v>19.1809</v>
      </c>
      <c r="R762" s="23" t="n">
        <v>-96.1429</v>
      </c>
    </row>
    <row r="763" ht="15" customHeight="1" s="12">
      <c r="A763" s="18" t="inlineStr">
        <is>
          <t>Varna</t>
        </is>
      </c>
      <c r="B763" s="18" t="inlineStr">
        <is>
          <t>Bulgaria</t>
        </is>
      </c>
      <c r="C763" s="19" t="n">
        <v>6423207</v>
      </c>
      <c r="D763" s="18" t="inlineStr">
        <is>
          <t>BG</t>
        </is>
      </c>
      <c r="E763" s="18" t="inlineStr">
        <is>
          <t>61</t>
        </is>
      </c>
      <c r="F763" s="20" t="n">
        <v>312770</v>
      </c>
      <c r="G763" s="18" t="n"/>
      <c r="H763" s="18" t="inlineStr">
        <is>
          <t>VAR</t>
        </is>
      </c>
      <c r="I763" s="18" t="inlineStr">
        <is>
          <t>Varna Airport</t>
        </is>
      </c>
      <c r="J763" s="21" t="n">
        <v>7.6</v>
      </c>
      <c r="K763" s="18" t="inlineStr">
        <is>
          <t>VAR</t>
        </is>
      </c>
      <c r="L763" s="18" t="inlineStr">
        <is>
          <t>100k +  pop + airport</t>
        </is>
      </c>
      <c r="M763" s="22" t="n">
        <v>0.5669999999999999</v>
      </c>
      <c r="N763" s="22" t="n">
        <v>0</v>
      </c>
      <c r="O763" s="18" t="n"/>
      <c r="P763" s="22">
        <f>IF(O763="",(About!$B$5*M763+About!$B$6*N763)/(About!$B$5+About!$B$6),About!$B$5*M763+About!$B$6*N763+About!$B$7*O763)</f>
        <v/>
      </c>
      <c r="Q763" s="23" t="n">
        <v>43.2167</v>
      </c>
      <c r="R763" s="23" t="n">
        <v>27.9167</v>
      </c>
    </row>
    <row r="764" ht="15" customHeight="1" s="12">
      <c r="A764" s="18" t="inlineStr">
        <is>
          <t>Moncton</t>
        </is>
      </c>
      <c r="B764" s="18" t="inlineStr">
        <is>
          <t>Canada</t>
        </is>
      </c>
      <c r="C764" s="19" t="n">
        <v>41472081</v>
      </c>
      <c r="D764" s="18" t="inlineStr">
        <is>
          <t>CA</t>
        </is>
      </c>
      <c r="E764" s="18" t="inlineStr">
        <is>
          <t>04</t>
        </is>
      </c>
      <c r="F764" s="20" t="n">
        <v>108620</v>
      </c>
      <c r="G764" s="18" t="n"/>
      <c r="H764" s="18" t="inlineStr">
        <is>
          <t>YQM</t>
        </is>
      </c>
      <c r="I764" s="18" t="inlineStr">
        <is>
          <t>Greater Moncton Roméo LeBlanc International Airport</t>
        </is>
      </c>
      <c r="J764" s="21" t="n">
        <v>9.4</v>
      </c>
      <c r="K764" s="18" t="inlineStr">
        <is>
          <t>YQM</t>
        </is>
      </c>
      <c r="L764" s="18" t="inlineStr">
        <is>
          <t>100k +  pop + airport</t>
        </is>
      </c>
      <c r="M764" s="22" t="n">
        <v>0.5679999999999999</v>
      </c>
      <c r="N764" s="22" t="n">
        <v>0</v>
      </c>
      <c r="O764" s="18" t="n"/>
      <c r="P764" s="22">
        <f>IF(O764="",(About!$B$5*M764+About!$B$6*N764)/(About!$B$5+About!$B$6),About!$B$5*M764+About!$B$6*N764+About!$B$7*O764)</f>
        <v/>
      </c>
      <c r="Q764" s="23" t="n">
        <v>46.0945</v>
      </c>
      <c r="R764" s="23" t="n">
        <v>-64.79649999999999</v>
      </c>
    </row>
    <row r="765" ht="15" customHeight="1" s="12">
      <c r="A765" s="18" t="inlineStr">
        <is>
          <t>Nouakchott</t>
        </is>
      </c>
      <c r="B765" s="18" t="inlineStr">
        <is>
          <t>Mauritania</t>
        </is>
      </c>
      <c r="C765" s="19" t="n">
        <v>4927532</v>
      </c>
      <c r="D765" s="18" t="inlineStr">
        <is>
          <t>MR</t>
        </is>
      </c>
      <c r="E765" s="18" t="n"/>
      <c r="F765" s="20" t="n">
        <v>661400</v>
      </c>
      <c r="G765" s="18" t="inlineStr">
        <is>
          <t>Yes</t>
        </is>
      </c>
      <c r="H765" s="18" t="inlineStr">
        <is>
          <t>NKC</t>
        </is>
      </c>
      <c r="I765" s="18" t="inlineStr">
        <is>
          <t>Nouakchott–Oumtounsy International Airport</t>
        </is>
      </c>
      <c r="J765" s="21" t="n">
        <v>24.9</v>
      </c>
      <c r="K765" s="18" t="inlineStr">
        <is>
          <t>NKC</t>
        </is>
      </c>
      <c r="L765" s="18" t="inlineStr">
        <is>
          <t>100k +  pop + capital + airport</t>
        </is>
      </c>
      <c r="M765" s="22" t="n">
        <v>0.5659999999999999</v>
      </c>
      <c r="N765" s="22" t="n">
        <v>0</v>
      </c>
      <c r="O765" s="18" t="n"/>
      <c r="P765" s="22">
        <f>IF(O765="",(About!$B$5*M765+About!$B$6*N765)/(About!$B$5+About!$B$6),About!$B$5*M765+About!$B$6*N765+About!$B$7*O765)</f>
        <v/>
      </c>
      <c r="Q765" s="23" t="n">
        <v>18.0858</v>
      </c>
      <c r="R765" s="23" t="n">
        <v>-15.9785</v>
      </c>
    </row>
    <row r="766" ht="15" customHeight="1" s="12">
      <c r="A766" s="18" t="inlineStr">
        <is>
          <t>Rasht</t>
        </is>
      </c>
      <c r="B766" s="18" t="inlineStr">
        <is>
          <t>Iran</t>
        </is>
      </c>
      <c r="C766" s="19" t="n">
        <v>87134000</v>
      </c>
      <c r="D766" s="18" t="inlineStr">
        <is>
          <t>IR</t>
        </is>
      </c>
      <c r="E766" s="18" t="inlineStr">
        <is>
          <t>08</t>
        </is>
      </c>
      <c r="F766" s="20" t="n">
        <v>594590</v>
      </c>
      <c r="G766" s="18" t="n"/>
      <c r="H766" s="18" t="inlineStr">
        <is>
          <t>RAS</t>
        </is>
      </c>
      <c r="I766" s="18" t="inlineStr">
        <is>
          <t>Sardar-e-Jangal Airport</t>
        </is>
      </c>
      <c r="J766" s="21" t="n">
        <v>5.9</v>
      </c>
      <c r="K766" s="18" t="inlineStr">
        <is>
          <t>RAS</t>
        </is>
      </c>
      <c r="L766" s="18" t="inlineStr">
        <is>
          <t>100k +  pop + airport</t>
        </is>
      </c>
      <c r="M766" s="22" t="n">
        <v>0.5659999999999999</v>
      </c>
      <c r="N766" s="22" t="n">
        <v>0</v>
      </c>
      <c r="O766" s="18" t="n"/>
      <c r="P766" s="22">
        <f>IF(O766="",(About!$B$5*M766+About!$B$6*N766)/(About!$B$5+About!$B$6),About!$B$5*M766+About!$B$6*N766+About!$B$7*O766)</f>
        <v/>
      </c>
      <c r="Q766" s="23" t="n">
        <v>37.2761</v>
      </c>
      <c r="R766" s="23" t="n">
        <v>49.5886</v>
      </c>
    </row>
    <row r="767" ht="15" customHeight="1" s="12">
      <c r="A767" s="18" t="inlineStr">
        <is>
          <t>Najaf</t>
        </is>
      </c>
      <c r="B767" s="18" t="inlineStr">
        <is>
          <t>Iraq</t>
        </is>
      </c>
      <c r="C767" s="19" t="n">
        <v>46118793</v>
      </c>
      <c r="D767" s="18" t="inlineStr">
        <is>
          <t>IQ</t>
        </is>
      </c>
      <c r="E767" s="18" t="inlineStr">
        <is>
          <t>17</t>
        </is>
      </c>
      <c r="F767" s="20" t="n">
        <v>482576</v>
      </c>
      <c r="G767" s="18" t="n"/>
      <c r="H767" s="18" t="inlineStr">
        <is>
          <t>NJF</t>
        </is>
      </c>
      <c r="I767" s="18" t="inlineStr">
        <is>
          <t>Al Najaf International Airport</t>
        </is>
      </c>
      <c r="J767" s="21" t="n">
        <v>6.8</v>
      </c>
      <c r="K767" s="18" t="inlineStr">
        <is>
          <t>NJF</t>
        </is>
      </c>
      <c r="L767" s="18" t="inlineStr">
        <is>
          <t>100k +  pop + airport</t>
        </is>
      </c>
      <c r="M767" s="22" t="n">
        <v>0.5659999999999999</v>
      </c>
      <c r="N767" s="22" t="n">
        <v>0</v>
      </c>
      <c r="O767" s="18" t="n"/>
      <c r="P767" s="22">
        <f>IF(O767="",(About!$B$5*M767+About!$B$6*N767)/(About!$B$5+About!$B$6),About!$B$5*M767+About!$B$6*N767+About!$B$7*O767)</f>
        <v/>
      </c>
      <c r="Q767" s="23" t="n">
        <v>32.0259</v>
      </c>
      <c r="R767" s="23" t="n">
        <v>44.3462</v>
      </c>
    </row>
    <row r="768" ht="15" customHeight="1" s="12">
      <c r="A768" s="18" t="inlineStr">
        <is>
          <t>Iaşi</t>
        </is>
      </c>
      <c r="B768" s="18" t="inlineStr">
        <is>
          <t>Romania</t>
        </is>
      </c>
      <c r="C768" s="19" t="n">
        <v>19036031</v>
      </c>
      <c r="D768" s="18" t="inlineStr">
        <is>
          <t>RO</t>
        </is>
      </c>
      <c r="E768" s="18" t="inlineStr">
        <is>
          <t>23</t>
        </is>
      </c>
      <c r="F768" s="20" t="n">
        <v>318012</v>
      </c>
      <c r="G768" s="18" t="n"/>
      <c r="H768" s="18" t="inlineStr">
        <is>
          <t>IAS</t>
        </is>
      </c>
      <c r="I768" s="18" t="inlineStr">
        <is>
          <t>Iaşi International Airport</t>
        </is>
      </c>
      <c r="J768" s="21" t="n">
        <v>2.2</v>
      </c>
      <c r="K768" s="18" t="inlineStr">
        <is>
          <t>IAS</t>
        </is>
      </c>
      <c r="L768" s="18" t="inlineStr">
        <is>
          <t>100k +  pop + airport</t>
        </is>
      </c>
      <c r="M768" s="22" t="n">
        <v>0.5659999999999999</v>
      </c>
      <c r="N768" s="22" t="n">
        <v>0</v>
      </c>
      <c r="O768" s="18" t="n"/>
      <c r="P768" s="22">
        <f>IF(O768="",(About!$B$5*M768+About!$B$6*N768)/(About!$B$5+About!$B$6),About!$B$5*M768+About!$B$6*N768+About!$B$7*O768)</f>
        <v/>
      </c>
      <c r="Q768" s="23" t="n">
        <v>47.1667</v>
      </c>
      <c r="R768" s="23" t="n">
        <v>27.6</v>
      </c>
    </row>
    <row r="769" ht="15" customHeight="1" s="12">
      <c r="A769" s="18" t="inlineStr">
        <is>
          <t>Cần Thơ</t>
        </is>
      </c>
      <c r="B769" s="18" t="inlineStr">
        <is>
          <t>Vietnam</t>
        </is>
      </c>
      <c r="C769" s="19" t="n">
        <v>102300000</v>
      </c>
      <c r="D769" s="18" t="inlineStr">
        <is>
          <t>VN</t>
        </is>
      </c>
      <c r="E769" s="18" t="inlineStr">
        <is>
          <t>87</t>
        </is>
      </c>
      <c r="F769" s="20" t="n">
        <v>259598</v>
      </c>
      <c r="G769" s="18" t="n"/>
      <c r="H769" s="18" t="inlineStr">
        <is>
          <t>VCA</t>
        </is>
      </c>
      <c r="I769" s="18" t="inlineStr">
        <is>
          <t>Can Tho International Airport</t>
        </is>
      </c>
      <c r="J769" s="21" t="n">
        <v>10.1</v>
      </c>
      <c r="K769" s="18" t="inlineStr">
        <is>
          <t>VCA</t>
        </is>
      </c>
      <c r="L769" s="18" t="inlineStr">
        <is>
          <t>100k +  pop + airport</t>
        </is>
      </c>
      <c r="M769" s="22" t="n">
        <v>0.5649999999999999</v>
      </c>
      <c r="N769" s="22" t="n">
        <v>0</v>
      </c>
      <c r="O769" s="18" t="n"/>
      <c r="P769" s="22">
        <f>IF(O769="",(About!$B$5*M769+About!$B$6*N769)/(About!$B$5+About!$B$6),About!$B$5*M769+About!$B$6*N769+About!$B$7*O769)</f>
        <v/>
      </c>
      <c r="Q769" s="23" t="n">
        <v>10.0371</v>
      </c>
      <c r="R769" s="23" t="n">
        <v>105.7883</v>
      </c>
    </row>
    <row r="770" ht="15" customHeight="1" s="12">
      <c r="A770" s="18" t="inlineStr">
        <is>
          <t>Sa Dec</t>
        </is>
      </c>
      <c r="B770" s="18" t="inlineStr">
        <is>
          <t>Vietnam</t>
        </is>
      </c>
      <c r="C770" s="19" t="n">
        <v>102300000</v>
      </c>
      <c r="D770" s="18" t="inlineStr">
        <is>
          <t>VN</t>
        </is>
      </c>
      <c r="E770" s="18" t="inlineStr">
        <is>
          <t>09</t>
        </is>
      </c>
      <c r="F770" s="20" t="n">
        <v>203588</v>
      </c>
      <c r="G770" s="18" t="n"/>
      <c r="H770" s="18" t="inlineStr">
        <is>
          <t>VCA</t>
        </is>
      </c>
      <c r="I770" s="18" t="inlineStr">
        <is>
          <t>Can Tho International Airport</t>
        </is>
      </c>
      <c r="J770" s="21" t="n">
        <v>23.6</v>
      </c>
      <c r="K770" s="18" t="inlineStr">
        <is>
          <t>VCA</t>
        </is>
      </c>
      <c r="L770" s="18" t="inlineStr">
        <is>
          <t>100k +  pop</t>
        </is>
      </c>
      <c r="M770" s="22" t="n">
        <v>0.5649999999999999</v>
      </c>
      <c r="N770" s="22" t="n">
        <v>0</v>
      </c>
      <c r="O770" s="18" t="n"/>
      <c r="P770" s="22">
        <f>IF(O770="",(About!$B$5*M770+About!$B$6*N770)/(About!$B$5+About!$B$6),About!$B$5*M770+About!$B$6*N770+About!$B$7*O770)</f>
        <v/>
      </c>
      <c r="Q770" s="23" t="n">
        <v>10.2909</v>
      </c>
      <c r="R770" s="23" t="n">
        <v>105.7563</v>
      </c>
    </row>
    <row r="771" ht="15" customHeight="1" s="12">
      <c r="A771" s="18" t="inlineStr">
        <is>
          <t>Khon Kaen</t>
        </is>
      </c>
      <c r="B771" s="18" t="inlineStr">
        <is>
          <t>Thailand</t>
        </is>
      </c>
      <c r="C771" s="19" t="n">
        <v>65826149</v>
      </c>
      <c r="D771" s="18" t="inlineStr">
        <is>
          <t>TH</t>
        </is>
      </c>
      <c r="E771" s="18" t="inlineStr">
        <is>
          <t>22</t>
        </is>
      </c>
      <c r="F771" s="20" t="n">
        <v>147579</v>
      </c>
      <c r="G771" s="18" t="n"/>
      <c r="H771" s="18" t="inlineStr">
        <is>
          <t>KKC</t>
        </is>
      </c>
      <c r="I771" s="18" t="inlineStr">
        <is>
          <t>Khon Kaen Airport</t>
        </is>
      </c>
      <c r="J771" s="21" t="n">
        <v>5.7</v>
      </c>
      <c r="K771" s="18" t="inlineStr">
        <is>
          <t>KKC</t>
        </is>
      </c>
      <c r="L771" s="18" t="inlineStr">
        <is>
          <t>100k +  pop + airport</t>
        </is>
      </c>
      <c r="M771" s="22" t="n">
        <v>0.5659999999999999</v>
      </c>
      <c r="N771" s="22" t="n">
        <v>0</v>
      </c>
      <c r="O771" s="18" t="n"/>
      <c r="P771" s="22">
        <f>IF(O771="",(About!$B$5*M771+About!$B$6*N771)/(About!$B$5+About!$B$6),About!$B$5*M771+About!$B$6*N771+About!$B$7*O771)</f>
        <v/>
      </c>
      <c r="Q771" s="23" t="n">
        <v>16.4467</v>
      </c>
      <c r="R771" s="23" t="n">
        <v>102.833</v>
      </c>
    </row>
    <row r="772" ht="15" customHeight="1" s="12">
      <c r="A772" s="18" t="inlineStr">
        <is>
          <t>Foggia</t>
        </is>
      </c>
      <c r="B772" s="18" t="inlineStr">
        <is>
          <t>Italy</t>
        </is>
      </c>
      <c r="C772" s="19" t="n">
        <v>58932330</v>
      </c>
      <c r="D772" s="18" t="inlineStr">
        <is>
          <t>IT</t>
        </is>
      </c>
      <c r="E772" s="18" t="inlineStr">
        <is>
          <t>13</t>
        </is>
      </c>
      <c r="F772" s="20" t="n">
        <v>137032</v>
      </c>
      <c r="G772" s="18" t="n"/>
      <c r="H772" s="18" t="inlineStr">
        <is>
          <t>FOG</t>
        </is>
      </c>
      <c r="I772" s="18" t="inlineStr">
        <is>
          <t>Foggia Gino Lisa Airport</t>
        </is>
      </c>
      <c r="J772" s="21" t="n">
        <v>3.1</v>
      </c>
      <c r="K772" s="18" t="inlineStr">
        <is>
          <t>FOG</t>
        </is>
      </c>
      <c r="L772" s="18" t="inlineStr">
        <is>
          <t>100k +  pop + airport</t>
        </is>
      </c>
      <c r="M772" s="22" t="n">
        <v>0.5659999999999999</v>
      </c>
      <c r="N772" s="22" t="n">
        <v>0</v>
      </c>
      <c r="O772" s="18" t="n"/>
      <c r="P772" s="22">
        <f>IF(O772="",(About!$B$5*M772+About!$B$6*N772)/(About!$B$5+About!$B$6),About!$B$5*M772+About!$B$6*N772+About!$B$7*O772)</f>
        <v/>
      </c>
      <c r="Q772" s="23" t="n">
        <v>41.4584</v>
      </c>
      <c r="R772" s="23" t="n">
        <v>15.5519</v>
      </c>
    </row>
    <row r="773" ht="15" customHeight="1" s="12">
      <c r="A773" s="18" t="inlineStr">
        <is>
          <t>Bandar-e Anzalī</t>
        </is>
      </c>
      <c r="B773" s="18" t="inlineStr">
        <is>
          <t>Iran</t>
        </is>
      </c>
      <c r="C773" s="19" t="n">
        <v>87134000</v>
      </c>
      <c r="D773" s="18" t="inlineStr">
        <is>
          <t>IR</t>
        </is>
      </c>
      <c r="E773" s="18" t="inlineStr">
        <is>
          <t>08</t>
        </is>
      </c>
      <c r="F773" s="20" t="n">
        <v>110826</v>
      </c>
      <c r="G773" s="18" t="n"/>
      <c r="H773" s="18" t="inlineStr">
        <is>
          <t>RAS</t>
        </is>
      </c>
      <c r="I773" s="18" t="inlineStr">
        <is>
          <t>Sardar-e-Jangal Airport</t>
        </is>
      </c>
      <c r="J773" s="21" t="n">
        <v>21.8</v>
      </c>
      <c r="K773" s="18" t="inlineStr">
        <is>
          <t>RAS</t>
        </is>
      </c>
      <c r="L773" s="18" t="inlineStr">
        <is>
          <t>100k +  pop</t>
        </is>
      </c>
      <c r="M773" s="22" t="n">
        <v>0.5659999999999999</v>
      </c>
      <c r="N773" s="22" t="n">
        <v>0</v>
      </c>
      <c r="O773" s="18" t="n"/>
      <c r="P773" s="22">
        <f>IF(O773="",(About!$B$5*M773+About!$B$6*N773)/(About!$B$5+About!$B$6),About!$B$5*M773+About!$B$6*N773+About!$B$7*O773)</f>
        <v/>
      </c>
      <c r="Q773" s="23" t="n">
        <v>37.4732</v>
      </c>
      <c r="R773" s="23" t="n">
        <v>49.4579</v>
      </c>
    </row>
    <row r="774" ht="15" customHeight="1" s="12">
      <c r="A774" s="18" t="inlineStr">
        <is>
          <t>Kufa</t>
        </is>
      </c>
      <c r="B774" s="18" t="inlineStr">
        <is>
          <t>Iraq</t>
        </is>
      </c>
      <c r="C774" s="19" t="n">
        <v>46118793</v>
      </c>
      <c r="D774" s="18" t="inlineStr">
        <is>
          <t>IQ</t>
        </is>
      </c>
      <c r="E774" s="18" t="inlineStr">
        <is>
          <t>17</t>
        </is>
      </c>
      <c r="F774" s="20" t="n">
        <v>110000</v>
      </c>
      <c r="G774" s="18" t="n"/>
      <c r="H774" s="18" t="inlineStr">
        <is>
          <t>NJF</t>
        </is>
      </c>
      <c r="I774" s="18" t="inlineStr">
        <is>
          <t>Al Najaf International Airport</t>
        </is>
      </c>
      <c r="J774" s="21" t="n">
        <v>7.5</v>
      </c>
      <c r="K774" s="18" t="inlineStr">
        <is>
          <t>NJF</t>
        </is>
      </c>
      <c r="L774" s="18" t="inlineStr">
        <is>
          <t>100k +  pop + airport</t>
        </is>
      </c>
      <c r="M774" s="22" t="n">
        <v>0.5659999999999999</v>
      </c>
      <c r="N774" s="22" t="n">
        <v>0</v>
      </c>
      <c r="O774" s="18" t="n"/>
      <c r="P774" s="22">
        <f>IF(O774="",(About!$B$5*M774+About!$B$6*N774)/(About!$B$5+About!$B$6),About!$B$5*M774+About!$B$6*N774+About!$B$7*O774)</f>
        <v/>
      </c>
      <c r="Q774" s="23" t="n">
        <v>32.0511</v>
      </c>
      <c r="R774" s="23" t="n">
        <v>44.4402</v>
      </c>
    </row>
    <row r="775" ht="15" customHeight="1" s="12">
      <c r="A775" s="18" t="inlineStr">
        <is>
          <t>Alice Springs</t>
        </is>
      </c>
      <c r="B775" s="18" t="inlineStr">
        <is>
          <t>Australia</t>
        </is>
      </c>
      <c r="C775" s="19" t="n">
        <v>27724744</v>
      </c>
      <c r="D775" s="18" t="inlineStr">
        <is>
          <t>AU</t>
        </is>
      </c>
      <c r="E775" s="18" t="inlineStr">
        <is>
          <t>03</t>
        </is>
      </c>
      <c r="F775" s="20" t="n">
        <v>25186</v>
      </c>
      <c r="G775" s="18" t="n"/>
      <c r="H775" s="18" t="inlineStr">
        <is>
          <t>ASP</t>
        </is>
      </c>
      <c r="I775" s="18" t="inlineStr">
        <is>
          <t>Alice Springs Airport</t>
        </is>
      </c>
      <c r="J775" s="21" t="n">
        <v>12.3</v>
      </c>
      <c r="K775" s="18" t="inlineStr">
        <is>
          <t>ASP</t>
        </is>
      </c>
      <c r="L775" s="18" t="inlineStr">
        <is>
          <t>airport</t>
        </is>
      </c>
      <c r="M775" s="22" t="n">
        <v>0.5659999999999999</v>
      </c>
      <c r="N775" s="22" t="n">
        <v>0</v>
      </c>
      <c r="O775" s="18" t="n"/>
      <c r="P775" s="22">
        <f>IF(O775="",(About!$B$5*M775+About!$B$6*N775)/(About!$B$5+About!$B$6),About!$B$5*M775+About!$B$6*N775+About!$B$7*O775)</f>
        <v/>
      </c>
      <c r="Q775" s="23" t="n">
        <v>-23.6975</v>
      </c>
      <c r="R775" s="23" t="n">
        <v>133.8836</v>
      </c>
    </row>
    <row r="776" ht="15" customHeight="1" s="12">
      <c r="A776" s="18" t="inlineStr">
        <is>
          <t>Lubumbashi</t>
        </is>
      </c>
      <c r="B776" s="18" t="inlineStr">
        <is>
          <t>DR Congo</t>
        </is>
      </c>
      <c r="C776" s="19" t="n">
        <v>112832000</v>
      </c>
      <c r="D776" s="18" t="inlineStr">
        <is>
          <t>CD</t>
        </is>
      </c>
      <c r="E776" s="18" t="inlineStr">
        <is>
          <t>14</t>
        </is>
      </c>
      <c r="F776" s="20" t="n">
        <v>1373770</v>
      </c>
      <c r="G776" s="18" t="n"/>
      <c r="H776" s="18" t="inlineStr">
        <is>
          <t>FBM</t>
        </is>
      </c>
      <c r="I776" s="18" t="inlineStr">
        <is>
          <t>Lubumbashi International Airport</t>
        </is>
      </c>
      <c r="J776" s="21" t="n">
        <v>9.5</v>
      </c>
      <c r="K776" s="18" t="inlineStr">
        <is>
          <t>FBM</t>
        </is>
      </c>
      <c r="L776" s="18" t="inlineStr">
        <is>
          <t>100k +  pop + airport</t>
        </is>
      </c>
      <c r="M776" s="22" t="n">
        <v>0.5639999999999999</v>
      </c>
      <c r="N776" s="22" t="n">
        <v>0</v>
      </c>
      <c r="O776" s="18" t="n"/>
      <c r="P776" s="22">
        <f>IF(O776="",(About!$B$5*M776+About!$B$6*N776)/(About!$B$5+About!$B$6),About!$B$5*M776+About!$B$6*N776+About!$B$7*O776)</f>
        <v/>
      </c>
      <c r="Q776" s="23" t="n">
        <v>-11.6609</v>
      </c>
      <c r="R776" s="23" t="n">
        <v>27.4794</v>
      </c>
    </row>
    <row r="777" ht="15" customHeight="1" s="12">
      <c r="A777" s="18" t="inlineStr">
        <is>
          <t>Santiago de Querétaro</t>
        </is>
      </c>
      <c r="B777" s="18" t="inlineStr">
        <is>
          <t>Mexico</t>
        </is>
      </c>
      <c r="C777" s="19" t="n">
        <v>131150866</v>
      </c>
      <c r="D777" s="18" t="inlineStr">
        <is>
          <t>MX</t>
        </is>
      </c>
      <c r="E777" s="18" t="inlineStr">
        <is>
          <t>22</t>
        </is>
      </c>
      <c r="F777" s="20" t="n">
        <v>626495</v>
      </c>
      <c r="G777" s="18" t="n"/>
      <c r="H777" s="18" t="inlineStr">
        <is>
          <t>QRO</t>
        </is>
      </c>
      <c r="I777" s="18" t="inlineStr">
        <is>
          <t>Querétaro Intercontinental Airport</t>
        </is>
      </c>
      <c r="J777" s="21" t="n">
        <v>21.3</v>
      </c>
      <c r="K777" s="18" t="inlineStr">
        <is>
          <t>QRO</t>
        </is>
      </c>
      <c r="L777" s="18" t="inlineStr">
        <is>
          <t>100k +  pop</t>
        </is>
      </c>
      <c r="M777" s="22" t="n">
        <v>0.5649999999999999</v>
      </c>
      <c r="N777" s="22" t="n">
        <v>0</v>
      </c>
      <c r="O777" s="18" t="n"/>
      <c r="P777" s="22">
        <f>IF(O777="",(About!$B$5*M777+About!$B$6*N777)/(About!$B$5+About!$B$6),About!$B$5*M777+About!$B$6*N777+About!$B$7*O777)</f>
        <v/>
      </c>
      <c r="Q777" s="23" t="n">
        <v>20.5881</v>
      </c>
      <c r="R777" s="23" t="n">
        <v>-100.3881</v>
      </c>
    </row>
    <row r="778" ht="15" customHeight="1" s="12">
      <c r="A778" s="18" t="inlineStr">
        <is>
          <t>Yeosu</t>
        </is>
      </c>
      <c r="B778" s="18" t="inlineStr">
        <is>
          <t>South Korea</t>
        </is>
      </c>
      <c r="C778" s="19" t="n">
        <v>51111158</v>
      </c>
      <c r="D778" s="18" t="inlineStr">
        <is>
          <t>KR</t>
        </is>
      </c>
      <c r="E778" s="18" t="inlineStr">
        <is>
          <t>16</t>
        </is>
      </c>
      <c r="F778" s="20" t="n">
        <v>295538</v>
      </c>
      <c r="G778" s="18" t="n"/>
      <c r="H778" s="18" t="inlineStr">
        <is>
          <t>RSU</t>
        </is>
      </c>
      <c r="I778" s="18" t="inlineStr">
        <is>
          <t>Yeosu Airport</t>
        </is>
      </c>
      <c r="J778" s="21" t="n">
        <v>10</v>
      </c>
      <c r="K778" s="18" t="inlineStr">
        <is>
          <t>RSU</t>
        </is>
      </c>
      <c r="L778" s="18" t="inlineStr">
        <is>
          <t>100k +  pop + airport</t>
        </is>
      </c>
      <c r="M778" s="22" t="n">
        <v>0.5629999999999999</v>
      </c>
      <c r="N778" s="22" t="n">
        <v>0</v>
      </c>
      <c r="O778" s="18" t="n"/>
      <c r="P778" s="22">
        <f>IF(O778="",(About!$B$5*M778+About!$B$6*N778)/(About!$B$5+About!$B$6),About!$B$5*M778+About!$B$6*N778+About!$B$7*O778)</f>
        <v/>
      </c>
      <c r="Q778" s="23" t="n">
        <v>34.7606</v>
      </c>
      <c r="R778" s="23" t="n">
        <v>127.6621</v>
      </c>
    </row>
    <row r="779" ht="15" customHeight="1" s="12">
      <c r="A779" s="18" t="inlineStr">
        <is>
          <t>Suncheon</t>
        </is>
      </c>
      <c r="B779" s="18" t="inlineStr">
        <is>
          <t>South Korea</t>
        </is>
      </c>
      <c r="C779" s="19" t="n">
        <v>51111158</v>
      </c>
      <c r="D779" s="18" t="inlineStr">
        <is>
          <t>KR</t>
        </is>
      </c>
      <c r="E779" s="18" t="inlineStr">
        <is>
          <t>16</t>
        </is>
      </c>
      <c r="F779" s="20" t="n">
        <v>230796</v>
      </c>
      <c r="G779" s="18" t="n"/>
      <c r="H779" s="18" t="inlineStr">
        <is>
          <t>RSU</t>
        </is>
      </c>
      <c r="I779" s="18" t="inlineStr">
        <is>
          <t>Yeosu Airport</t>
        </is>
      </c>
      <c r="J779" s="21" t="n">
        <v>16.8</v>
      </c>
      <c r="K779" s="18" t="inlineStr">
        <is>
          <t>RSU</t>
        </is>
      </c>
      <c r="L779" s="18" t="inlineStr">
        <is>
          <t>100k +  pop</t>
        </is>
      </c>
      <c r="M779" s="22" t="n">
        <v>0.5629999999999999</v>
      </c>
      <c r="N779" s="22" t="n">
        <v>0</v>
      </c>
      <c r="O779" s="18" t="n"/>
      <c r="P779" s="22">
        <f>IF(O779="",(About!$B$5*M779+About!$B$6*N779)/(About!$B$5+About!$B$6),About!$B$5*M779+About!$B$6*N779+About!$B$7*O779)</f>
        <v/>
      </c>
      <c r="Q779" s="23" t="n">
        <v>34.9505</v>
      </c>
      <c r="R779" s="23" t="n">
        <v>127.4878</v>
      </c>
    </row>
    <row r="780" ht="15" customHeight="1" s="12">
      <c r="A780" s="18" t="inlineStr">
        <is>
          <t>Hailar</t>
        </is>
      </c>
      <c r="B780" s="18" t="inlineStr">
        <is>
          <t>China</t>
        </is>
      </c>
      <c r="C780" s="19" t="n">
        <v>1404890000</v>
      </c>
      <c r="D780" s="18" t="inlineStr">
        <is>
          <t>CN</t>
        </is>
      </c>
      <c r="E780" s="18" t="inlineStr">
        <is>
          <t>20</t>
        </is>
      </c>
      <c r="F780" s="20" t="n">
        <v>211066</v>
      </c>
      <c r="G780" s="18" t="n"/>
      <c r="H780" s="18" t="inlineStr">
        <is>
          <t>HLD</t>
        </is>
      </c>
      <c r="I780" s="18" t="inlineStr">
        <is>
          <t>Hulunbuir Hailar Airport</t>
        </is>
      </c>
      <c r="J780" s="21" t="n">
        <v>8.9</v>
      </c>
      <c r="K780" s="18" t="inlineStr">
        <is>
          <t>HLD</t>
        </is>
      </c>
      <c r="L780" s="18" t="inlineStr">
        <is>
          <t>100k +  pop + airport</t>
        </is>
      </c>
      <c r="M780" s="22" t="n">
        <v>0.5629999999999999</v>
      </c>
      <c r="N780" s="22" t="n">
        <v>0</v>
      </c>
      <c r="O780" s="18" t="n"/>
      <c r="P780" s="22">
        <f>IF(O780="",(About!$B$5*M780+About!$B$6*N780)/(About!$B$5+About!$B$6),About!$B$5*M780+About!$B$6*N780+About!$B$7*O780)</f>
        <v/>
      </c>
      <c r="Q780" s="23" t="n">
        <v>49.2</v>
      </c>
      <c r="R780" s="23" t="n">
        <v>119.7</v>
      </c>
    </row>
    <row r="781" ht="15" customHeight="1" s="12">
      <c r="A781" s="18" t="inlineStr">
        <is>
          <t>Bournemouth</t>
        </is>
      </c>
      <c r="B781" s="18" t="inlineStr">
        <is>
          <t>United Kingdom</t>
        </is>
      </c>
      <c r="C781" s="19" t="n">
        <v>69487000</v>
      </c>
      <c r="D781" s="18" t="inlineStr">
        <is>
          <t>GB</t>
        </is>
      </c>
      <c r="E781" s="18" t="inlineStr">
        <is>
          <t>ENG</t>
        </is>
      </c>
      <c r="F781" s="20" t="n">
        <v>163600</v>
      </c>
      <c r="G781" s="18" t="n"/>
      <c r="H781" s="18" t="inlineStr">
        <is>
          <t>BOH</t>
        </is>
      </c>
      <c r="I781" s="18" t="inlineStr">
        <is>
          <t>Bournemouth Airport</t>
        </is>
      </c>
      <c r="J781" s="21" t="n">
        <v>7.2</v>
      </c>
      <c r="K781" s="18" t="inlineStr">
        <is>
          <t>BOH</t>
        </is>
      </c>
      <c r="L781" s="18" t="inlineStr">
        <is>
          <t>100k +  pop + airport</t>
        </is>
      </c>
      <c r="M781" s="22" t="n">
        <v>0.5639999999999999</v>
      </c>
      <c r="N781" s="22" t="n">
        <v>0</v>
      </c>
      <c r="O781" s="18" t="n"/>
      <c r="P781" s="22">
        <f>IF(O781="",(About!$B$5*M781+About!$B$6*N781)/(About!$B$5+About!$B$6),About!$B$5*M781+About!$B$6*N781+About!$B$7*O781)</f>
        <v/>
      </c>
      <c r="Q781" s="23" t="n">
        <v>50.7205</v>
      </c>
      <c r="R781" s="23" t="n">
        <v>-1.8795</v>
      </c>
    </row>
    <row r="782" ht="15" customHeight="1" s="12">
      <c r="A782" s="18" t="inlineStr">
        <is>
          <t>Poole</t>
        </is>
      </c>
      <c r="B782" s="18" t="inlineStr">
        <is>
          <t>United Kingdom</t>
        </is>
      </c>
      <c r="C782" s="19" t="n">
        <v>69487000</v>
      </c>
      <c r="D782" s="18" t="inlineStr">
        <is>
          <t>GB</t>
        </is>
      </c>
      <c r="E782" s="18" t="inlineStr">
        <is>
          <t>ENG</t>
        </is>
      </c>
      <c r="F782" s="20" t="n">
        <v>150092</v>
      </c>
      <c r="G782" s="18" t="n"/>
      <c r="H782" s="18" t="inlineStr">
        <is>
          <t>BOH</t>
        </is>
      </c>
      <c r="I782" s="18" t="inlineStr">
        <is>
          <t>Bournemouth Airport</t>
        </is>
      </c>
      <c r="J782" s="21" t="n">
        <v>12.6</v>
      </c>
      <c r="K782" s="18" t="inlineStr">
        <is>
          <t>BOH</t>
        </is>
      </c>
      <c r="L782" s="18" t="inlineStr">
        <is>
          <t>100k +  pop</t>
        </is>
      </c>
      <c r="M782" s="22" t="n">
        <v>0.5639999999999999</v>
      </c>
      <c r="N782" s="22" t="n">
        <v>0</v>
      </c>
      <c r="O782" s="18" t="n"/>
      <c r="P782" s="22">
        <f>IF(O782="",(About!$B$5*M782+About!$B$6*N782)/(About!$B$5+About!$B$6),About!$B$5*M782+About!$B$6*N782+About!$B$7*O782)</f>
        <v/>
      </c>
      <c r="Q782" s="23" t="n">
        <v>50.7143</v>
      </c>
      <c r="R782" s="23" t="n">
        <v>-1.9846</v>
      </c>
    </row>
    <row r="783" ht="15" customHeight="1" s="12">
      <c r="A783" s="18" t="inlineStr">
        <is>
          <t>Marino</t>
        </is>
      </c>
      <c r="B783" s="18" t="inlineStr">
        <is>
          <t>Italy</t>
        </is>
      </c>
      <c r="C783" s="19" t="n">
        <v>58932330</v>
      </c>
      <c r="D783" s="18" t="inlineStr">
        <is>
          <t>IT</t>
        </is>
      </c>
      <c r="E783" s="18" t="inlineStr">
        <is>
          <t>07</t>
        </is>
      </c>
      <c r="F783" s="20" t="n">
        <v>119907</v>
      </c>
      <c r="G783" s="18" t="n"/>
      <c r="H783" s="18" t="inlineStr">
        <is>
          <t>CIA</t>
        </is>
      </c>
      <c r="I783" s="18" t="inlineStr">
        <is>
          <t>Ciampino–G. B. Pastine International Airport</t>
        </is>
      </c>
      <c r="J783" s="21" t="n">
        <v>6.2</v>
      </c>
      <c r="K783" s="18" t="inlineStr">
        <is>
          <t>CIA</t>
        </is>
      </c>
      <c r="L783" s="18" t="inlineStr">
        <is>
          <t>airport</t>
        </is>
      </c>
      <c r="M783" s="22" t="n">
        <v>0.5639999999999999</v>
      </c>
      <c r="N783" s="22" t="n">
        <v>0</v>
      </c>
      <c r="O783" s="18" t="n"/>
      <c r="P783" s="22">
        <f>IF(O783="",(About!$B$5*M783+About!$B$6*N783)/(About!$B$5+About!$B$6),About!$B$5*M783+About!$B$6*N783+About!$B$7*O783)</f>
        <v/>
      </c>
      <c r="Q783" s="23" t="n">
        <v>41.7698</v>
      </c>
      <c r="R783" s="23" t="n">
        <v>12.6592</v>
      </c>
    </row>
    <row r="784" ht="15" customHeight="1" s="12">
      <c r="A784" s="18" t="inlineStr">
        <is>
          <t>Road Town</t>
        </is>
      </c>
      <c r="B784" s="18" t="inlineStr">
        <is>
          <t>Virgin Islands, British</t>
        </is>
      </c>
      <c r="C784" s="19" t="n">
        <v>39471</v>
      </c>
      <c r="D784" s="18" t="inlineStr">
        <is>
          <t>VG</t>
        </is>
      </c>
      <c r="E784" s="18" t="inlineStr">
        <is>
          <t>00</t>
        </is>
      </c>
      <c r="F784" s="20" t="n">
        <v>8449</v>
      </c>
      <c r="G784" s="18" t="inlineStr">
        <is>
          <t>Yes</t>
        </is>
      </c>
      <c r="H784" s="18" t="inlineStr">
        <is>
          <t>EIS</t>
        </is>
      </c>
      <c r="I784" s="18" t="inlineStr">
        <is>
          <t>Terrance B. Lettsome International Airport</t>
        </is>
      </c>
      <c r="J784" s="21" t="n">
        <v>8.6</v>
      </c>
      <c r="K784" s="18" t="inlineStr">
        <is>
          <t>EIS+VIJ</t>
        </is>
      </c>
      <c r="L784" s="18" t="inlineStr">
        <is>
          <t>capital</t>
        </is>
      </c>
      <c r="M784" s="22" t="n">
        <v>0.5639999999999999</v>
      </c>
      <c r="N784" s="22" t="n">
        <v>0</v>
      </c>
      <c r="O784" s="18" t="n"/>
      <c r="P784" s="22">
        <f>IF(O784="",(About!$B$5*M784+About!$B$6*N784)/(About!$B$5+About!$B$6),About!$B$5*M784+About!$B$6*N784+About!$B$7*O784)</f>
        <v/>
      </c>
      <c r="Q784" s="23" t="n">
        <v>18.4269</v>
      </c>
      <c r="R784" s="23" t="n">
        <v>-64.6208</v>
      </c>
    </row>
    <row r="785" ht="15" customHeight="1" s="12">
      <c r="A785" s="18" t="inlineStr">
        <is>
          <t>Madurai</t>
        </is>
      </c>
      <c r="B785" s="18" t="inlineStr">
        <is>
          <t>India</t>
        </is>
      </c>
      <c r="C785" s="19" t="n">
        <v>1417492000</v>
      </c>
      <c r="D785" s="18" t="inlineStr">
        <is>
          <t>IN</t>
        </is>
      </c>
      <c r="E785" s="18" t="inlineStr">
        <is>
          <t>25</t>
        </is>
      </c>
      <c r="F785" s="20" t="n">
        <v>909908</v>
      </c>
      <c r="G785" s="18" t="n"/>
      <c r="H785" s="18" t="inlineStr">
        <is>
          <t>IXM</t>
        </is>
      </c>
      <c r="I785" s="18" t="inlineStr">
        <is>
          <t>Madurai Airport</t>
        </is>
      </c>
      <c r="J785" s="21" t="n">
        <v>9.800000000000001</v>
      </c>
      <c r="K785" s="18" t="inlineStr">
        <is>
          <t>IXM</t>
        </is>
      </c>
      <c r="L785" s="18" t="inlineStr">
        <is>
          <t>100k +  pop + airport</t>
        </is>
      </c>
      <c r="M785" s="22" t="n">
        <v>0.5629999999999999</v>
      </c>
      <c r="N785" s="22" t="n">
        <v>0</v>
      </c>
      <c r="O785" s="18" t="n"/>
      <c r="P785" s="22">
        <f>IF(O785="",(About!$B$5*M785+About!$B$6*N785)/(About!$B$5+About!$B$6),About!$B$5*M785+About!$B$6*N785+About!$B$7*O785)</f>
        <v/>
      </c>
      <c r="Q785" s="23" t="n">
        <v>9.919</v>
      </c>
      <c r="R785" s="23" t="n">
        <v>78.1195</v>
      </c>
    </row>
    <row r="786" ht="15" customHeight="1" s="12">
      <c r="A786" s="18" t="inlineStr">
        <is>
          <t>Gondar</t>
        </is>
      </c>
      <c r="B786" s="18" t="inlineStr">
        <is>
          <t>Ethiopia</t>
        </is>
      </c>
      <c r="C786" s="19" t="n">
        <v>111652998</v>
      </c>
      <c r="D786" s="18" t="inlineStr">
        <is>
          <t>ET</t>
        </is>
      </c>
      <c r="E786" s="18" t="inlineStr">
        <is>
          <t>46</t>
        </is>
      </c>
      <c r="F786" s="20" t="n">
        <v>153914</v>
      </c>
      <c r="G786" s="18" t="n"/>
      <c r="H786" s="18" t="inlineStr">
        <is>
          <t>GDQ</t>
        </is>
      </c>
      <c r="I786" s="18" t="inlineStr">
        <is>
          <t>Gondar Airport</t>
        </is>
      </c>
      <c r="J786" s="21" t="n">
        <v>9.6</v>
      </c>
      <c r="K786" s="18" t="inlineStr">
        <is>
          <t>GDQ</t>
        </is>
      </c>
      <c r="L786" s="18" t="inlineStr">
        <is>
          <t>100k +  pop + airport</t>
        </is>
      </c>
      <c r="M786" s="22" t="n">
        <v>0.5629999999999999</v>
      </c>
      <c r="N786" s="22" t="n">
        <v>0</v>
      </c>
      <c r="O786" s="18" t="n"/>
      <c r="P786" s="22">
        <f>IF(O786="",(About!$B$5*M786+About!$B$6*N786)/(About!$B$5+About!$B$6),About!$B$5*M786+About!$B$6*N786+About!$B$7*O786)</f>
        <v/>
      </c>
      <c r="Q786" s="23" t="n">
        <v>12.6</v>
      </c>
      <c r="R786" s="23" t="n">
        <v>37.4667</v>
      </c>
    </row>
    <row r="787" ht="15" customHeight="1" s="12">
      <c r="A787" s="18" t="inlineStr">
        <is>
          <t>Metz</t>
        </is>
      </c>
      <c r="B787" s="18" t="inlineStr">
        <is>
          <t>France</t>
        </is>
      </c>
      <c r="C787" s="19" t="n">
        <v>69081996</v>
      </c>
      <c r="D787" s="18" t="inlineStr">
        <is>
          <t>FR</t>
        </is>
      </c>
      <c r="E787" s="18" t="inlineStr">
        <is>
          <t>44</t>
        </is>
      </c>
      <c r="F787" s="20" t="n">
        <v>123914</v>
      </c>
      <c r="G787" s="18" t="n"/>
      <c r="H787" s="18" t="inlineStr">
        <is>
          <t>ETZ</t>
        </is>
      </c>
      <c r="I787" s="18" t="inlineStr">
        <is>
          <t>Metz-Nancy-Lorraine Airport</t>
        </is>
      </c>
      <c r="J787" s="21" t="n">
        <v>16.3</v>
      </c>
      <c r="K787" s="18" t="inlineStr">
        <is>
          <t>ETZ</t>
        </is>
      </c>
      <c r="L787" s="18" t="inlineStr">
        <is>
          <t>100k +  pop</t>
        </is>
      </c>
      <c r="M787" s="22" t="n">
        <v>0.5620000000000001</v>
      </c>
      <c r="N787" s="22" t="n">
        <v>0</v>
      </c>
      <c r="O787" s="18" t="n"/>
      <c r="P787" s="22">
        <f>IF(O787="",(About!$B$5*M787+About!$B$6*N787)/(About!$B$5+About!$B$6),About!$B$5*M787+About!$B$6*N787+About!$B$7*O787)</f>
        <v/>
      </c>
      <c r="Q787" s="23" t="n">
        <v>49.1191</v>
      </c>
      <c r="R787" s="23" t="n">
        <v>6.1727</v>
      </c>
    </row>
    <row r="788" ht="15" customHeight="1" s="12">
      <c r="A788" s="18" t="inlineStr">
        <is>
          <t>Musoma</t>
        </is>
      </c>
      <c r="B788" s="18" t="inlineStr">
        <is>
          <t>Tanzania</t>
        </is>
      </c>
      <c r="C788" s="19" t="n">
        <v>68153004</v>
      </c>
      <c r="D788" s="18" t="inlineStr">
        <is>
          <t>TZ</t>
        </is>
      </c>
      <c r="E788" s="18" t="inlineStr">
        <is>
          <t>08</t>
        </is>
      </c>
      <c r="F788" s="20" t="n">
        <v>121119</v>
      </c>
      <c r="G788" s="18" t="n"/>
      <c r="H788" s="18" t="inlineStr">
        <is>
          <t>MUZ</t>
        </is>
      </c>
      <c r="I788" s="18" t="inlineStr">
        <is>
          <t>Musoma Airport</t>
        </is>
      </c>
      <c r="J788" s="21" t="n">
        <v>0.4</v>
      </c>
      <c r="K788" s="18" t="inlineStr">
        <is>
          <t>MUZ</t>
        </is>
      </c>
      <c r="L788" s="18" t="inlineStr">
        <is>
          <t>100k +  pop + airport</t>
        </is>
      </c>
      <c r="M788" s="22" t="n">
        <v>0.5610000000000001</v>
      </c>
      <c r="N788" s="22" t="n">
        <v>0</v>
      </c>
      <c r="O788" s="18" t="n"/>
      <c r="P788" s="22">
        <f>IF(O788="",(About!$B$5*M788+About!$B$6*N788)/(About!$B$5+About!$B$6),About!$B$5*M788+About!$B$6*N788+About!$B$7*O788)</f>
        <v/>
      </c>
      <c r="Q788" s="23" t="n">
        <v>-1.5</v>
      </c>
      <c r="R788" s="23" t="n">
        <v>33.8</v>
      </c>
    </row>
    <row r="789" ht="15" customHeight="1" s="12">
      <c r="A789" s="18" t="inlineStr">
        <is>
          <t>Pietermaritzburg</t>
        </is>
      </c>
      <c r="B789" s="18" t="inlineStr">
        <is>
          <t>South Africa</t>
        </is>
      </c>
      <c r="C789" s="19" t="n">
        <v>63100945</v>
      </c>
      <c r="D789" s="18" t="inlineStr">
        <is>
          <t>ZA</t>
        </is>
      </c>
      <c r="E789" s="18" t="inlineStr">
        <is>
          <t>02</t>
        </is>
      </c>
      <c r="F789" s="20" t="n">
        <v>750845</v>
      </c>
      <c r="G789" s="18" t="n"/>
      <c r="H789" s="18" t="inlineStr">
        <is>
          <t>PZB</t>
        </is>
      </c>
      <c r="I789" s="18" t="inlineStr">
        <is>
          <t>Pietermaritzburg Airport</t>
        </is>
      </c>
      <c r="J789" s="21" t="n">
        <v>3.6</v>
      </c>
      <c r="K789" s="18" t="inlineStr">
        <is>
          <t>PZB</t>
        </is>
      </c>
      <c r="L789" s="18" t="inlineStr">
        <is>
          <t>100k +  pop + airport</t>
        </is>
      </c>
      <c r="M789" s="22" t="n">
        <v>0.5590000000000001</v>
      </c>
      <c r="N789" s="22" t="n">
        <v>0</v>
      </c>
      <c r="O789" s="18" t="n"/>
      <c r="P789" s="22">
        <f>IF(O789="",(About!$B$5*M789+About!$B$6*N789)/(About!$B$5+About!$B$6),About!$B$5*M789+About!$B$6*N789+About!$B$7*O789)</f>
        <v/>
      </c>
      <c r="Q789" s="23" t="n">
        <v>-29.6168</v>
      </c>
      <c r="R789" s="23" t="n">
        <v>30.3928</v>
      </c>
    </row>
    <row r="790" ht="15" customHeight="1" s="12">
      <c r="A790" s="18" t="inlineStr">
        <is>
          <t>Bratislava</t>
        </is>
      </c>
      <c r="B790" s="18" t="inlineStr">
        <is>
          <t>Slovakia</t>
        </is>
      </c>
      <c r="C790" s="19" t="n">
        <v>5405368</v>
      </c>
      <c r="D790" s="18" t="inlineStr">
        <is>
          <t>SK</t>
        </is>
      </c>
      <c r="E790" s="18" t="inlineStr">
        <is>
          <t>02</t>
        </is>
      </c>
      <c r="F790" s="20" t="n">
        <v>423737</v>
      </c>
      <c r="G790" s="18" t="inlineStr">
        <is>
          <t>Yes</t>
        </is>
      </c>
      <c r="H790" s="18" t="inlineStr">
        <is>
          <t>BTS</t>
        </is>
      </c>
      <c r="I790" s="18" t="inlineStr">
        <is>
          <t>M. R. Štefánik Airport</t>
        </is>
      </c>
      <c r="J790" s="21" t="n">
        <v>8.199999999999999</v>
      </c>
      <c r="K790" s="18" t="inlineStr">
        <is>
          <t>BTS</t>
        </is>
      </c>
      <c r="L790" s="18" t="inlineStr">
        <is>
          <t>100k +  pop + capital + airport</t>
        </is>
      </c>
      <c r="M790" s="22" t="n">
        <v>0.5610000000000001</v>
      </c>
      <c r="N790" s="22" t="n">
        <v>0</v>
      </c>
      <c r="O790" s="18" t="n"/>
      <c r="P790" s="22">
        <f>IF(O790="",(About!$B$5*M790+About!$B$6*N790)/(About!$B$5+About!$B$6),About!$B$5*M790+About!$B$6*N790+About!$B$7*O790)</f>
        <v/>
      </c>
      <c r="Q790" s="23" t="n">
        <v>48.1482</v>
      </c>
      <c r="R790" s="23" t="n">
        <v>17.1067</v>
      </c>
    </row>
    <row r="791" ht="15" customHeight="1" s="12">
      <c r="A791" s="18" t="inlineStr">
        <is>
          <t>Huế</t>
        </is>
      </c>
      <c r="B791" s="18" t="inlineStr">
        <is>
          <t>Vietnam</t>
        </is>
      </c>
      <c r="C791" s="19" t="n">
        <v>102300000</v>
      </c>
      <c r="D791" s="18" t="inlineStr">
        <is>
          <t>VN</t>
        </is>
      </c>
      <c r="E791" s="18" t="inlineStr">
        <is>
          <t>66</t>
        </is>
      </c>
      <c r="F791" s="20" t="n">
        <v>287217</v>
      </c>
      <c r="G791" s="18" t="n"/>
      <c r="H791" s="18" t="inlineStr">
        <is>
          <t>HUI</t>
        </is>
      </c>
      <c r="I791" s="18" t="inlineStr">
        <is>
          <t>Phu Bai International Airport</t>
        </is>
      </c>
      <c r="J791" s="21" t="n">
        <v>13.3</v>
      </c>
      <c r="K791" s="18" t="inlineStr">
        <is>
          <t>HUI</t>
        </is>
      </c>
      <c r="L791" s="18" t="inlineStr">
        <is>
          <t>100k +  pop + airport</t>
        </is>
      </c>
      <c r="M791" s="22" t="n">
        <v>0.5610000000000001</v>
      </c>
      <c r="N791" s="22" t="n">
        <v>0</v>
      </c>
      <c r="O791" s="18" t="n"/>
      <c r="P791" s="22">
        <f>IF(O791="",(About!$B$5*M791+About!$B$6*N791)/(About!$B$5+About!$B$6),About!$B$5*M791+About!$B$6*N791+About!$B$7*O791)</f>
        <v/>
      </c>
      <c r="Q791" s="23" t="n">
        <v>16.4619</v>
      </c>
      <c r="R791" s="23" t="n">
        <v>107.5955</v>
      </c>
    </row>
    <row r="792" ht="15" customHeight="1" s="12">
      <c r="A792" s="18" t="inlineStr">
        <is>
          <t>Turku</t>
        </is>
      </c>
      <c r="B792" s="18" t="inlineStr">
        <is>
          <t>Finland</t>
        </is>
      </c>
      <c r="C792" s="19" t="n">
        <v>5650152</v>
      </c>
      <c r="D792" s="18" t="inlineStr">
        <is>
          <t>FI</t>
        </is>
      </c>
      <c r="E792" s="18" t="inlineStr">
        <is>
          <t>02</t>
        </is>
      </c>
      <c r="F792" s="20" t="n">
        <v>175945</v>
      </c>
      <c r="G792" s="18" t="n"/>
      <c r="H792" s="18" t="inlineStr">
        <is>
          <t>TKU</t>
        </is>
      </c>
      <c r="I792" s="18" t="inlineStr">
        <is>
          <t>Turku Airport</t>
        </is>
      </c>
      <c r="J792" s="21" t="n">
        <v>7</v>
      </c>
      <c r="K792" s="18" t="inlineStr">
        <is>
          <t>TKU</t>
        </is>
      </c>
      <c r="L792" s="18" t="inlineStr">
        <is>
          <t>100k +  pop + airport</t>
        </is>
      </c>
      <c r="M792" s="22" t="n">
        <v>0.5600000000000001</v>
      </c>
      <c r="N792" s="22" t="n">
        <v>0</v>
      </c>
      <c r="O792" s="18" t="n"/>
      <c r="P792" s="22">
        <f>IF(O792="",(About!$B$5*M792+About!$B$6*N792)/(About!$B$5+About!$B$6),About!$B$5*M792+About!$B$6*N792+About!$B$7*O792)</f>
        <v/>
      </c>
      <c r="Q792" s="23" t="n">
        <v>60.4515</v>
      </c>
      <c r="R792" s="23" t="n">
        <v>22.2687</v>
      </c>
    </row>
    <row r="793" ht="15" customHeight="1" s="12">
      <c r="A793" s="18" t="inlineStr">
        <is>
          <t>La Serena</t>
        </is>
      </c>
      <c r="B793" s="18" t="inlineStr">
        <is>
          <t>Chile</t>
        </is>
      </c>
      <c r="C793" s="19" t="n">
        <v>20206953</v>
      </c>
      <c r="D793" s="18" t="inlineStr">
        <is>
          <t>CL</t>
        </is>
      </c>
      <c r="E793" s="18" t="inlineStr">
        <is>
          <t>07</t>
        </is>
      </c>
      <c r="F793" s="20" t="n">
        <v>154521</v>
      </c>
      <c r="G793" s="18" t="n"/>
      <c r="H793" s="18" t="inlineStr">
        <is>
          <t>LSC</t>
        </is>
      </c>
      <c r="I793" s="18" t="inlineStr">
        <is>
          <t>La Florida Airport</t>
        </is>
      </c>
      <c r="J793" s="21" t="n">
        <v>4.9</v>
      </c>
      <c r="K793" s="18" t="inlineStr">
        <is>
          <t>LSC</t>
        </is>
      </c>
      <c r="L793" s="18" t="inlineStr">
        <is>
          <t>100k +  pop + airport</t>
        </is>
      </c>
      <c r="M793" s="22" t="n">
        <v>0.5610000000000001</v>
      </c>
      <c r="N793" s="22" t="n">
        <v>0</v>
      </c>
      <c r="O793" s="18" t="n"/>
      <c r="P793" s="22">
        <f>IF(O793="",(About!$B$5*M793+About!$B$6*N793)/(About!$B$5+About!$B$6),About!$B$5*M793+About!$B$6*N793+About!$B$7*O793)</f>
        <v/>
      </c>
      <c r="Q793" s="23" t="n">
        <v>-29.9045</v>
      </c>
      <c r="R793" s="23" t="n">
        <v>-71.24890000000001</v>
      </c>
    </row>
    <row r="794" ht="15" customHeight="1" s="12">
      <c r="A794" s="18" t="inlineStr">
        <is>
          <t>Corfu</t>
        </is>
      </c>
      <c r="B794" s="18" t="inlineStr">
        <is>
          <t>Greece</t>
        </is>
      </c>
      <c r="C794" s="19" t="n">
        <v>10372335</v>
      </c>
      <c r="D794" s="18" t="inlineStr">
        <is>
          <t>GR</t>
        </is>
      </c>
      <c r="E794" s="18" t="inlineStr">
        <is>
          <t>ESYE22</t>
        </is>
      </c>
      <c r="F794" s="20" t="n">
        <v>27003</v>
      </c>
      <c r="G794" s="18" t="n"/>
      <c r="H794" s="18" t="inlineStr">
        <is>
          <t>CFU</t>
        </is>
      </c>
      <c r="I794" s="18" t="inlineStr">
        <is>
          <t>Corfu Ioannis Kapodistrias International Airport</t>
        </is>
      </c>
      <c r="J794" s="21" t="n">
        <v>2.6</v>
      </c>
      <c r="K794" s="18" t="inlineStr">
        <is>
          <t>CFU</t>
        </is>
      </c>
      <c r="L794" s="18" t="inlineStr">
        <is>
          <t>airport</t>
        </is>
      </c>
      <c r="M794" s="22" t="n">
        <v>0.5600000000000001</v>
      </c>
      <c r="N794" s="22" t="n">
        <v>0</v>
      </c>
      <c r="O794" s="18" t="n"/>
      <c r="P794" s="22">
        <f>IF(O794="",(About!$B$5*M794+About!$B$6*N794)/(About!$B$5+About!$B$6),About!$B$5*M794+About!$B$6*N794+About!$B$7*O794)</f>
        <v/>
      </c>
      <c r="Q794" s="23" t="n">
        <v>39.6244</v>
      </c>
      <c r="R794" s="23" t="n">
        <v>19.9202</v>
      </c>
    </row>
    <row r="795" ht="15" customHeight="1" s="12">
      <c r="A795" s="18" t="inlineStr">
        <is>
          <t>Kahrīz</t>
        </is>
      </c>
      <c r="B795" s="18" t="inlineStr">
        <is>
          <t>Iran</t>
        </is>
      </c>
      <c r="C795" s="19" t="n">
        <v>87134000</v>
      </c>
      <c r="D795" s="18" t="inlineStr">
        <is>
          <t>IR</t>
        </is>
      </c>
      <c r="E795" s="18" t="inlineStr">
        <is>
          <t>13</t>
        </is>
      </c>
      <c r="F795" s="20" t="n">
        <v>766706</v>
      </c>
      <c r="G795" s="18" t="n"/>
      <c r="H795" s="18" t="inlineStr">
        <is>
          <t>KSH</t>
        </is>
      </c>
      <c r="I795" s="18" t="inlineStr">
        <is>
          <t>Shahid Ashrafi Esfahani Airport</t>
        </is>
      </c>
      <c r="J795" s="21" t="n">
        <v>10.3</v>
      </c>
      <c r="K795" s="18" t="inlineStr">
        <is>
          <t>KSH</t>
        </is>
      </c>
      <c r="L795" s="18" t="inlineStr">
        <is>
          <t>100k +  pop</t>
        </is>
      </c>
      <c r="M795" s="22" t="n">
        <v>0.5580000000000001</v>
      </c>
      <c r="N795" s="22" t="n">
        <v>0</v>
      </c>
      <c r="O795" s="18" t="n"/>
      <c r="P795" s="22">
        <f>IF(O795="",(About!$B$5*M795+About!$B$6*N795)/(About!$B$5+About!$B$6),About!$B$5*M795+About!$B$6*N795+About!$B$7*O795)</f>
        <v/>
      </c>
      <c r="Q795" s="23" t="n">
        <v>34.3838</v>
      </c>
      <c r="R795" s="23" t="n">
        <v>47.0553</v>
      </c>
    </row>
    <row r="796" ht="15" customHeight="1" s="12">
      <c r="A796" s="18" t="inlineStr">
        <is>
          <t>Kermanshah</t>
        </is>
      </c>
      <c r="B796" s="18" t="inlineStr">
        <is>
          <t>Iran</t>
        </is>
      </c>
      <c r="C796" s="19" t="n">
        <v>87134000</v>
      </c>
      <c r="D796" s="18" t="inlineStr">
        <is>
          <t>IR</t>
        </is>
      </c>
      <c r="E796" s="18" t="inlineStr">
        <is>
          <t>13</t>
        </is>
      </c>
      <c r="F796" s="20" t="n">
        <v>621100</v>
      </c>
      <c r="G796" s="18" t="n"/>
      <c r="H796" s="18" t="inlineStr">
        <is>
          <t>KSH</t>
        </is>
      </c>
      <c r="I796" s="18" t="inlineStr">
        <is>
          <t>Shahid Ashrafi Esfahani Airport</t>
        </is>
      </c>
      <c r="J796" s="21" t="n">
        <v>9.199999999999999</v>
      </c>
      <c r="K796" s="18" t="inlineStr">
        <is>
          <t>KSH</t>
        </is>
      </c>
      <c r="L796" s="18" t="inlineStr">
        <is>
          <t>100k +  pop + airport</t>
        </is>
      </c>
      <c r="M796" s="22" t="n">
        <v>0.5580000000000001</v>
      </c>
      <c r="N796" s="22" t="n">
        <v>0</v>
      </c>
      <c r="O796" s="18" t="n"/>
      <c r="P796" s="22">
        <f>IF(O796="",(About!$B$5*M796+About!$B$6*N796)/(About!$B$5+About!$B$6),About!$B$5*M796+About!$B$6*N796+About!$B$7*O796)</f>
        <v/>
      </c>
      <c r="Q796" s="23" t="n">
        <v>34.3142</v>
      </c>
      <c r="R796" s="23" t="n">
        <v>47.065</v>
      </c>
    </row>
    <row r="797" ht="15" customHeight="1" s="12">
      <c r="A797" s="18" t="inlineStr">
        <is>
          <t>Kanazawa</t>
        </is>
      </c>
      <c r="B797" s="18" t="inlineStr">
        <is>
          <t>Japan</t>
        </is>
      </c>
      <c r="C797" s="19" t="n">
        <v>122810000</v>
      </c>
      <c r="D797" s="18" t="inlineStr">
        <is>
          <t>JP</t>
        </is>
      </c>
      <c r="E797" s="18" t="inlineStr">
        <is>
          <t>15</t>
        </is>
      </c>
      <c r="F797" s="20" t="n">
        <v>458937</v>
      </c>
      <c r="G797" s="18" t="n"/>
      <c r="H797" s="18" t="inlineStr">
        <is>
          <t>KMQ</t>
        </is>
      </c>
      <c r="I797" s="18" t="inlineStr">
        <is>
          <t>Komatsu Airport / JASDF Komatsu Air Base</t>
        </is>
      </c>
      <c r="J797" s="21" t="n">
        <v>29.7</v>
      </c>
      <c r="K797" s="18" t="inlineStr">
        <is>
          <t>KMQ</t>
        </is>
      </c>
      <c r="L797" s="18" t="inlineStr">
        <is>
          <t>100k +  pop + airport</t>
        </is>
      </c>
      <c r="M797" s="22" t="n">
        <v>0.5590000000000001</v>
      </c>
      <c r="N797" s="22" t="n">
        <v>0</v>
      </c>
      <c r="O797" s="18" t="n"/>
      <c r="P797" s="22">
        <f>IF(O797="",(About!$B$5*M797+About!$B$6*N797)/(About!$B$5+About!$B$6),About!$B$5*M797+About!$B$6*N797+About!$B$7*O797)</f>
        <v/>
      </c>
      <c r="Q797" s="23" t="n">
        <v>36.6</v>
      </c>
      <c r="R797" s="23" t="n">
        <v>136.6167</v>
      </c>
    </row>
    <row r="798" ht="15" customHeight="1" s="12">
      <c r="A798" s="18" t="inlineStr">
        <is>
          <t>Cusco</t>
        </is>
      </c>
      <c r="B798" s="18" t="inlineStr">
        <is>
          <t>Peru</t>
        </is>
      </c>
      <c r="C798" s="19" t="n">
        <v>34350244</v>
      </c>
      <c r="D798" s="18" t="inlineStr">
        <is>
          <t>PE</t>
        </is>
      </c>
      <c r="E798" s="18" t="inlineStr">
        <is>
          <t>08</t>
        </is>
      </c>
      <c r="F798" s="20" t="n">
        <v>312140</v>
      </c>
      <c r="G798" s="18" t="n"/>
      <c r="H798" s="18" t="inlineStr">
        <is>
          <t>CUZ</t>
        </is>
      </c>
      <c r="I798" s="18" t="inlineStr">
        <is>
          <t>Alejandro Velasco Astete International Airport</t>
        </is>
      </c>
      <c r="J798" s="21" t="n">
        <v>3.4</v>
      </c>
      <c r="K798" s="18" t="inlineStr">
        <is>
          <t>CUZ</t>
        </is>
      </c>
      <c r="L798" s="18" t="inlineStr">
        <is>
          <t>100k +  pop + airport</t>
        </is>
      </c>
      <c r="M798" s="22" t="n">
        <v>0.5580000000000001</v>
      </c>
      <c r="N798" s="22" t="n">
        <v>0</v>
      </c>
      <c r="O798" s="18" t="n"/>
      <c r="P798" s="22">
        <f>IF(O798="",(About!$B$5*M798+About!$B$6*N798)/(About!$B$5+About!$B$6),About!$B$5*M798+About!$B$6*N798+About!$B$7*O798)</f>
        <v/>
      </c>
      <c r="Q798" s="23" t="n">
        <v>-13.5226</v>
      </c>
      <c r="R798" s="23" t="n">
        <v>-71.96729999999999</v>
      </c>
    </row>
    <row r="799" ht="15" customHeight="1" s="12">
      <c r="A799" s="18" t="inlineStr">
        <is>
          <t>Cagliari</t>
        </is>
      </c>
      <c r="B799" s="18" t="inlineStr">
        <is>
          <t>Italy</t>
        </is>
      </c>
      <c r="C799" s="19" t="n">
        <v>58932330</v>
      </c>
      <c r="D799" s="18" t="inlineStr">
        <is>
          <t>IT</t>
        </is>
      </c>
      <c r="E799" s="18" t="inlineStr">
        <is>
          <t>14</t>
        </is>
      </c>
      <c r="F799" s="20" t="n">
        <v>217992</v>
      </c>
      <c r="G799" s="18" t="n"/>
      <c r="H799" s="18" t="inlineStr">
        <is>
          <t>CAG</t>
        </is>
      </c>
      <c r="I799" s="18" t="inlineStr">
        <is>
          <t>Cagliari Elmas Airport</t>
        </is>
      </c>
      <c r="J799" s="21" t="n">
        <v>6.1</v>
      </c>
      <c r="K799" s="18" t="inlineStr">
        <is>
          <t>CAG</t>
        </is>
      </c>
      <c r="L799" s="18" t="inlineStr">
        <is>
          <t>100k +  pop + airport</t>
        </is>
      </c>
      <c r="M799" s="22" t="n">
        <v>0.5590000000000001</v>
      </c>
      <c r="N799" s="22" t="n">
        <v>0</v>
      </c>
      <c r="O799" s="18" t="n"/>
      <c r="P799" s="22">
        <f>IF(O799="",(About!$B$5*M799+About!$B$6*N799)/(About!$B$5+About!$B$6),About!$B$5*M799+About!$B$6*N799+About!$B$7*O799)</f>
        <v/>
      </c>
      <c r="Q799" s="23" t="n">
        <v>39.2305</v>
      </c>
      <c r="R799" s="23" t="n">
        <v>9.119199999999999</v>
      </c>
    </row>
    <row r="800" ht="15" customHeight="1" s="12">
      <c r="A800" s="18" t="inlineStr">
        <is>
          <t>Malindi</t>
        </is>
      </c>
      <c r="B800" s="18" t="inlineStr">
        <is>
          <t>Kenya</t>
        </is>
      </c>
      <c r="C800" s="19" t="n">
        <v>53330978</v>
      </c>
      <c r="D800" s="18" t="inlineStr">
        <is>
          <t>KE</t>
        </is>
      </c>
      <c r="E800" s="18" t="inlineStr">
        <is>
          <t>23</t>
        </is>
      </c>
      <c r="F800" s="20" t="n">
        <v>118265</v>
      </c>
      <c r="G800" s="18" t="n"/>
      <c r="H800" s="18" t="inlineStr">
        <is>
          <t>MYD</t>
        </is>
      </c>
      <c r="I800" s="18" t="inlineStr">
        <is>
          <t>Malindi International Airport</t>
        </is>
      </c>
      <c r="J800" s="21" t="n">
        <v>2.1</v>
      </c>
      <c r="K800" s="18" t="inlineStr">
        <is>
          <t>MYD</t>
        </is>
      </c>
      <c r="L800" s="18" t="inlineStr">
        <is>
          <t>100k +  pop + airport</t>
        </is>
      </c>
      <c r="M800" s="22" t="n">
        <v>0.5590000000000001</v>
      </c>
      <c r="N800" s="22" t="n">
        <v>0</v>
      </c>
      <c r="O800" s="18" t="n"/>
      <c r="P800" s="22">
        <f>IF(O800="",(About!$B$5*M800+About!$B$6*N800)/(About!$B$5+About!$B$6),About!$B$5*M800+About!$B$6*N800+About!$B$7*O800)</f>
        <v/>
      </c>
      <c r="Q800" s="23" t="n">
        <v>-3.218</v>
      </c>
      <c r="R800" s="23" t="n">
        <v>40.1169</v>
      </c>
    </row>
    <row r="801" ht="15" customHeight="1" s="12">
      <c r="A801" s="18" t="inlineStr">
        <is>
          <t>Exeter</t>
        </is>
      </c>
      <c r="B801" s="18" t="inlineStr">
        <is>
          <t>United Kingdom</t>
        </is>
      </c>
      <c r="C801" s="19" t="n">
        <v>69487000</v>
      </c>
      <c r="D801" s="18" t="inlineStr">
        <is>
          <t>GB</t>
        </is>
      </c>
      <c r="E801" s="18" t="inlineStr">
        <is>
          <t>ENG</t>
        </is>
      </c>
      <c r="F801" s="20" t="n">
        <v>117763</v>
      </c>
      <c r="G801" s="18" t="n"/>
      <c r="H801" s="18" t="inlineStr">
        <is>
          <t>EXT</t>
        </is>
      </c>
      <c r="I801" s="18" t="inlineStr">
        <is>
          <t>Exeter International Airport</t>
        </is>
      </c>
      <c r="J801" s="21" t="n">
        <v>8.1</v>
      </c>
      <c r="K801" s="18" t="inlineStr">
        <is>
          <t>EXT</t>
        </is>
      </c>
      <c r="L801" s="18" t="inlineStr">
        <is>
          <t>100k +  pop + airport</t>
        </is>
      </c>
      <c r="M801" s="22" t="n">
        <v>0.5580000000000001</v>
      </c>
      <c r="N801" s="22" t="n">
        <v>0</v>
      </c>
      <c r="O801" s="18" t="n"/>
      <c r="P801" s="22">
        <f>IF(O801="",(About!$B$5*M801+About!$B$6*N801)/(About!$B$5+About!$B$6),About!$B$5*M801+About!$B$6*N801+About!$B$7*O801)</f>
        <v/>
      </c>
      <c r="Q801" s="23" t="n">
        <v>50.7236</v>
      </c>
      <c r="R801" s="23" t="n">
        <v>-3.5275</v>
      </c>
    </row>
    <row r="802" ht="15" customHeight="1" s="12">
      <c r="A802" s="18" t="inlineStr">
        <is>
          <t>Rotorua</t>
        </is>
      </c>
      <c r="B802" s="18" t="inlineStr">
        <is>
          <t>New Zealand</t>
        </is>
      </c>
      <c r="C802" s="19" t="n">
        <v>5361300</v>
      </c>
      <c r="D802" s="18" t="inlineStr">
        <is>
          <t>NZ</t>
        </is>
      </c>
      <c r="E802" s="18" t="inlineStr">
        <is>
          <t>E8</t>
        </is>
      </c>
      <c r="F802" s="20" t="n">
        <v>65901</v>
      </c>
      <c r="G802" s="18" t="n"/>
      <c r="H802" s="18" t="inlineStr">
        <is>
          <t>ROT</t>
        </is>
      </c>
      <c r="I802" s="18" t="inlineStr">
        <is>
          <t>Rotorua Regional Airport</t>
        </is>
      </c>
      <c r="J802" s="21" t="n">
        <v>7.1</v>
      </c>
      <c r="K802" s="18" t="inlineStr">
        <is>
          <t>ROT</t>
        </is>
      </c>
      <c r="L802" s="18" t="inlineStr">
        <is>
          <t>airport</t>
        </is>
      </c>
      <c r="M802" s="22" t="n">
        <v>0.5580000000000001</v>
      </c>
      <c r="N802" s="22" t="n">
        <v>0</v>
      </c>
      <c r="O802" s="18" t="n"/>
      <c r="P802" s="22">
        <f>IF(O802="",(About!$B$5*M802+About!$B$6*N802)/(About!$B$5+About!$B$6),About!$B$5*M802+About!$B$6*N802+About!$B$7*O802)</f>
        <v/>
      </c>
      <c r="Q802" s="23" t="n">
        <v>-38.1387</v>
      </c>
      <c r="R802" s="23" t="n">
        <v>176.2452</v>
      </c>
    </row>
    <row r="803" ht="15" customHeight="1" s="12">
      <c r="A803" s="18" t="inlineStr">
        <is>
          <t>Basrah</t>
        </is>
      </c>
      <c r="B803" s="18" t="inlineStr">
        <is>
          <t>Iraq</t>
        </is>
      </c>
      <c r="C803" s="19" t="n">
        <v>46118793</v>
      </c>
      <c r="D803" s="18" t="inlineStr">
        <is>
          <t>IQ</t>
        </is>
      </c>
      <c r="E803" s="18" t="inlineStr">
        <is>
          <t>02</t>
        </is>
      </c>
      <c r="F803" s="20" t="n">
        <v>2600000</v>
      </c>
      <c r="G803" s="18" t="n"/>
      <c r="H803" s="18" t="inlineStr">
        <is>
          <t>BSR</t>
        </is>
      </c>
      <c r="I803" s="18" t="inlineStr">
        <is>
          <t>Basra International Airport</t>
        </is>
      </c>
      <c r="J803" s="21" t="n">
        <v>12.2</v>
      </c>
      <c r="K803" s="18" t="inlineStr">
        <is>
          <t>BSR</t>
        </is>
      </c>
      <c r="L803" s="18" t="inlineStr">
        <is>
          <t>100k +  pop</t>
        </is>
      </c>
      <c r="M803" s="22" t="n">
        <v>0.556</v>
      </c>
      <c r="N803" s="22" t="n">
        <v>0</v>
      </c>
      <c r="O803" s="18" t="n"/>
      <c r="P803" s="22">
        <f>IF(O803="",(About!$B$5*M803+About!$B$6*N803)/(About!$B$5+About!$B$6),About!$B$5*M803+About!$B$6*N803+About!$B$7*O803)</f>
        <v/>
      </c>
      <c r="Q803" s="23" t="n">
        <v>30.5085</v>
      </c>
      <c r="R803" s="23" t="n">
        <v>47.7804</v>
      </c>
    </row>
    <row r="804" ht="15" customHeight="1" s="12">
      <c r="A804" s="18" t="inlineStr">
        <is>
          <t>Datong</t>
        </is>
      </c>
      <c r="B804" s="18" t="inlineStr">
        <is>
          <t>China</t>
        </is>
      </c>
      <c r="C804" s="19" t="n">
        <v>1404890000</v>
      </c>
      <c r="D804" s="18" t="inlineStr">
        <is>
          <t>CN</t>
        </is>
      </c>
      <c r="E804" s="18" t="inlineStr">
        <is>
          <t>24</t>
        </is>
      </c>
      <c r="F804" s="20" t="n">
        <v>1052678</v>
      </c>
      <c r="G804" s="18" t="n"/>
      <c r="H804" s="18" t="inlineStr">
        <is>
          <t>DAT</t>
        </is>
      </c>
      <c r="I804" s="18" t="inlineStr">
        <is>
          <t>Datong Yungang International Airport</t>
        </is>
      </c>
      <c r="J804" s="21" t="n">
        <v>16.5</v>
      </c>
      <c r="K804" s="18" t="inlineStr">
        <is>
          <t>DAT</t>
        </is>
      </c>
      <c r="L804" s="18" t="inlineStr">
        <is>
          <t>100k +  pop + airport</t>
        </is>
      </c>
      <c r="M804" s="22" t="n">
        <v>0.555</v>
      </c>
      <c r="N804" s="22" t="n">
        <v>0</v>
      </c>
      <c r="O804" s="18" t="n"/>
      <c r="P804" s="22">
        <f>IF(O804="",(About!$B$5*M804+About!$B$6*N804)/(About!$B$5+About!$B$6),About!$B$5*M804+About!$B$6*N804+About!$B$7*O804)</f>
        <v/>
      </c>
      <c r="Q804" s="23" t="n">
        <v>40.0936</v>
      </c>
      <c r="R804" s="23" t="n">
        <v>113.2914</v>
      </c>
    </row>
    <row r="805" ht="15" customHeight="1" s="12">
      <c r="A805" s="18" t="inlineStr">
        <is>
          <t>Mazatlán</t>
        </is>
      </c>
      <c r="B805" s="18" t="inlineStr">
        <is>
          <t>Mexico</t>
        </is>
      </c>
      <c r="C805" s="19" t="n">
        <v>131150866</v>
      </c>
      <c r="D805" s="18" t="inlineStr">
        <is>
          <t>MX</t>
        </is>
      </c>
      <c r="E805" s="18" t="inlineStr">
        <is>
          <t>25</t>
        </is>
      </c>
      <c r="F805" s="20" t="n">
        <v>381583</v>
      </c>
      <c r="G805" s="18" t="n"/>
      <c r="H805" s="18" t="inlineStr">
        <is>
          <t>MZT</t>
        </is>
      </c>
      <c r="I805" s="18" t="inlineStr">
        <is>
          <t>General Rafael Buelna International Airport</t>
        </is>
      </c>
      <c r="J805" s="21" t="n">
        <v>16.4</v>
      </c>
      <c r="K805" s="18" t="inlineStr">
        <is>
          <t>MZT</t>
        </is>
      </c>
      <c r="L805" s="18" t="inlineStr">
        <is>
          <t>100k +  pop + airport</t>
        </is>
      </c>
      <c r="M805" s="22" t="n">
        <v>0.556</v>
      </c>
      <c r="N805" s="22" t="n">
        <v>0</v>
      </c>
      <c r="O805" s="18" t="n"/>
      <c r="P805" s="22">
        <f>IF(O805="",(About!$B$5*M805+About!$B$6*N805)/(About!$B$5+About!$B$6),About!$B$5*M805+About!$B$6*N805+About!$B$7*O805)</f>
        <v/>
      </c>
      <c r="Q805" s="23" t="n">
        <v>23.2329</v>
      </c>
      <c r="R805" s="23" t="n">
        <v>-106.4062</v>
      </c>
    </row>
    <row r="806" ht="15" customHeight="1" s="12">
      <c r="A806" s="18" t="inlineStr">
        <is>
          <t>Timişoara</t>
        </is>
      </c>
      <c r="B806" s="18" t="inlineStr">
        <is>
          <t>Romania</t>
        </is>
      </c>
      <c r="C806" s="19" t="n">
        <v>19036031</v>
      </c>
      <c r="D806" s="18" t="inlineStr">
        <is>
          <t>RO</t>
        </is>
      </c>
      <c r="E806" s="18" t="inlineStr">
        <is>
          <t>36</t>
        </is>
      </c>
      <c r="F806" s="20" t="n">
        <v>315053</v>
      </c>
      <c r="G806" s="18" t="n"/>
      <c r="H806" s="18" t="inlineStr">
        <is>
          <t>TSR</t>
        </is>
      </c>
      <c r="I806" s="18" t="inlineStr">
        <is>
          <t>Timișoara Traian Vuia International Airport</t>
        </is>
      </c>
      <c r="J806" s="21" t="n">
        <v>10.7</v>
      </c>
      <c r="K806" s="18" t="inlineStr">
        <is>
          <t>TSR</t>
        </is>
      </c>
      <c r="L806" s="18" t="inlineStr">
        <is>
          <t>100k +  pop + airport</t>
        </is>
      </c>
      <c r="M806" s="22" t="n">
        <v>0.556</v>
      </c>
      <c r="N806" s="22" t="n">
        <v>0</v>
      </c>
      <c r="O806" s="18" t="n"/>
      <c r="P806" s="22">
        <f>IF(O806="",(About!$B$5*M806+About!$B$6*N806)/(About!$B$5+About!$B$6),About!$B$5*M806+About!$B$6*N806+About!$B$7*O806)</f>
        <v/>
      </c>
      <c r="Q806" s="23" t="n">
        <v>45.7537</v>
      </c>
      <c r="R806" s="23" t="n">
        <v>21.2257</v>
      </c>
    </row>
    <row r="807" ht="15" customHeight="1" s="12">
      <c r="A807" s="18" t="inlineStr">
        <is>
          <t>Neuquén</t>
        </is>
      </c>
      <c r="B807" s="18" t="inlineStr">
        <is>
          <t>Argentina</t>
        </is>
      </c>
      <c r="C807" s="19" t="n">
        <v>46387098</v>
      </c>
      <c r="D807" s="18" t="inlineStr">
        <is>
          <t>AR</t>
        </is>
      </c>
      <c r="E807" s="18" t="inlineStr">
        <is>
          <t>15</t>
        </is>
      </c>
      <c r="F807" s="20" t="n">
        <v>242092</v>
      </c>
      <c r="G807" s="18" t="n"/>
      <c r="H807" s="18" t="inlineStr">
        <is>
          <t>NQN</t>
        </is>
      </c>
      <c r="I807" s="18" t="inlineStr">
        <is>
          <t>Presidente Perón International Airport</t>
        </is>
      </c>
      <c r="J807" s="21" t="n">
        <v>8.4</v>
      </c>
      <c r="K807" s="18" t="inlineStr">
        <is>
          <t>NQN</t>
        </is>
      </c>
      <c r="L807" s="18" t="inlineStr">
        <is>
          <t>100k +  pop + airport</t>
        </is>
      </c>
      <c r="M807" s="22" t="n">
        <v>0.5570000000000001</v>
      </c>
      <c r="N807" s="22" t="n">
        <v>0</v>
      </c>
      <c r="O807" s="18" t="n"/>
      <c r="P807" s="22">
        <f>IF(O807="",(About!$B$5*M807+About!$B$6*N807)/(About!$B$5+About!$B$6),About!$B$5*M807+About!$B$6*N807+About!$B$7*O807)</f>
        <v/>
      </c>
      <c r="Q807" s="23" t="n">
        <v>-38.9516</v>
      </c>
      <c r="R807" s="23" t="n">
        <v>-68.0591</v>
      </c>
    </row>
    <row r="808" ht="15" customHeight="1" s="12">
      <c r="A808" s="18" t="inlineStr">
        <is>
          <t>Rostock</t>
        </is>
      </c>
      <c r="B808" s="18" t="inlineStr">
        <is>
          <t>Germany</t>
        </is>
      </c>
      <c r="C808" s="19" t="n">
        <v>83497147</v>
      </c>
      <c r="D808" s="18" t="inlineStr">
        <is>
          <t>DE</t>
        </is>
      </c>
      <c r="E808" s="18" t="inlineStr">
        <is>
          <t>12</t>
        </is>
      </c>
      <c r="F808" s="20" t="n">
        <v>198293</v>
      </c>
      <c r="G808" s="18" t="n"/>
      <c r="H808" s="18" t="inlineStr">
        <is>
          <t>RLG</t>
        </is>
      </c>
      <c r="I808" s="18" t="inlineStr">
        <is>
          <t>Rostock-Laage Airport</t>
        </is>
      </c>
      <c r="J808" s="21" t="n">
        <v>21</v>
      </c>
      <c r="K808" s="18" t="inlineStr">
        <is>
          <t>RLG</t>
        </is>
      </c>
      <c r="L808" s="18" t="inlineStr">
        <is>
          <t>100k +  pop</t>
        </is>
      </c>
      <c r="M808" s="22" t="n">
        <v>0.5570000000000001</v>
      </c>
      <c r="N808" s="22" t="n">
        <v>0</v>
      </c>
      <c r="O808" s="18" t="n"/>
      <c r="P808" s="22">
        <f>IF(O808="",(About!$B$5*M808+About!$B$6*N808)/(About!$B$5+About!$B$6),About!$B$5*M808+About!$B$6*N808+About!$B$7*O808)</f>
        <v/>
      </c>
      <c r="Q808" s="23" t="n">
        <v>54.0887</v>
      </c>
      <c r="R808" s="23" t="n">
        <v>12.1405</v>
      </c>
    </row>
    <row r="809" ht="15" customHeight="1" s="12">
      <c r="A809" s="18" t="inlineStr">
        <is>
          <t>Az Zubayr</t>
        </is>
      </c>
      <c r="B809" s="18" t="inlineStr">
        <is>
          <t>Iraq</t>
        </is>
      </c>
      <c r="C809" s="19" t="n">
        <v>46118793</v>
      </c>
      <c r="D809" s="18" t="inlineStr">
        <is>
          <t>IQ</t>
        </is>
      </c>
      <c r="E809" s="18" t="inlineStr">
        <is>
          <t>02</t>
        </is>
      </c>
      <c r="F809" s="20" t="n">
        <v>122676</v>
      </c>
      <c r="G809" s="18" t="n"/>
      <c r="H809" s="18" t="inlineStr">
        <is>
          <t>BSR</t>
        </is>
      </c>
      <c r="I809" s="18" t="inlineStr">
        <is>
          <t>Basra International Airport</t>
        </is>
      </c>
      <c r="J809" s="21" t="n">
        <v>17.9</v>
      </c>
      <c r="K809" s="18" t="inlineStr">
        <is>
          <t>BSR</t>
        </is>
      </c>
      <c r="L809" s="18" t="inlineStr">
        <is>
          <t>100k +  pop</t>
        </is>
      </c>
      <c r="M809" s="22" t="n">
        <v>0.556</v>
      </c>
      <c r="N809" s="22" t="n">
        <v>0</v>
      </c>
      <c r="O809" s="18" t="n"/>
      <c r="P809" s="22">
        <f>IF(O809="",(About!$B$5*M809+About!$B$6*N809)/(About!$B$5+About!$B$6),About!$B$5*M809+About!$B$6*N809+About!$B$7*O809)</f>
        <v/>
      </c>
      <c r="Q809" s="23" t="n">
        <v>30.3921</v>
      </c>
      <c r="R809" s="23" t="n">
        <v>47.7017</v>
      </c>
    </row>
    <row r="810" ht="15" customHeight="1" s="12">
      <c r="A810" s="18" t="inlineStr">
        <is>
          <t>Nizhniy Novgorod</t>
        </is>
      </c>
      <c r="B810" s="18" t="inlineStr">
        <is>
          <t>Russia</t>
        </is>
      </c>
      <c r="C810" s="19" t="n">
        <v>146028325</v>
      </c>
      <c r="D810" s="18" t="inlineStr">
        <is>
          <t>RU</t>
        </is>
      </c>
      <c r="E810" s="18" t="inlineStr">
        <is>
          <t>51</t>
        </is>
      </c>
      <c r="F810" s="20" t="n">
        <v>1284164</v>
      </c>
      <c r="G810" s="18" t="n"/>
      <c r="H810" s="18" t="inlineStr">
        <is>
          <t>GOJ</t>
        </is>
      </c>
      <c r="I810" s="18" t="inlineStr">
        <is>
          <t>Nizhny Novgorod / Strigino International Airport</t>
        </is>
      </c>
      <c r="J810" s="21" t="n">
        <v>17.5</v>
      </c>
      <c r="K810" s="18" t="inlineStr">
        <is>
          <t>GOJ</t>
        </is>
      </c>
      <c r="L810" s="18" t="inlineStr">
        <is>
          <t>100k +  pop</t>
        </is>
      </c>
      <c r="M810" s="22" t="n">
        <v>0.554</v>
      </c>
      <c r="N810" s="22" t="n">
        <v>0</v>
      </c>
      <c r="O810" s="18" t="n"/>
      <c r="P810" s="22">
        <f>IF(O810="",(About!$B$5*M810+About!$B$6*N810)/(About!$B$5+About!$B$6),About!$B$5*M810+About!$B$6*N810+About!$B$7*O810)</f>
        <v/>
      </c>
      <c r="Q810" s="23" t="n">
        <v>56.3287</v>
      </c>
      <c r="R810" s="23" t="n">
        <v>44.002</v>
      </c>
    </row>
    <row r="811" ht="15" customHeight="1" s="12">
      <c r="A811" s="18" t="inlineStr">
        <is>
          <t>Mar del Plata</t>
        </is>
      </c>
      <c r="B811" s="18" t="inlineStr">
        <is>
          <t>Argentina</t>
        </is>
      </c>
      <c r="C811" s="19" t="n">
        <v>46387098</v>
      </c>
      <c r="D811" s="18" t="inlineStr">
        <is>
          <t>AR</t>
        </is>
      </c>
      <c r="E811" s="18" t="inlineStr">
        <is>
          <t>01</t>
        </is>
      </c>
      <c r="F811" s="20" t="n">
        <v>553935</v>
      </c>
      <c r="G811" s="18" t="n"/>
      <c r="H811" s="18" t="inlineStr">
        <is>
          <t>MDQ</t>
        </is>
      </c>
      <c r="I811" s="18" t="inlineStr">
        <is>
          <t>Ástor Piazzola International Airport</t>
        </is>
      </c>
      <c r="J811" s="21" t="n">
        <v>7.5</v>
      </c>
      <c r="K811" s="18" t="inlineStr">
        <is>
          <t>MDQ</t>
        </is>
      </c>
      <c r="L811" s="18" t="inlineStr">
        <is>
          <t>100k +  pop + airport</t>
        </is>
      </c>
      <c r="M811" s="22" t="n">
        <v>0.554</v>
      </c>
      <c r="N811" s="22" t="n">
        <v>0</v>
      </c>
      <c r="O811" s="18" t="n"/>
      <c r="P811" s="22">
        <f>IF(O811="",(About!$B$5*M811+About!$B$6*N811)/(About!$B$5+About!$B$6),About!$B$5*M811+About!$B$6*N811+About!$B$7*O811)</f>
        <v/>
      </c>
      <c r="Q811" s="23" t="n">
        <v>-38.0004</v>
      </c>
      <c r="R811" s="23" t="n">
        <v>-57.5562</v>
      </c>
    </row>
    <row r="812" ht="15" customHeight="1" s="12">
      <c r="A812" s="18" t="inlineStr">
        <is>
          <t>Kisangani</t>
        </is>
      </c>
      <c r="B812" s="18" t="inlineStr">
        <is>
          <t>DR Congo</t>
        </is>
      </c>
      <c r="C812" s="19" t="n">
        <v>112832000</v>
      </c>
      <c r="D812" s="18" t="inlineStr">
        <is>
          <t>CD</t>
        </is>
      </c>
      <c r="E812" s="18" t="inlineStr">
        <is>
          <t>30</t>
        </is>
      </c>
      <c r="F812" s="20" t="n">
        <v>539158</v>
      </c>
      <c r="G812" s="18" t="n"/>
      <c r="H812" s="18" t="inlineStr">
        <is>
          <t>FKI</t>
        </is>
      </c>
      <c r="I812" s="18" t="inlineStr">
        <is>
          <t>Bangoka International Airport</t>
        </is>
      </c>
      <c r="J812" s="21" t="n">
        <v>16.8</v>
      </c>
      <c r="K812" s="18" t="inlineStr">
        <is>
          <t>FKI</t>
        </is>
      </c>
      <c r="L812" s="18" t="inlineStr">
        <is>
          <t>100k +  pop + airport</t>
        </is>
      </c>
      <c r="M812" s="22" t="n">
        <v>0.555</v>
      </c>
      <c r="N812" s="22" t="n">
        <v>0</v>
      </c>
      <c r="O812" s="18" t="n"/>
      <c r="P812" s="22">
        <f>IF(O812="",(About!$B$5*M812+About!$B$6*N812)/(About!$B$5+About!$B$6),About!$B$5*M812+About!$B$6*N812+About!$B$7*O812)</f>
        <v/>
      </c>
      <c r="Q812" s="23" t="n">
        <v>0.5153</v>
      </c>
      <c r="R812" s="23" t="n">
        <v>25.191</v>
      </c>
    </row>
    <row r="813" ht="15" customHeight="1" s="12">
      <c r="A813" s="18" t="inlineStr">
        <is>
          <t>Murmansk</t>
        </is>
      </c>
      <c r="B813" s="18" t="inlineStr">
        <is>
          <t>Russia</t>
        </is>
      </c>
      <c r="C813" s="19" t="n">
        <v>146028325</v>
      </c>
      <c r="D813" s="18" t="inlineStr">
        <is>
          <t>RU</t>
        </is>
      </c>
      <c r="E813" s="18" t="inlineStr">
        <is>
          <t>49</t>
        </is>
      </c>
      <c r="F813" s="20" t="n">
        <v>319263</v>
      </c>
      <c r="G813" s="18" t="n"/>
      <c r="H813" s="18" t="inlineStr">
        <is>
          <t>MMK</t>
        </is>
      </c>
      <c r="I813" s="18" t="inlineStr">
        <is>
          <t>Emperor Nicholas II Murmansk Airport</t>
        </is>
      </c>
      <c r="J813" s="21" t="n">
        <v>25.9</v>
      </c>
      <c r="K813" s="18" t="inlineStr">
        <is>
          <t>MMK</t>
        </is>
      </c>
      <c r="L813" s="18" t="inlineStr">
        <is>
          <t>100k +  pop + airport</t>
        </is>
      </c>
      <c r="M813" s="22" t="n">
        <v>0.554</v>
      </c>
      <c r="N813" s="22" t="n">
        <v>0</v>
      </c>
      <c r="O813" s="18" t="n"/>
      <c r="P813" s="22">
        <f>IF(O813="",(About!$B$5*M813+About!$B$6*N813)/(About!$B$5+About!$B$6),About!$B$5*M813+About!$B$6*N813+About!$B$7*O813)</f>
        <v/>
      </c>
      <c r="Q813" s="23" t="n">
        <v>68.97920000000001</v>
      </c>
      <c r="R813" s="23" t="n">
        <v>33.0925</v>
      </c>
    </row>
    <row r="814" ht="15" customHeight="1" s="12">
      <c r="A814" s="18" t="inlineStr">
        <is>
          <t>Oaxaca</t>
        </is>
      </c>
      <c r="B814" s="18" t="inlineStr">
        <is>
          <t>Mexico</t>
        </is>
      </c>
      <c r="C814" s="19" t="n">
        <v>131150866</v>
      </c>
      <c r="D814" s="18" t="inlineStr">
        <is>
          <t>MX</t>
        </is>
      </c>
      <c r="E814" s="18" t="inlineStr">
        <is>
          <t>20</t>
        </is>
      </c>
      <c r="F814" s="20" t="n">
        <v>255029</v>
      </c>
      <c r="G814" s="18" t="n"/>
      <c r="H814" s="18" t="inlineStr">
        <is>
          <t>OAX</t>
        </is>
      </c>
      <c r="I814" s="18" t="inlineStr">
        <is>
          <t>Xoxocotlán International Airport</t>
        </is>
      </c>
      <c r="J814" s="21" t="n">
        <v>7.4</v>
      </c>
      <c r="K814" s="18" t="inlineStr">
        <is>
          <t>OAX</t>
        </is>
      </c>
      <c r="L814" s="18" t="inlineStr">
        <is>
          <t>100k +  pop + airport</t>
        </is>
      </c>
      <c r="M814" s="22" t="n">
        <v>0.554</v>
      </c>
      <c r="N814" s="22" t="n">
        <v>0</v>
      </c>
      <c r="O814" s="18" t="n"/>
      <c r="P814" s="22">
        <f>IF(O814="",(About!$B$5*M814+About!$B$6*N814)/(About!$B$5+About!$B$6),About!$B$5*M814+About!$B$6*N814+About!$B$7*O814)</f>
        <v/>
      </c>
      <c r="Q814" s="23" t="n">
        <v>17.0654</v>
      </c>
      <c r="R814" s="23" t="n">
        <v>-96.72369999999999</v>
      </c>
    </row>
    <row r="815" ht="15" customHeight="1" s="12">
      <c r="A815" s="18" t="inlineStr">
        <is>
          <t>Puerto Princesa</t>
        </is>
      </c>
      <c r="B815" s="18" t="inlineStr">
        <is>
          <t>Philippines</t>
        </is>
      </c>
      <c r="C815" s="19" t="n">
        <v>114123600</v>
      </c>
      <c r="D815" s="18" t="inlineStr">
        <is>
          <t>PH</t>
        </is>
      </c>
      <c r="E815" s="18" t="inlineStr">
        <is>
          <t>41</t>
        </is>
      </c>
      <c r="F815" s="20" t="n">
        <v>222673</v>
      </c>
      <c r="G815" s="18" t="n"/>
      <c r="H815" s="18" t="inlineStr">
        <is>
          <t>PPS</t>
        </is>
      </c>
      <c r="I815" s="18" t="inlineStr">
        <is>
          <t>Puerto Princesa International Airport / PAF Antonio Bautista Air Base</t>
        </is>
      </c>
      <c r="J815" s="21" t="n">
        <v>2.6</v>
      </c>
      <c r="K815" s="18" t="inlineStr">
        <is>
          <t>PPS</t>
        </is>
      </c>
      <c r="L815" s="18" t="inlineStr">
        <is>
          <t>100k +  pop + airport</t>
        </is>
      </c>
      <c r="M815" s="22" t="n">
        <v>0.553</v>
      </c>
      <c r="N815" s="22" t="n">
        <v>0</v>
      </c>
      <c r="O815" s="18" t="n"/>
      <c r="P815" s="22">
        <f>IF(O815="",(About!$B$5*M815+About!$B$6*N815)/(About!$B$5+About!$B$6),About!$B$5*M815+About!$B$6*N815+About!$B$7*O815)</f>
        <v/>
      </c>
      <c r="Q815" s="23" t="n">
        <v>9.7392</v>
      </c>
      <c r="R815" s="23" t="n">
        <v>118.7353</v>
      </c>
    </row>
    <row r="816" ht="15" customHeight="1" s="12">
      <c r="A816" s="18" t="inlineStr">
        <is>
          <t>Saarbrücken</t>
        </is>
      </c>
      <c r="B816" s="18" t="inlineStr">
        <is>
          <t>Germany</t>
        </is>
      </c>
      <c r="C816" s="19" t="n">
        <v>83497147</v>
      </c>
      <c r="D816" s="18" t="inlineStr">
        <is>
          <t>DE</t>
        </is>
      </c>
      <c r="E816" s="18" t="inlineStr">
        <is>
          <t>09</t>
        </is>
      </c>
      <c r="F816" s="20" t="n">
        <v>181227</v>
      </c>
      <c r="G816" s="18" t="n"/>
      <c r="H816" s="18" t="inlineStr">
        <is>
          <t>SCN</t>
        </is>
      </c>
      <c r="I816" s="18" t="inlineStr">
        <is>
          <t>Saarbrücken Airport</t>
        </is>
      </c>
      <c r="J816" s="21" t="n">
        <v>7.5</v>
      </c>
      <c r="K816" s="18" t="inlineStr">
        <is>
          <t>SCN</t>
        </is>
      </c>
      <c r="L816" s="18" t="inlineStr">
        <is>
          <t>100k +  pop + airport</t>
        </is>
      </c>
      <c r="M816" s="22" t="n">
        <v>0.554</v>
      </c>
      <c r="N816" s="22" t="n">
        <v>0</v>
      </c>
      <c r="O816" s="18" t="n"/>
      <c r="P816" s="22">
        <f>IF(O816="",(About!$B$5*M816+About!$B$6*N816)/(About!$B$5+About!$B$6),About!$B$5*M816+About!$B$6*N816+About!$B$7*O816)</f>
        <v/>
      </c>
      <c r="Q816" s="23" t="n">
        <v>49.2326</v>
      </c>
      <c r="R816" s="23" t="n">
        <v>7.0098</v>
      </c>
    </row>
    <row r="817" ht="15" customHeight="1" s="12">
      <c r="A817" s="18" t="inlineStr">
        <is>
          <t>Peshawar</t>
        </is>
      </c>
      <c r="B817" s="18" t="inlineStr">
        <is>
          <t>Pakistan</t>
        </is>
      </c>
      <c r="C817" s="19" t="n">
        <v>241499431</v>
      </c>
      <c r="D817" s="18" t="inlineStr">
        <is>
          <t>PK</t>
        </is>
      </c>
      <c r="E817" s="18" t="inlineStr">
        <is>
          <t>03</t>
        </is>
      </c>
      <c r="F817" s="20" t="n">
        <v>1218773</v>
      </c>
      <c r="G817" s="18" t="n"/>
      <c r="H817" s="18" t="inlineStr">
        <is>
          <t>PEW</t>
        </is>
      </c>
      <c r="I817" s="18" t="inlineStr">
        <is>
          <t>Bacha Khan International Airport</t>
        </is>
      </c>
      <c r="J817" s="21" t="n">
        <v>6.1</v>
      </c>
      <c r="K817" s="18" t="inlineStr">
        <is>
          <t>PEW</t>
        </is>
      </c>
      <c r="L817" s="18" t="inlineStr">
        <is>
          <t>100k +  pop + airport</t>
        </is>
      </c>
      <c r="M817" s="22" t="n">
        <v>0.551</v>
      </c>
      <c r="N817" s="22" t="n">
        <v>0</v>
      </c>
      <c r="O817" s="18" t="n"/>
      <c r="P817" s="22">
        <f>IF(O817="",(About!$B$5*M817+About!$B$6*N817)/(About!$B$5+About!$B$6),About!$B$5*M817+About!$B$6*N817+About!$B$7*O817)</f>
        <v/>
      </c>
      <c r="Q817" s="23" t="n">
        <v>34.008</v>
      </c>
      <c r="R817" s="23" t="n">
        <v>71.57850000000001</v>
      </c>
    </row>
    <row r="818" ht="15" customHeight="1" s="12">
      <c r="A818" s="18" t="inlineStr">
        <is>
          <t>Mysore</t>
        </is>
      </c>
      <c r="B818" s="18" t="inlineStr">
        <is>
          <t>India</t>
        </is>
      </c>
      <c r="C818" s="19" t="n">
        <v>1417492000</v>
      </c>
      <c r="D818" s="18" t="inlineStr">
        <is>
          <t>IN</t>
        </is>
      </c>
      <c r="E818" s="18" t="inlineStr">
        <is>
          <t>19</t>
        </is>
      </c>
      <c r="F818" s="20" t="n">
        <v>868313</v>
      </c>
      <c r="G818" s="18" t="n"/>
      <c r="H818" s="18" t="inlineStr">
        <is>
          <t>MYQ</t>
        </is>
      </c>
      <c r="I818" s="18" t="inlineStr">
        <is>
          <t>Mysore Airport</t>
        </is>
      </c>
      <c r="J818" s="21" t="n">
        <v>7.7</v>
      </c>
      <c r="K818" s="18" t="inlineStr">
        <is>
          <t>MYQ</t>
        </is>
      </c>
      <c r="L818" s="18" t="inlineStr">
        <is>
          <t>100k +  pop + airport</t>
        </is>
      </c>
      <c r="M818" s="22" t="n">
        <v>0.551</v>
      </c>
      <c r="N818" s="22" t="n">
        <v>0</v>
      </c>
      <c r="O818" s="18" t="n"/>
      <c r="P818" s="22">
        <f>IF(O818="",(About!$B$5*M818+About!$B$6*N818)/(About!$B$5+About!$B$6),About!$B$5*M818+About!$B$6*N818+About!$B$7*O818)</f>
        <v/>
      </c>
      <c r="Q818" s="23" t="n">
        <v>12.2979</v>
      </c>
      <c r="R818" s="23" t="n">
        <v>76.63930000000001</v>
      </c>
    </row>
    <row r="819" ht="15" customHeight="1" s="12">
      <c r="A819" s="18" t="inlineStr">
        <is>
          <t>Santa Marta</t>
        </is>
      </c>
      <c r="B819" s="18" t="inlineStr">
        <is>
          <t>Colombia</t>
        </is>
      </c>
      <c r="C819" s="19" t="n">
        <v>53057212</v>
      </c>
      <c r="D819" s="18" t="inlineStr">
        <is>
          <t>CO</t>
        </is>
      </c>
      <c r="E819" s="18" t="inlineStr">
        <is>
          <t>38</t>
        </is>
      </c>
      <c r="F819" s="20" t="n">
        <v>431781</v>
      </c>
      <c r="G819" s="18" t="n"/>
      <c r="H819" s="18" t="inlineStr">
        <is>
          <t>SMR</t>
        </is>
      </c>
      <c r="I819" s="18" t="inlineStr">
        <is>
          <t>Simón Bolívar International Airport</t>
        </is>
      </c>
      <c r="J819" s="21" t="n">
        <v>13.9</v>
      </c>
      <c r="K819" s="18" t="inlineStr">
        <is>
          <t>SMR</t>
        </is>
      </c>
      <c r="L819" s="18" t="inlineStr">
        <is>
          <t>100k +  pop + airport</t>
        </is>
      </c>
      <c r="M819" s="22" t="n">
        <v>0.552</v>
      </c>
      <c r="N819" s="22" t="n">
        <v>0</v>
      </c>
      <c r="O819" s="18" t="n"/>
      <c r="P819" s="22">
        <f>IF(O819="",(About!$B$5*M819+About!$B$6*N819)/(About!$B$5+About!$B$6),About!$B$5*M819+About!$B$6*N819+About!$B$7*O819)</f>
        <v/>
      </c>
      <c r="Q819" s="23" t="n">
        <v>11.2408</v>
      </c>
      <c r="R819" s="23" t="n">
        <v>-74.199</v>
      </c>
    </row>
    <row r="820" ht="15" customHeight="1" s="12">
      <c r="A820" s="18" t="inlineStr">
        <is>
          <t>Pasto</t>
        </is>
      </c>
      <c r="B820" s="18" t="inlineStr">
        <is>
          <t>Colombia</t>
        </is>
      </c>
      <c r="C820" s="19" t="n">
        <v>53057212</v>
      </c>
      <c r="D820" s="18" t="inlineStr">
        <is>
          <t>CO</t>
        </is>
      </c>
      <c r="E820" s="18" t="inlineStr">
        <is>
          <t>20</t>
        </is>
      </c>
      <c r="F820" s="20" t="n">
        <v>382236</v>
      </c>
      <c r="G820" s="18" t="n"/>
      <c r="H820" s="18" t="inlineStr">
        <is>
          <t>PSO</t>
        </is>
      </c>
      <c r="I820" s="18" t="inlineStr">
        <is>
          <t>Antonio Nariño Airport</t>
        </is>
      </c>
      <c r="J820" s="21" t="n">
        <v>20.4</v>
      </c>
      <c r="K820" s="18" t="inlineStr">
        <is>
          <t>PSO</t>
        </is>
      </c>
      <c r="L820" s="18" t="inlineStr">
        <is>
          <t>100k +  pop</t>
        </is>
      </c>
      <c r="M820" s="22" t="n">
        <v>0.553</v>
      </c>
      <c r="N820" s="22" t="n">
        <v>0</v>
      </c>
      <c r="O820" s="18" t="n"/>
      <c r="P820" s="22">
        <f>IF(O820="",(About!$B$5*M820+About!$B$6*N820)/(About!$B$5+About!$B$6),About!$B$5*M820+About!$B$6*N820+About!$B$7*O820)</f>
        <v/>
      </c>
      <c r="Q820" s="23" t="n">
        <v>1.2136</v>
      </c>
      <c r="R820" s="23" t="n">
        <v>-77.2811</v>
      </c>
    </row>
    <row r="821" ht="15" customHeight="1" s="12">
      <c r="A821" s="18" t="inlineStr">
        <is>
          <t>Buôn Ma Thuột</t>
        </is>
      </c>
      <c r="B821" s="18" t="inlineStr">
        <is>
          <t>Vietnam</t>
        </is>
      </c>
      <c r="C821" s="19" t="n">
        <v>102300000</v>
      </c>
      <c r="D821" s="18" t="inlineStr">
        <is>
          <t>VN</t>
        </is>
      </c>
      <c r="E821" s="18" t="inlineStr">
        <is>
          <t>88</t>
        </is>
      </c>
      <c r="F821" s="20" t="n">
        <v>146975</v>
      </c>
      <c r="G821" s="18" t="n"/>
      <c r="H821" s="18" t="inlineStr">
        <is>
          <t>BMV</t>
        </is>
      </c>
      <c r="I821" s="18" t="inlineStr">
        <is>
          <t>Buon Ma Thuot Airport</t>
        </is>
      </c>
      <c r="J821" s="21" t="n">
        <v>8.9</v>
      </c>
      <c r="K821" s="18" t="inlineStr">
        <is>
          <t>BMV</t>
        </is>
      </c>
      <c r="L821" s="18" t="inlineStr">
        <is>
          <t>100k +  pop + airport</t>
        </is>
      </c>
      <c r="M821" s="22" t="n">
        <v>0.552</v>
      </c>
      <c r="N821" s="22" t="n">
        <v>0</v>
      </c>
      <c r="O821" s="18" t="n"/>
      <c r="P821" s="22">
        <f>IF(O821="",(About!$B$5*M821+About!$B$6*N821)/(About!$B$5+About!$B$6),About!$B$5*M821+About!$B$6*N821+About!$B$7*O821)</f>
        <v/>
      </c>
      <c r="Q821" s="23" t="n">
        <v>12.6675</v>
      </c>
      <c r="R821" s="23" t="n">
        <v>108.0378</v>
      </c>
    </row>
    <row r="822" ht="15" customHeight="1" s="12">
      <c r="A822" s="18" t="inlineStr">
        <is>
          <t>Castries</t>
        </is>
      </c>
      <c r="B822" s="18" t="inlineStr">
        <is>
          <t>Saint Lucia</t>
        </is>
      </c>
      <c r="C822" s="19" t="n">
        <v>184100</v>
      </c>
      <c r="D822" s="18" t="inlineStr">
        <is>
          <t>LC</t>
        </is>
      </c>
      <c r="E822" s="18" t="inlineStr">
        <is>
          <t>03</t>
        </is>
      </c>
      <c r="F822" s="20" t="n">
        <v>20000</v>
      </c>
      <c r="G822" s="18" t="inlineStr">
        <is>
          <t>Yes</t>
        </is>
      </c>
      <c r="H822" s="18" t="inlineStr">
        <is>
          <t>SLU</t>
        </is>
      </c>
      <c r="I822" s="18" t="inlineStr">
        <is>
          <t>George F. L. Charles Airport</t>
        </is>
      </c>
      <c r="J822" s="21" t="n">
        <v>3.1</v>
      </c>
      <c r="K822" s="18" t="inlineStr">
        <is>
          <t>SLU</t>
        </is>
      </c>
      <c r="L822" s="18" t="inlineStr">
        <is>
          <t>capital + airport</t>
        </is>
      </c>
      <c r="M822" s="22" t="n">
        <v>0.552</v>
      </c>
      <c r="N822" s="22" t="n">
        <v>0</v>
      </c>
      <c r="O822" s="18" t="n"/>
      <c r="P822" s="22">
        <f>IF(O822="",(About!$B$5*M822+About!$B$6*N822)/(About!$B$5+About!$B$6),About!$B$5*M822+About!$B$6*N822+About!$B$7*O822)</f>
        <v/>
      </c>
      <c r="Q822" s="23" t="n">
        <v>13.9957</v>
      </c>
      <c r="R822" s="23" t="n">
        <v>-61.0061</v>
      </c>
    </row>
    <row r="823" ht="15" customHeight="1" s="12">
      <c r="A823" s="18" t="inlineStr">
        <is>
          <t>Avarua</t>
        </is>
      </c>
      <c r="B823" s="18" t="inlineStr">
        <is>
          <t>Cook Islands</t>
        </is>
      </c>
      <c r="C823" s="19" t="n">
        <v>15040</v>
      </c>
      <c r="D823" s="18" t="inlineStr">
        <is>
          <t>CK</t>
        </is>
      </c>
      <c r="E823" s="18" t="inlineStr">
        <is>
          <t>11695425</t>
        </is>
      </c>
      <c r="F823" s="20" t="n">
        <v>13373</v>
      </c>
      <c r="G823" s="18" t="inlineStr">
        <is>
          <t>Yes</t>
        </is>
      </c>
      <c r="H823" s="18" t="inlineStr">
        <is>
          <t>RAR</t>
        </is>
      </c>
      <c r="I823" s="18" t="inlineStr">
        <is>
          <t>Rarotonga International Airport</t>
        </is>
      </c>
      <c r="J823" s="21" t="n">
        <v>3.2</v>
      </c>
      <c r="K823" s="18" t="inlineStr">
        <is>
          <t>RAR</t>
        </is>
      </c>
      <c r="L823" s="18" t="inlineStr">
        <is>
          <t>capital</t>
        </is>
      </c>
      <c r="M823" s="22" t="n">
        <v>0.552</v>
      </c>
      <c r="N823" s="22" t="n">
        <v>0</v>
      </c>
      <c r="O823" s="18" t="n"/>
      <c r="P823" s="22">
        <f>IF(O823="",(About!$B$5*M823+About!$B$6*N823)/(About!$B$5+About!$B$6),About!$B$5*M823+About!$B$6*N823+About!$B$7*O823)</f>
        <v/>
      </c>
      <c r="Q823" s="23" t="n">
        <v>-21.2075</v>
      </c>
      <c r="R823" s="23" t="n">
        <v>-159.7755</v>
      </c>
    </row>
    <row r="824" ht="15" customHeight="1" s="12">
      <c r="A824" s="18" t="inlineStr">
        <is>
          <t>Norwich</t>
        </is>
      </c>
      <c r="B824" s="18" t="inlineStr">
        <is>
          <t>United Kingdom</t>
        </is>
      </c>
      <c r="C824" s="19" t="n">
        <v>69487000</v>
      </c>
      <c r="D824" s="18" t="inlineStr">
        <is>
          <t>GB</t>
        </is>
      </c>
      <c r="E824" s="18" t="inlineStr">
        <is>
          <t>ENG</t>
        </is>
      </c>
      <c r="F824" s="20" t="n">
        <v>213166</v>
      </c>
      <c r="G824" s="18" t="n"/>
      <c r="H824" s="18" t="inlineStr">
        <is>
          <t>NWI</t>
        </is>
      </c>
      <c r="I824" s="18" t="inlineStr">
        <is>
          <t>Norwich Airport</t>
        </is>
      </c>
      <c r="J824" s="21" t="n">
        <v>5.4</v>
      </c>
      <c r="K824" s="18" t="inlineStr">
        <is>
          <t>NWI</t>
        </is>
      </c>
      <c r="L824" s="18" t="inlineStr">
        <is>
          <t>100k +  pop + airport</t>
        </is>
      </c>
      <c r="M824" s="22" t="n">
        <v>0.551</v>
      </c>
      <c r="N824" s="22" t="n">
        <v>0</v>
      </c>
      <c r="O824" s="18" t="n"/>
      <c r="P824" s="22">
        <f>IF(O824="",(About!$B$5*M824+About!$B$6*N824)/(About!$B$5+About!$B$6),About!$B$5*M824+About!$B$6*N824+About!$B$7*O824)</f>
        <v/>
      </c>
      <c r="Q824" s="23" t="n">
        <v>52.6278</v>
      </c>
      <c r="R824" s="23" t="n">
        <v>1.2983</v>
      </c>
    </row>
    <row r="825" ht="15" customHeight="1" s="12">
      <c r="A825" s="18" t="inlineStr">
        <is>
          <t>Thanh Hóa</t>
        </is>
      </c>
      <c r="B825" s="18" t="inlineStr">
        <is>
          <t>Vietnam</t>
        </is>
      </c>
      <c r="C825" s="19" t="n">
        <v>102300000</v>
      </c>
      <c r="D825" s="18" t="inlineStr">
        <is>
          <t>VN</t>
        </is>
      </c>
      <c r="E825" s="18" t="inlineStr">
        <is>
          <t>34</t>
        </is>
      </c>
      <c r="F825" s="20" t="n">
        <v>112473</v>
      </c>
      <c r="G825" s="18" t="n"/>
      <c r="H825" s="18" t="inlineStr">
        <is>
          <t>THD</t>
        </is>
      </c>
      <c r="I825" s="18" t="inlineStr">
        <is>
          <t>Tho Xuan Airport</t>
        </is>
      </c>
      <c r="J825" s="21" t="n">
        <v>33.2</v>
      </c>
      <c r="K825" s="18" t="inlineStr">
        <is>
          <t>THD</t>
        </is>
      </c>
      <c r="L825" s="18" t="inlineStr">
        <is>
          <t>100k +  pop + airport</t>
        </is>
      </c>
      <c r="M825" s="22" t="n">
        <v>0.551</v>
      </c>
      <c r="N825" s="22" t="n">
        <v>0</v>
      </c>
      <c r="O825" s="18" t="n"/>
      <c r="P825" s="22">
        <f>IF(O825="",(About!$B$5*M825+About!$B$6*N825)/(About!$B$5+About!$B$6),About!$B$5*M825+About!$B$6*N825+About!$B$7*O825)</f>
        <v/>
      </c>
      <c r="Q825" s="23" t="n">
        <v>19.8</v>
      </c>
      <c r="R825" s="23" t="n">
        <v>105.7667</v>
      </c>
    </row>
    <row r="826" ht="15" customHeight="1" s="12">
      <c r="A826" s="18" t="inlineStr">
        <is>
          <t>Pemba</t>
        </is>
      </c>
      <c r="B826" s="18" t="inlineStr">
        <is>
          <t>Mozambique</t>
        </is>
      </c>
      <c r="C826" s="19" t="n">
        <v>34090466</v>
      </c>
      <c r="D826" s="18" t="inlineStr">
        <is>
          <t>MZ</t>
        </is>
      </c>
      <c r="E826" s="18" t="inlineStr">
        <is>
          <t>01</t>
        </is>
      </c>
      <c r="F826" s="20" t="n">
        <v>108737</v>
      </c>
      <c r="G826" s="18" t="n"/>
      <c r="H826" s="18" t="inlineStr">
        <is>
          <t>POL</t>
        </is>
      </c>
      <c r="I826" s="18" t="inlineStr">
        <is>
          <t>Pemba Airport</t>
        </is>
      </c>
      <c r="J826" s="21" t="n">
        <v>2.3</v>
      </c>
      <c r="K826" s="18" t="inlineStr">
        <is>
          <t>POL</t>
        </is>
      </c>
      <c r="L826" s="18" t="inlineStr">
        <is>
          <t>100k +  pop + airport</t>
        </is>
      </c>
      <c r="M826" s="22" t="n">
        <v>0.551</v>
      </c>
      <c r="N826" s="22" t="n">
        <v>0</v>
      </c>
      <c r="O826" s="18" t="n"/>
      <c r="P826" s="22">
        <f>IF(O826="",(About!$B$5*M826+About!$B$6*N826)/(About!$B$5+About!$B$6),About!$B$5*M826+About!$B$6*N826+About!$B$7*O826)</f>
        <v/>
      </c>
      <c r="Q826" s="23" t="n">
        <v>-12.974</v>
      </c>
      <c r="R826" s="23" t="n">
        <v>40.5177</v>
      </c>
    </row>
    <row r="827" ht="15" customHeight="1" s="12">
      <c r="A827" s="18" t="inlineStr">
        <is>
          <t>Ulan-Ude</t>
        </is>
      </c>
      <c r="B827" s="18" t="inlineStr">
        <is>
          <t>Russia</t>
        </is>
      </c>
      <c r="C827" s="19" t="n">
        <v>146028325</v>
      </c>
      <c r="D827" s="18" t="inlineStr">
        <is>
          <t>RU</t>
        </is>
      </c>
      <c r="E827" s="18" t="inlineStr">
        <is>
          <t>11</t>
        </is>
      </c>
      <c r="F827" s="20" t="n">
        <v>360278</v>
      </c>
      <c r="G827" s="18" t="n"/>
      <c r="H827" s="18" t="inlineStr">
        <is>
          <t>UUD</t>
        </is>
      </c>
      <c r="I827" s="18" t="inlineStr">
        <is>
          <t>Baikal International Airport</t>
        </is>
      </c>
      <c r="J827" s="21" t="n">
        <v>11.6</v>
      </c>
      <c r="K827" s="18" t="inlineStr">
        <is>
          <t>UUD</t>
        </is>
      </c>
      <c r="L827" s="18" t="inlineStr">
        <is>
          <t>100k +  pop + airport</t>
        </is>
      </c>
      <c r="M827" s="22" t="n">
        <v>0.548</v>
      </c>
      <c r="N827" s="22" t="n">
        <v>0</v>
      </c>
      <c r="O827" s="18" t="n"/>
      <c r="P827" s="22">
        <f>IF(O827="",(About!$B$5*M827+About!$B$6*N827)/(About!$B$5+About!$B$6),About!$B$5*M827+About!$B$6*N827+About!$B$7*O827)</f>
        <v/>
      </c>
      <c r="Q827" s="23" t="n">
        <v>51.8272</v>
      </c>
      <c r="R827" s="23" t="n">
        <v>107.6063</v>
      </c>
    </row>
    <row r="828" ht="15" customHeight="1" s="12">
      <c r="A828" s="18" t="inlineStr">
        <is>
          <t>Takamatsu</t>
        </is>
      </c>
      <c r="B828" s="18" t="inlineStr">
        <is>
          <t>Japan</t>
        </is>
      </c>
      <c r="C828" s="19" t="n">
        <v>122810000</v>
      </c>
      <c r="D828" s="18" t="inlineStr">
        <is>
          <t>JP</t>
        </is>
      </c>
      <c r="E828" s="18" t="inlineStr">
        <is>
          <t>17</t>
        </is>
      </c>
      <c r="F828" s="20" t="n">
        <v>334223</v>
      </c>
      <c r="G828" s="18" t="n"/>
      <c r="H828" s="18" t="inlineStr">
        <is>
          <t>TAK</t>
        </is>
      </c>
      <c r="I828" s="18" t="inlineStr">
        <is>
          <t>Takamatsu Airport</t>
        </is>
      </c>
      <c r="J828" s="21" t="n">
        <v>13.5</v>
      </c>
      <c r="K828" s="18" t="inlineStr">
        <is>
          <t>TAK</t>
        </is>
      </c>
      <c r="L828" s="18" t="inlineStr">
        <is>
          <t>100k +  pop + airport</t>
        </is>
      </c>
      <c r="M828" s="22" t="n">
        <v>0.549</v>
      </c>
      <c r="N828" s="22" t="n">
        <v>0</v>
      </c>
      <c r="O828" s="18" t="n"/>
      <c r="P828" s="22">
        <f>IF(O828="",(About!$B$5*M828+About!$B$6*N828)/(About!$B$5+About!$B$6),About!$B$5*M828+About!$B$6*N828+About!$B$7*O828)</f>
        <v/>
      </c>
      <c r="Q828" s="23" t="n">
        <v>34.3333</v>
      </c>
      <c r="R828" s="23" t="n">
        <v>134.05</v>
      </c>
    </row>
    <row r="829" ht="15" customHeight="1" s="12">
      <c r="A829" s="18" t="inlineStr">
        <is>
          <t>La Ceiba</t>
        </is>
      </c>
      <c r="B829" s="18" t="inlineStr">
        <is>
          <t>Honduras</t>
        </is>
      </c>
      <c r="C829" s="19" t="n">
        <v>10186738</v>
      </c>
      <c r="D829" s="18" t="inlineStr">
        <is>
          <t>HN</t>
        </is>
      </c>
      <c r="E829" s="18" t="inlineStr">
        <is>
          <t>01</t>
        </is>
      </c>
      <c r="F829" s="20" t="n">
        <v>130218</v>
      </c>
      <c r="G829" s="18" t="n"/>
      <c r="H829" s="18" t="inlineStr">
        <is>
          <t>LCE</t>
        </is>
      </c>
      <c r="I829" s="18" t="inlineStr">
        <is>
          <t>Golosón International Airport</t>
        </is>
      </c>
      <c r="J829" s="21" t="n">
        <v>7.8</v>
      </c>
      <c r="K829" s="18" t="inlineStr">
        <is>
          <t>LCE</t>
        </is>
      </c>
      <c r="L829" s="18" t="inlineStr">
        <is>
          <t>100k +  pop + airport</t>
        </is>
      </c>
      <c r="M829" s="22" t="n">
        <v>0.549</v>
      </c>
      <c r="N829" s="22" t="n">
        <v>0</v>
      </c>
      <c r="O829" s="18" t="n"/>
      <c r="P829" s="22">
        <f>IF(O829="",(About!$B$5*M829+About!$B$6*N829)/(About!$B$5+About!$B$6),About!$B$5*M829+About!$B$6*N829+About!$B$7*O829)</f>
        <v/>
      </c>
      <c r="Q829" s="23" t="n">
        <v>15.7597</v>
      </c>
      <c r="R829" s="23" t="n">
        <v>-86.7822</v>
      </c>
    </row>
    <row r="830" ht="15" customHeight="1" s="12">
      <c r="A830" s="18" t="inlineStr">
        <is>
          <t>Willemstad</t>
        </is>
      </c>
      <c r="B830" s="18" t="inlineStr">
        <is>
          <t>Curaçao</t>
        </is>
      </c>
      <c r="C830" s="19" t="n">
        <v>156115</v>
      </c>
      <c r="D830" s="18" t="inlineStr">
        <is>
          <t>CW</t>
        </is>
      </c>
      <c r="E830" s="18" t="n"/>
      <c r="F830" s="20" t="n">
        <v>125000</v>
      </c>
      <c r="G830" s="18" t="inlineStr">
        <is>
          <t>Yes</t>
        </is>
      </c>
      <c r="H830" s="18" t="inlineStr">
        <is>
          <t>CUR</t>
        </is>
      </c>
      <c r="I830" s="18" t="inlineStr">
        <is>
          <t>Hato International Airport</t>
        </is>
      </c>
      <c r="J830" s="21" t="n">
        <v>9.4</v>
      </c>
      <c r="K830" s="18" t="inlineStr">
        <is>
          <t>CUR</t>
        </is>
      </c>
      <c r="L830" s="18" t="inlineStr">
        <is>
          <t>100k +  pop + capital + airport</t>
        </is>
      </c>
      <c r="M830" s="22" t="n">
        <v>0.548</v>
      </c>
      <c r="N830" s="22" t="n">
        <v>0</v>
      </c>
      <c r="O830" s="18" t="n"/>
      <c r="P830" s="22">
        <f>IF(O830="",(About!$B$5*M830+About!$B$6*N830)/(About!$B$5+About!$B$6),About!$B$5*M830+About!$B$6*N830+About!$B$7*O830)</f>
        <v/>
      </c>
      <c r="Q830" s="23" t="n">
        <v>12.1084</v>
      </c>
      <c r="R830" s="23" t="n">
        <v>-68.9335</v>
      </c>
    </row>
    <row r="831" ht="15" customHeight="1" s="12">
      <c r="A831" s="18" t="inlineStr">
        <is>
          <t>Aalborg</t>
        </is>
      </c>
      <c r="B831" s="18" t="inlineStr">
        <is>
          <t>Denmark</t>
        </is>
      </c>
      <c r="C831" s="19" t="n">
        <v>6031247</v>
      </c>
      <c r="D831" s="18" t="inlineStr">
        <is>
          <t>DK</t>
        </is>
      </c>
      <c r="E831" s="18" t="inlineStr">
        <is>
          <t>19</t>
        </is>
      </c>
      <c r="F831" s="20" t="n">
        <v>122219</v>
      </c>
      <c r="G831" s="18" t="n"/>
      <c r="H831" s="18" t="inlineStr">
        <is>
          <t>AAL</t>
        </is>
      </c>
      <c r="I831" s="18" t="inlineStr">
        <is>
          <t>Aalborg Airport</t>
        </is>
      </c>
      <c r="J831" s="21" t="n">
        <v>6.7</v>
      </c>
      <c r="K831" s="18" t="inlineStr">
        <is>
          <t>AAL</t>
        </is>
      </c>
      <c r="L831" s="18" t="inlineStr">
        <is>
          <t>100k +  pop + airport</t>
        </is>
      </c>
      <c r="M831" s="22" t="n">
        <v>0.548</v>
      </c>
      <c r="N831" s="22" t="n">
        <v>0</v>
      </c>
      <c r="O831" s="18" t="n"/>
      <c r="P831" s="22">
        <f>IF(O831="",(About!$B$5*M831+About!$B$6*N831)/(About!$B$5+About!$B$6),About!$B$5*M831+About!$B$6*N831+About!$B$7*O831)</f>
        <v/>
      </c>
      <c r="Q831" s="23" t="n">
        <v>57.048</v>
      </c>
      <c r="R831" s="23" t="n">
        <v>9.918699999999999</v>
      </c>
    </row>
    <row r="832" ht="15" customHeight="1" s="12">
      <c r="A832" s="18" t="inlineStr">
        <is>
          <t>Livingstone</t>
        </is>
      </c>
      <c r="B832" s="18" t="inlineStr">
        <is>
          <t>Zambia</t>
        </is>
      </c>
      <c r="C832" s="19" t="n">
        <v>19693423</v>
      </c>
      <c r="D832" s="18" t="inlineStr">
        <is>
          <t>ZM</t>
        </is>
      </c>
      <c r="E832" s="18" t="inlineStr">
        <is>
          <t>07</t>
        </is>
      </c>
      <c r="F832" s="20" t="n">
        <v>109203</v>
      </c>
      <c r="G832" s="18" t="n"/>
      <c r="H832" s="18" t="inlineStr">
        <is>
          <t>LVI</t>
        </is>
      </c>
      <c r="I832" s="18" t="inlineStr">
        <is>
          <t>Harry Mwanga Nkumbula International Airport</t>
        </is>
      </c>
      <c r="J832" s="21" t="n">
        <v>4.3</v>
      </c>
      <c r="K832" s="18" t="inlineStr">
        <is>
          <t>LVI</t>
        </is>
      </c>
      <c r="L832" s="18" t="inlineStr">
        <is>
          <t>100k +  pop + airport</t>
        </is>
      </c>
      <c r="M832" s="22" t="n">
        <v>0.547</v>
      </c>
      <c r="N832" s="22" t="n">
        <v>0</v>
      </c>
      <c r="O832" s="18" t="n"/>
      <c r="P832" s="22">
        <f>IF(O832="",(About!$B$5*M832+About!$B$6*N832)/(About!$B$5+About!$B$6),About!$B$5*M832+About!$B$6*N832+About!$B$7*O832)</f>
        <v/>
      </c>
      <c r="Q832" s="23" t="n">
        <v>-17.8419</v>
      </c>
      <c r="R832" s="23" t="n">
        <v>25.8543</v>
      </c>
    </row>
    <row r="833" ht="15" customHeight="1" s="12">
      <c r="A833" s="18" t="inlineStr">
        <is>
          <t>Victoria Falls</t>
        </is>
      </c>
      <c r="B833" s="18" t="inlineStr">
        <is>
          <t>Zimbabwe</t>
        </is>
      </c>
      <c r="C833" s="19" t="n">
        <v>17073087</v>
      </c>
      <c r="D833" s="18" t="inlineStr">
        <is>
          <t>ZW</t>
        </is>
      </c>
      <c r="E833" s="18" t="inlineStr">
        <is>
          <t>06</t>
        </is>
      </c>
      <c r="F833" s="20" t="n">
        <v>35761</v>
      </c>
      <c r="G833" s="18" t="n"/>
      <c r="H833" s="18" t="inlineStr">
        <is>
          <t>LVI</t>
        </is>
      </c>
      <c r="I833" s="18" t="inlineStr">
        <is>
          <t>Harry Mwanga Nkumbula International Airport</t>
        </is>
      </c>
      <c r="J833" s="21" t="n">
        <v>12.4</v>
      </c>
      <c r="K833" s="18" t="inlineStr">
        <is>
          <t>LVI+VFA</t>
        </is>
      </c>
      <c r="L833" s="18" t="inlineStr">
        <is>
          <t>airport</t>
        </is>
      </c>
      <c r="M833" s="22" t="n">
        <v>0.547</v>
      </c>
      <c r="N833" s="22" t="n">
        <v>0</v>
      </c>
      <c r="O833" s="18" t="n"/>
      <c r="P833" s="22">
        <f>IF(O833="",(About!$B$5*M833+About!$B$6*N833)/(About!$B$5+About!$B$6),About!$B$5*M833+About!$B$6*N833+About!$B$7*O833)</f>
        <v/>
      </c>
      <c r="Q833" s="23" t="n">
        <v>-17.9328</v>
      </c>
      <c r="R833" s="23" t="n">
        <v>25.8307</v>
      </c>
    </row>
    <row r="834" ht="15" customHeight="1" s="12">
      <c r="A834" s="18" t="inlineStr">
        <is>
          <t>Pointe-Noire</t>
        </is>
      </c>
      <c r="B834" s="18" t="inlineStr">
        <is>
          <t>Congo</t>
        </is>
      </c>
      <c r="C834" s="19" t="n">
        <v>6142180</v>
      </c>
      <c r="D834" s="18" t="inlineStr">
        <is>
          <t>CG</t>
        </is>
      </c>
      <c r="E834" s="18" t="inlineStr">
        <is>
          <t>15</t>
        </is>
      </c>
      <c r="F834" s="20" t="n">
        <v>659084</v>
      </c>
      <c r="G834" s="18" t="n"/>
      <c r="H834" s="18" t="inlineStr">
        <is>
          <t>PNR</t>
        </is>
      </c>
      <c r="I834" s="18" t="inlineStr">
        <is>
          <t>Antonio Agostinho-Neto International Airport</t>
        </is>
      </c>
      <c r="J834" s="21" t="n">
        <v>5.1</v>
      </c>
      <c r="K834" s="18" t="inlineStr">
        <is>
          <t>PNR</t>
        </is>
      </c>
      <c r="L834" s="18" t="inlineStr">
        <is>
          <t>100k +  pop + airport</t>
        </is>
      </c>
      <c r="M834" s="22" t="n">
        <v>0.547</v>
      </c>
      <c r="N834" s="22" t="n">
        <v>0</v>
      </c>
      <c r="O834" s="18" t="n"/>
      <c r="P834" s="22">
        <f>IF(O834="",(About!$B$5*M834+About!$B$6*N834)/(About!$B$5+About!$B$6),About!$B$5*M834+About!$B$6*N834+About!$B$7*O834)</f>
        <v/>
      </c>
      <c r="Q834" s="23" t="n">
        <v>-4.7761</v>
      </c>
      <c r="R834" s="23" t="n">
        <v>11.8635</v>
      </c>
    </row>
    <row r="835" ht="15" customHeight="1" s="12">
      <c r="A835" s="18" t="inlineStr">
        <is>
          <t>Diyarbakır</t>
        </is>
      </c>
      <c r="B835" s="18" t="inlineStr">
        <is>
          <t>Türkiye</t>
        </is>
      </c>
      <c r="C835" s="19" t="n">
        <v>86092168</v>
      </c>
      <c r="D835" s="18" t="inlineStr">
        <is>
          <t>TR</t>
        </is>
      </c>
      <c r="E835" s="18" t="inlineStr">
        <is>
          <t>21</t>
        </is>
      </c>
      <c r="F835" s="20" t="n">
        <v>644763</v>
      </c>
      <c r="G835" s="18" t="n"/>
      <c r="H835" s="18" t="inlineStr">
        <is>
          <t>DIY</t>
        </is>
      </c>
      <c r="I835" s="18" t="inlineStr">
        <is>
          <t>Diyarbakır Airport</t>
        </is>
      </c>
      <c r="J835" s="21" t="n">
        <v>2.6</v>
      </c>
      <c r="K835" s="18" t="inlineStr">
        <is>
          <t>DIY</t>
        </is>
      </c>
      <c r="L835" s="18" t="inlineStr">
        <is>
          <t>100k +  pop + airport</t>
        </is>
      </c>
      <c r="M835" s="22" t="n">
        <v>0.545</v>
      </c>
      <c r="N835" s="22" t="n">
        <v>0</v>
      </c>
      <c r="O835" s="18" t="n"/>
      <c r="P835" s="22">
        <f>IF(O835="",(About!$B$5*M835+About!$B$6*N835)/(About!$B$5+About!$B$6),About!$B$5*M835+About!$B$6*N835+About!$B$7*O835)</f>
        <v/>
      </c>
      <c r="Q835" s="23" t="n">
        <v>37.9136</v>
      </c>
      <c r="R835" s="23" t="n">
        <v>40.2172</v>
      </c>
    </row>
    <row r="836" ht="15" customHeight="1" s="12">
      <c r="A836" s="18" t="inlineStr">
        <is>
          <t>Zamboanga</t>
        </is>
      </c>
      <c r="B836" s="18" t="inlineStr">
        <is>
          <t>Philippines</t>
        </is>
      </c>
      <c r="C836" s="19" t="n">
        <v>114123600</v>
      </c>
      <c r="D836" s="18" t="inlineStr">
        <is>
          <t>PH</t>
        </is>
      </c>
      <c r="E836" s="18" t="inlineStr">
        <is>
          <t>09</t>
        </is>
      </c>
      <c r="F836" s="20" t="n">
        <v>457623</v>
      </c>
      <c r="G836" s="18" t="n"/>
      <c r="H836" s="18" t="inlineStr">
        <is>
          <t>ZAM</t>
        </is>
      </c>
      <c r="I836" s="18" t="inlineStr">
        <is>
          <t>Zamboanga International Airport</t>
        </is>
      </c>
      <c r="J836" s="21" t="n">
        <v>2</v>
      </c>
      <c r="K836" s="18" t="inlineStr">
        <is>
          <t>ZAM</t>
        </is>
      </c>
      <c r="L836" s="18" t="inlineStr">
        <is>
          <t>100k +  pop + airport</t>
        </is>
      </c>
      <c r="M836" s="22" t="n">
        <v>0.547</v>
      </c>
      <c r="N836" s="22" t="n">
        <v>0</v>
      </c>
      <c r="O836" s="18" t="n"/>
      <c r="P836" s="22">
        <f>IF(O836="",(About!$B$5*M836+About!$B$6*N836)/(About!$B$5+About!$B$6),About!$B$5*M836+About!$B$6*N836+About!$B$7*O836)</f>
        <v/>
      </c>
      <c r="Q836" s="23" t="n">
        <v>6.9103</v>
      </c>
      <c r="R836" s="23" t="n">
        <v>122.0739</v>
      </c>
    </row>
    <row r="837" ht="15" customHeight="1" s="12">
      <c r="A837" s="18" t="inlineStr">
        <is>
          <t>Kurashiki</t>
        </is>
      </c>
      <c r="B837" s="18" t="inlineStr">
        <is>
          <t>Japan</t>
        </is>
      </c>
      <c r="C837" s="19" t="n">
        <v>122810000</v>
      </c>
      <c r="D837" s="18" t="inlineStr">
        <is>
          <t>JP</t>
        </is>
      </c>
      <c r="E837" s="18" t="inlineStr">
        <is>
          <t>31</t>
        </is>
      </c>
      <c r="F837" s="20" t="n">
        <v>437581</v>
      </c>
      <c r="G837" s="18" t="n"/>
      <c r="H837" s="18" t="inlineStr">
        <is>
          <t>OKJ</t>
        </is>
      </c>
      <c r="I837" s="18" t="inlineStr">
        <is>
          <t>Okayama Momotaro Airport</t>
        </is>
      </c>
      <c r="J837" s="21" t="n">
        <v>20.9</v>
      </c>
      <c r="K837" s="18" t="inlineStr">
        <is>
          <t>OKJ</t>
        </is>
      </c>
      <c r="L837" s="18" t="inlineStr">
        <is>
          <t>100k +  pop</t>
        </is>
      </c>
      <c r="M837" s="22" t="n">
        <v>0.547</v>
      </c>
      <c r="N837" s="22" t="n">
        <v>0</v>
      </c>
      <c r="O837" s="18" t="n"/>
      <c r="P837" s="22">
        <f>IF(O837="",(About!$B$5*M837+About!$B$6*N837)/(About!$B$5+About!$B$6),About!$B$5*M837+About!$B$6*N837+About!$B$7*O837)</f>
        <v/>
      </c>
      <c r="Q837" s="23" t="n">
        <v>34.5833</v>
      </c>
      <c r="R837" s="23" t="n">
        <v>133.7667</v>
      </c>
    </row>
    <row r="838" ht="15" customHeight="1" s="12">
      <c r="A838" s="18" t="inlineStr">
        <is>
          <t>Ibagué</t>
        </is>
      </c>
      <c r="B838" s="18" t="inlineStr">
        <is>
          <t>Colombia</t>
        </is>
      </c>
      <c r="C838" s="19" t="n">
        <v>53057212</v>
      </c>
      <c r="D838" s="18" t="inlineStr">
        <is>
          <t>CO</t>
        </is>
      </c>
      <c r="E838" s="18" t="inlineStr">
        <is>
          <t>28</t>
        </is>
      </c>
      <c r="F838" s="20" t="n">
        <v>421685</v>
      </c>
      <c r="G838" s="18" t="n"/>
      <c r="H838" s="18" t="inlineStr">
        <is>
          <t>IBE</t>
        </is>
      </c>
      <c r="I838" s="18" t="inlineStr">
        <is>
          <t>Perales Airport</t>
        </is>
      </c>
      <c r="J838" s="21" t="n">
        <v>11.1</v>
      </c>
      <c r="K838" s="18" t="inlineStr">
        <is>
          <t>IBE</t>
        </is>
      </c>
      <c r="L838" s="18" t="inlineStr">
        <is>
          <t>100k +  pop + airport</t>
        </is>
      </c>
      <c r="M838" s="22" t="n">
        <v>0.547</v>
      </c>
      <c r="N838" s="22" t="n">
        <v>0</v>
      </c>
      <c r="O838" s="18" t="n"/>
      <c r="P838" s="22">
        <f>IF(O838="",(About!$B$5*M838+About!$B$6*N838)/(About!$B$5+About!$B$6),About!$B$5*M838+About!$B$6*N838+About!$B$7*O838)</f>
        <v/>
      </c>
      <c r="Q838" s="23" t="n">
        <v>4.4389</v>
      </c>
      <c r="R838" s="23" t="n">
        <v>-75.23220000000001</v>
      </c>
    </row>
    <row r="839" ht="15" customHeight="1" s="12">
      <c r="A839" s="18" t="inlineStr">
        <is>
          <t>Van</t>
        </is>
      </c>
      <c r="B839" s="18" t="inlineStr">
        <is>
          <t>Türkiye</t>
        </is>
      </c>
      <c r="C839" s="19" t="n">
        <v>86092168</v>
      </c>
      <c r="D839" s="18" t="inlineStr">
        <is>
          <t>TR</t>
        </is>
      </c>
      <c r="E839" s="18" t="inlineStr">
        <is>
          <t>65</t>
        </is>
      </c>
      <c r="F839" s="20" t="n">
        <v>371713</v>
      </c>
      <c r="G839" s="18" t="n"/>
      <c r="H839" s="18" t="inlineStr">
        <is>
          <t>VAN</t>
        </is>
      </c>
      <c r="I839" s="18" t="inlineStr">
        <is>
          <t>Van Ferit Melen Airport</t>
        </is>
      </c>
      <c r="J839" s="21" t="n">
        <v>5.3</v>
      </c>
      <c r="K839" s="18" t="inlineStr">
        <is>
          <t>VAN</t>
        </is>
      </c>
      <c r="L839" s="18" t="inlineStr">
        <is>
          <t>100k +  pop + airport</t>
        </is>
      </c>
      <c r="M839" s="22" t="n">
        <v>0.545</v>
      </c>
      <c r="N839" s="22" t="n">
        <v>0</v>
      </c>
      <c r="O839" s="18" t="n"/>
      <c r="P839" s="22">
        <f>IF(O839="",(About!$B$5*M839+About!$B$6*N839)/(About!$B$5+About!$B$6),About!$B$5*M839+About!$B$6*N839+About!$B$7*O839)</f>
        <v/>
      </c>
      <c r="Q839" s="23" t="n">
        <v>38.4946</v>
      </c>
      <c r="R839" s="23" t="n">
        <v>43.3832</v>
      </c>
    </row>
    <row r="840" ht="15" customHeight="1" s="12">
      <c r="A840" s="18" t="inlineStr">
        <is>
          <t>León</t>
        </is>
      </c>
      <c r="B840" s="18" t="inlineStr">
        <is>
          <t>Spain</t>
        </is>
      </c>
      <c r="C840" s="19" t="n">
        <v>49687120</v>
      </c>
      <c r="D840" s="18" t="inlineStr">
        <is>
          <t>ES</t>
        </is>
      </c>
      <c r="E840" s="18" t="inlineStr">
        <is>
          <t>55</t>
        </is>
      </c>
      <c r="F840" s="20" t="n">
        <v>134305</v>
      </c>
      <c r="G840" s="18" t="n"/>
      <c r="H840" s="18" t="inlineStr">
        <is>
          <t>LEN</t>
        </is>
      </c>
      <c r="I840" s="18" t="inlineStr">
        <is>
          <t>León Airport</t>
        </is>
      </c>
      <c r="J840" s="21" t="n">
        <v>6.9</v>
      </c>
      <c r="K840" s="18" t="inlineStr">
        <is>
          <t>LEN</t>
        </is>
      </c>
      <c r="L840" s="18" t="inlineStr">
        <is>
          <t>100k +  pop + airport</t>
        </is>
      </c>
      <c r="M840" s="22" t="n">
        <v>0.547</v>
      </c>
      <c r="N840" s="22" t="n">
        <v>0</v>
      </c>
      <c r="O840" s="18" t="n"/>
      <c r="P840" s="22">
        <f>IF(O840="",(About!$B$5*M840+About!$B$6*N840)/(About!$B$5+About!$B$6),About!$B$5*M840+About!$B$6*N840+About!$B$7*O840)</f>
        <v/>
      </c>
      <c r="Q840" s="23" t="n">
        <v>42.6</v>
      </c>
      <c r="R840" s="23" t="n">
        <v>-5.5703</v>
      </c>
    </row>
    <row r="841" ht="15" customHeight="1" s="12">
      <c r="A841" s="18" t="inlineStr">
        <is>
          <t>Punta Arenas</t>
        </is>
      </c>
      <c r="B841" s="18" t="inlineStr">
        <is>
          <t>Chile</t>
        </is>
      </c>
      <c r="C841" s="19" t="n">
        <v>20206953</v>
      </c>
      <c r="D841" s="18" t="inlineStr">
        <is>
          <t>CL</t>
        </is>
      </c>
      <c r="E841" s="18" t="inlineStr">
        <is>
          <t>10</t>
        </is>
      </c>
      <c r="F841" s="20" t="n">
        <v>117430</v>
      </c>
      <c r="G841" s="18" t="n"/>
      <c r="H841" s="18" t="inlineStr">
        <is>
          <t>PUQ</t>
        </is>
      </c>
      <c r="I841" s="18" t="inlineStr">
        <is>
          <t>President Carlos Ibáñez International Airport</t>
        </is>
      </c>
      <c r="J841" s="21" t="n">
        <v>17.3</v>
      </c>
      <c r="K841" s="18" t="inlineStr">
        <is>
          <t>PUQ</t>
        </is>
      </c>
      <c r="L841" s="18" t="inlineStr">
        <is>
          <t>100k +  pop + airport</t>
        </is>
      </c>
      <c r="M841" s="22" t="n">
        <v>0.545</v>
      </c>
      <c r="N841" s="22" t="n">
        <v>0</v>
      </c>
      <c r="O841" s="18" t="n"/>
      <c r="P841" s="22">
        <f>IF(O841="",(About!$B$5*M841+About!$B$6*N841)/(About!$B$5+About!$B$6),About!$B$5*M841+About!$B$6*N841+About!$B$7*O841)</f>
        <v/>
      </c>
      <c r="Q841" s="23" t="n">
        <v>-53.1548</v>
      </c>
      <c r="R841" s="23" t="n">
        <v>-70.9113</v>
      </c>
    </row>
    <row r="842" ht="15" customHeight="1" s="12">
      <c r="A842" s="18" t="inlineStr">
        <is>
          <t>Moutsamoudou</t>
        </is>
      </c>
      <c r="B842" s="18" t="inlineStr">
        <is>
          <t>Comoros</t>
        </is>
      </c>
      <c r="C842" s="19" t="n">
        <v>944388</v>
      </c>
      <c r="D842" s="18" t="inlineStr">
        <is>
          <t>KM</t>
        </is>
      </c>
      <c r="E842" s="18" t="inlineStr">
        <is>
          <t>01</t>
        </is>
      </c>
      <c r="F842" s="20" t="n">
        <v>23594</v>
      </c>
      <c r="G842" s="18" t="n"/>
      <c r="H842" s="18" t="inlineStr">
        <is>
          <t>AJN</t>
        </is>
      </c>
      <c r="I842" s="18" t="inlineStr">
        <is>
          <t>Ouani Airport</t>
        </is>
      </c>
      <c r="J842" s="21" t="n">
        <v>5.2</v>
      </c>
      <c r="K842" s="18" t="inlineStr">
        <is>
          <t>AJN</t>
        </is>
      </c>
      <c r="L842" s="18" t="inlineStr">
        <is>
          <t>airport</t>
        </is>
      </c>
      <c r="M842" s="22" t="n">
        <v>0.545</v>
      </c>
      <c r="N842" s="22" t="n">
        <v>0</v>
      </c>
      <c r="O842" s="18" t="n"/>
      <c r="P842" s="22">
        <f>IF(O842="",(About!$B$5*M842+About!$B$6*N842)/(About!$B$5+About!$B$6),About!$B$5*M842+About!$B$6*N842+About!$B$7*O842)</f>
        <v/>
      </c>
      <c r="Q842" s="23" t="n">
        <v>-12.1667</v>
      </c>
      <c r="R842" s="23" t="n">
        <v>44.3994</v>
      </c>
    </row>
    <row r="843" ht="15" customHeight="1" s="12">
      <c r="A843" s="18" t="inlineStr">
        <is>
          <t>Maracaibo</t>
        </is>
      </c>
      <c r="B843" s="18" t="inlineStr">
        <is>
          <t>Venezuela</t>
        </is>
      </c>
      <c r="C843" s="19" t="n">
        <v>28517000</v>
      </c>
      <c r="D843" s="18" t="inlineStr">
        <is>
          <t>VE</t>
        </is>
      </c>
      <c r="E843" s="18" t="inlineStr">
        <is>
          <t>23</t>
        </is>
      </c>
      <c r="F843" s="20" t="n">
        <v>2225000</v>
      </c>
      <c r="G843" s="18" t="n"/>
      <c r="H843" s="18" t="inlineStr">
        <is>
          <t>MAR</t>
        </is>
      </c>
      <c r="I843" s="18" t="inlineStr">
        <is>
          <t>La Chinita International Airport</t>
        </is>
      </c>
      <c r="J843" s="21" t="n">
        <v>17.6</v>
      </c>
      <c r="K843" s="18" t="inlineStr">
        <is>
          <t>MAR</t>
        </is>
      </c>
      <c r="L843" s="18" t="inlineStr">
        <is>
          <t>100k +  pop + airport</t>
        </is>
      </c>
      <c r="M843" s="22" t="n">
        <v>0.543</v>
      </c>
      <c r="N843" s="22" t="n">
        <v>0</v>
      </c>
      <c r="O843" s="18" t="n"/>
      <c r="P843" s="22">
        <f>IF(O843="",(About!$B$5*M843+About!$B$6*N843)/(About!$B$5+About!$B$6),About!$B$5*M843+About!$B$6*N843+About!$B$7*O843)</f>
        <v/>
      </c>
      <c r="Q843" s="23" t="n">
        <v>10.6666</v>
      </c>
      <c r="R843" s="23" t="n">
        <v>-71.61239999999999</v>
      </c>
    </row>
    <row r="844" ht="15" customHeight="1" s="12">
      <c r="A844" s="18" t="inlineStr">
        <is>
          <t>Kumasi</t>
        </is>
      </c>
      <c r="B844" s="18" t="inlineStr">
        <is>
          <t>Ghana</t>
        </is>
      </c>
      <c r="C844" s="19" t="n">
        <v>33742380</v>
      </c>
      <c r="D844" s="18" t="inlineStr">
        <is>
          <t>GH</t>
        </is>
      </c>
      <c r="E844" s="18" t="inlineStr">
        <is>
          <t>02</t>
        </is>
      </c>
      <c r="F844" s="20" t="n">
        <v>1468609</v>
      </c>
      <c r="G844" s="18" t="n"/>
      <c r="H844" s="18" t="inlineStr">
        <is>
          <t>KMS</t>
        </is>
      </c>
      <c r="I844" s="18" t="inlineStr">
        <is>
          <t>Prempeh I International Airport</t>
        </is>
      </c>
      <c r="J844" s="21" t="n">
        <v>4.7</v>
      </c>
      <c r="K844" s="18" t="inlineStr">
        <is>
          <t>KMS</t>
        </is>
      </c>
      <c r="L844" s="18" t="inlineStr">
        <is>
          <t>100k +  pop + airport</t>
        </is>
      </c>
      <c r="M844" s="22" t="n">
        <v>0.545</v>
      </c>
      <c r="N844" s="22" t="n">
        <v>0</v>
      </c>
      <c r="O844" s="18" t="n"/>
      <c r="P844" s="22">
        <f>IF(O844="",(About!$B$5*M844+About!$B$6*N844)/(About!$B$5+About!$B$6),About!$B$5*M844+About!$B$6*N844+About!$B$7*O844)</f>
        <v/>
      </c>
      <c r="Q844" s="23" t="n">
        <v>6.6885</v>
      </c>
      <c r="R844" s="23" t="n">
        <v>-1.6244</v>
      </c>
    </row>
    <row r="845" ht="15" customHeight="1" s="12">
      <c r="A845" s="18" t="inlineStr">
        <is>
          <t>As Sulaymānīyah</t>
        </is>
      </c>
      <c r="B845" s="18" t="inlineStr">
        <is>
          <t>Iraq</t>
        </is>
      </c>
      <c r="C845" s="19" t="n">
        <v>46118793</v>
      </c>
      <c r="D845" s="18" t="inlineStr">
        <is>
          <t>IQ</t>
        </is>
      </c>
      <c r="E845" s="18" t="inlineStr">
        <is>
          <t>05</t>
        </is>
      </c>
      <c r="F845" s="20" t="n">
        <v>723170</v>
      </c>
      <c r="G845" s="18" t="n"/>
      <c r="H845" s="18" t="inlineStr">
        <is>
          <t>ISU</t>
        </is>
      </c>
      <c r="I845" s="18" t="inlineStr">
        <is>
          <t>Jalal Talabani International Airport</t>
        </is>
      </c>
      <c r="J845" s="21" t="n">
        <v>10.7</v>
      </c>
      <c r="K845" s="18" t="inlineStr">
        <is>
          <t>ISU</t>
        </is>
      </c>
      <c r="L845" s="18" t="inlineStr">
        <is>
          <t>100k +  pop</t>
        </is>
      </c>
      <c r="M845" s="22" t="n">
        <v>0.544</v>
      </c>
      <c r="N845" s="22" t="n">
        <v>0</v>
      </c>
      <c r="O845" s="18" t="n"/>
      <c r="P845" s="22">
        <f>IF(O845="",(About!$B$5*M845+About!$B$6*N845)/(About!$B$5+About!$B$6),About!$B$5*M845+About!$B$6*N845+About!$B$7*O845)</f>
        <v/>
      </c>
      <c r="Q845" s="23" t="n">
        <v>35.565</v>
      </c>
      <c r="R845" s="23" t="n">
        <v>45.4329</v>
      </c>
    </row>
    <row r="846" ht="15" customHeight="1" s="12">
      <c r="A846" s="18" t="inlineStr">
        <is>
          <t>Constantine</t>
        </is>
      </c>
      <c r="B846" s="18" t="inlineStr">
        <is>
          <t>Algeria</t>
        </is>
      </c>
      <c r="C846" s="19" t="n">
        <v>47400000</v>
      </c>
      <c r="D846" s="18" t="inlineStr">
        <is>
          <t>DZ</t>
        </is>
      </c>
      <c r="E846" s="18" t="inlineStr">
        <is>
          <t>04</t>
        </is>
      </c>
      <c r="F846" s="20" t="n">
        <v>450097</v>
      </c>
      <c r="G846" s="18" t="n"/>
      <c r="H846" s="18" t="inlineStr">
        <is>
          <t>CZL</t>
        </is>
      </c>
      <c r="I846" s="18" t="inlineStr">
        <is>
          <t>Mohamed Boudiaf International Airport</t>
        </is>
      </c>
      <c r="J846" s="21" t="n">
        <v>9.9</v>
      </c>
      <c r="K846" s="18" t="inlineStr">
        <is>
          <t>CZL</t>
        </is>
      </c>
      <c r="L846" s="18" t="inlineStr">
        <is>
          <t>100k +  pop + airport</t>
        </is>
      </c>
      <c r="M846" s="22" t="n">
        <v>0.543</v>
      </c>
      <c r="N846" s="22" t="n">
        <v>0</v>
      </c>
      <c r="O846" s="18" t="n"/>
      <c r="P846" s="22">
        <f>IF(O846="",(About!$B$5*M846+About!$B$6*N846)/(About!$B$5+About!$B$6),About!$B$5*M846+About!$B$6*N846+About!$B$7*O846)</f>
        <v/>
      </c>
      <c r="Q846" s="23" t="n">
        <v>36.365</v>
      </c>
      <c r="R846" s="23" t="n">
        <v>6.6147</v>
      </c>
    </row>
    <row r="847" ht="15" customHeight="1" s="12">
      <c r="A847" s="18" t="inlineStr">
        <is>
          <t>Villavicencio</t>
        </is>
      </c>
      <c r="B847" s="18" t="inlineStr">
        <is>
          <t>Colombia</t>
        </is>
      </c>
      <c r="C847" s="19" t="n">
        <v>53057212</v>
      </c>
      <c r="D847" s="18" t="inlineStr">
        <is>
          <t>CO</t>
        </is>
      </c>
      <c r="E847" s="18" t="inlineStr">
        <is>
          <t>19</t>
        </is>
      </c>
      <c r="F847" s="20" t="n">
        <v>321717</v>
      </c>
      <c r="G847" s="18" t="n"/>
      <c r="H847" s="18" t="inlineStr">
        <is>
          <t>VVC</t>
        </is>
      </c>
      <c r="I847" s="18" t="inlineStr">
        <is>
          <t>Vanguardia Airport</t>
        </is>
      </c>
      <c r="J847" s="21" t="n">
        <v>3.2</v>
      </c>
      <c r="K847" s="18" t="inlineStr">
        <is>
          <t>VVC</t>
        </is>
      </c>
      <c r="L847" s="18" t="inlineStr">
        <is>
          <t>100k +  pop + airport</t>
        </is>
      </c>
      <c r="M847" s="22" t="n">
        <v>0.543</v>
      </c>
      <c r="N847" s="22" t="n">
        <v>0</v>
      </c>
      <c r="O847" s="18" t="n"/>
      <c r="P847" s="22">
        <f>IF(O847="",(About!$B$5*M847+About!$B$6*N847)/(About!$B$5+About!$B$6),About!$B$5*M847+About!$B$6*N847+About!$B$7*O847)</f>
        <v/>
      </c>
      <c r="Q847" s="23" t="n">
        <v>4.142</v>
      </c>
      <c r="R847" s="23" t="n">
        <v>-73.6266</v>
      </c>
    </row>
    <row r="848" ht="15" customHeight="1" s="12">
      <c r="A848" s="18" t="inlineStr">
        <is>
          <t>Ubon Ratchathani</t>
        </is>
      </c>
      <c r="B848" s="18" t="inlineStr">
        <is>
          <t>Thailand</t>
        </is>
      </c>
      <c r="C848" s="19" t="n">
        <v>65826149</v>
      </c>
      <c r="D848" s="18" t="inlineStr">
        <is>
          <t>TH</t>
        </is>
      </c>
      <c r="E848" s="18" t="inlineStr">
        <is>
          <t>75</t>
        </is>
      </c>
      <c r="F848" s="20" t="n">
        <v>122533</v>
      </c>
      <c r="G848" s="18" t="n"/>
      <c r="H848" s="18" t="inlineStr">
        <is>
          <t>UBP</t>
        </is>
      </c>
      <c r="I848" s="18" t="inlineStr">
        <is>
          <t>Ubon Ratchathani Airport</t>
        </is>
      </c>
      <c r="J848" s="21" t="n">
        <v>2.7</v>
      </c>
      <c r="K848" s="18" t="inlineStr">
        <is>
          <t>UBP</t>
        </is>
      </c>
      <c r="L848" s="18" t="inlineStr">
        <is>
          <t>100k +  pop + airport</t>
        </is>
      </c>
      <c r="M848" s="22" t="n">
        <v>0.544</v>
      </c>
      <c r="N848" s="22" t="n">
        <v>0</v>
      </c>
      <c r="O848" s="18" t="n"/>
      <c r="P848" s="22">
        <f>IF(O848="",(About!$B$5*M848+About!$B$6*N848)/(About!$B$5+About!$B$6),About!$B$5*M848+About!$B$6*N848+About!$B$7*O848)</f>
        <v/>
      </c>
      <c r="Q848" s="23" t="n">
        <v>15.2384</v>
      </c>
      <c r="R848" s="23" t="n">
        <v>104.8487</v>
      </c>
    </row>
    <row r="849" ht="15" customHeight="1" s="12">
      <c r="A849" s="18" t="inlineStr">
        <is>
          <t>Dumaguete</t>
        </is>
      </c>
      <c r="B849" s="18" t="inlineStr">
        <is>
          <t>Philippines</t>
        </is>
      </c>
      <c r="C849" s="19" t="n">
        <v>114123600</v>
      </c>
      <c r="D849" s="18" t="inlineStr">
        <is>
          <t>PH</t>
        </is>
      </c>
      <c r="E849" s="18" t="inlineStr">
        <is>
          <t>07</t>
        </is>
      </c>
      <c r="F849" s="20" t="n">
        <v>113541</v>
      </c>
      <c r="G849" s="18" t="n"/>
      <c r="H849" s="18" t="inlineStr">
        <is>
          <t>DGT</t>
        </is>
      </c>
      <c r="I849" s="18" t="inlineStr">
        <is>
          <t>Sibulan Airport</t>
        </is>
      </c>
      <c r="J849" s="21" t="n">
        <v>3</v>
      </c>
      <c r="K849" s="18" t="inlineStr">
        <is>
          <t>DGT</t>
        </is>
      </c>
      <c r="L849" s="18" t="inlineStr">
        <is>
          <t>100k +  pop + airport</t>
        </is>
      </c>
      <c r="M849" s="22" t="n">
        <v>0.545</v>
      </c>
      <c r="N849" s="22" t="n">
        <v>0</v>
      </c>
      <c r="O849" s="18" t="n"/>
      <c r="P849" s="22">
        <f>IF(O849="",(About!$B$5*M849+About!$B$6*N849)/(About!$B$5+About!$B$6),About!$B$5*M849+About!$B$6*N849+About!$B$7*O849)</f>
        <v/>
      </c>
      <c r="Q849" s="23" t="n">
        <v>9.3072</v>
      </c>
      <c r="R849" s="23" t="n">
        <v>123.3026</v>
      </c>
    </row>
    <row r="850" ht="15" customHeight="1" s="12">
      <c r="A850" s="18" t="inlineStr">
        <is>
          <t>La Paz</t>
        </is>
      </c>
      <c r="B850" s="18" t="inlineStr">
        <is>
          <t>Mexico</t>
        </is>
      </c>
      <c r="C850" s="19" t="n">
        <v>131150866</v>
      </c>
      <c r="D850" s="18" t="inlineStr">
        <is>
          <t>MX</t>
        </is>
      </c>
      <c r="E850" s="18" t="inlineStr">
        <is>
          <t>03</t>
        </is>
      </c>
      <c r="F850" s="20" t="n">
        <v>215178</v>
      </c>
      <c r="G850" s="18" t="n"/>
      <c r="H850" s="18" t="inlineStr">
        <is>
          <t>LAP</t>
        </is>
      </c>
      <c r="I850" s="18" t="inlineStr">
        <is>
          <t>Manuel Márquez de León International Airport</t>
        </is>
      </c>
      <c r="J850" s="21" t="n">
        <v>10.2</v>
      </c>
      <c r="K850" s="18" t="inlineStr">
        <is>
          <t>LAP</t>
        </is>
      </c>
      <c r="L850" s="18" t="inlineStr">
        <is>
          <t>100k +  pop + airport</t>
        </is>
      </c>
      <c r="M850" s="22" t="n">
        <v>0.542</v>
      </c>
      <c r="N850" s="22" t="n">
        <v>0</v>
      </c>
      <c r="O850" s="18" t="n"/>
      <c r="P850" s="22">
        <f>IF(O850="",(About!$B$5*M850+About!$B$6*N850)/(About!$B$5+About!$B$6),About!$B$5*M850+About!$B$6*N850+About!$B$7*O850)</f>
        <v/>
      </c>
      <c r="Q850" s="23" t="n">
        <v>24.1444</v>
      </c>
      <c r="R850" s="23" t="n">
        <v>-110.3005</v>
      </c>
    </row>
    <row r="851" ht="15" customHeight="1" s="12">
      <c r="A851" s="18" t="inlineStr">
        <is>
          <t>Cork</t>
        </is>
      </c>
      <c r="B851" s="18" t="inlineStr">
        <is>
          <t>Ireland</t>
        </is>
      </c>
      <c r="C851" s="19" t="n">
        <v>5458600</v>
      </c>
      <c r="D851" s="18" t="inlineStr">
        <is>
          <t>IE</t>
        </is>
      </c>
      <c r="E851" s="18" t="inlineStr">
        <is>
          <t>M</t>
        </is>
      </c>
      <c r="F851" s="20" t="n">
        <v>190384</v>
      </c>
      <c r="G851" s="18" t="n"/>
      <c r="H851" s="18" t="inlineStr">
        <is>
          <t>ORK</t>
        </is>
      </c>
      <c r="I851" s="18" t="inlineStr">
        <is>
          <t>Cork International Airport</t>
        </is>
      </c>
      <c r="J851" s="21" t="n">
        <v>6.5</v>
      </c>
      <c r="K851" s="18" t="inlineStr">
        <is>
          <t>ORK</t>
        </is>
      </c>
      <c r="L851" s="18" t="inlineStr">
        <is>
          <t>100k +  pop + airport</t>
        </is>
      </c>
      <c r="M851" s="22" t="n">
        <v>0.542</v>
      </c>
      <c r="N851" s="22" t="n">
        <v>0</v>
      </c>
      <c r="O851" s="18" t="n"/>
      <c r="P851" s="22">
        <f>IF(O851="",(About!$B$5*M851+About!$B$6*N851)/(About!$B$5+About!$B$6),About!$B$5*M851+About!$B$6*N851+About!$B$7*O851)</f>
        <v/>
      </c>
      <c r="Q851" s="23" t="n">
        <v>51.898</v>
      </c>
      <c r="R851" s="23" t="n">
        <v>-8.470599999999999</v>
      </c>
    </row>
    <row r="852" ht="15" customHeight="1" s="12">
      <c r="A852" s="18" t="inlineStr">
        <is>
          <t>Tours</t>
        </is>
      </c>
      <c r="B852" s="18" t="inlineStr">
        <is>
          <t>France</t>
        </is>
      </c>
      <c r="C852" s="19" t="n">
        <v>69081996</v>
      </c>
      <c r="D852" s="18" t="inlineStr">
        <is>
          <t>FR</t>
        </is>
      </c>
      <c r="E852" s="18" t="inlineStr">
        <is>
          <t>24</t>
        </is>
      </c>
      <c r="F852" s="20" t="n">
        <v>141621</v>
      </c>
      <c r="G852" s="18" t="n"/>
      <c r="H852" s="18" t="inlineStr">
        <is>
          <t>TUF</t>
        </is>
      </c>
      <c r="I852" s="18" t="inlineStr">
        <is>
          <t>Tours Val de Loire Airport</t>
        </is>
      </c>
      <c r="J852" s="21" t="n">
        <v>4.5</v>
      </c>
      <c r="K852" s="18" t="inlineStr">
        <is>
          <t>TUF</t>
        </is>
      </c>
      <c r="L852" s="18" t="inlineStr">
        <is>
          <t>100k +  pop + airport</t>
        </is>
      </c>
      <c r="M852" s="22" t="n">
        <v>0.541</v>
      </c>
      <c r="N852" s="22" t="n">
        <v>0</v>
      </c>
      <c r="O852" s="18" t="n"/>
      <c r="P852" s="22">
        <f>IF(O852="",(About!$B$5*M852+About!$B$6*N852)/(About!$B$5+About!$B$6),About!$B$5*M852+About!$B$6*N852+About!$B$7*O852)</f>
        <v/>
      </c>
      <c r="Q852" s="23" t="n">
        <v>47.3948</v>
      </c>
      <c r="R852" s="23" t="n">
        <v>0.704</v>
      </c>
    </row>
    <row r="853" ht="15" customHeight="1" s="12">
      <c r="A853" s="18" t="inlineStr">
        <is>
          <t>Cockburn Town</t>
        </is>
      </c>
      <c r="B853" s="18" t="inlineStr">
        <is>
          <t>Turks and Caicos Islands</t>
        </is>
      </c>
      <c r="C853" s="19" t="n">
        <v>50828</v>
      </c>
      <c r="D853" s="18" t="inlineStr">
        <is>
          <t>TC</t>
        </is>
      </c>
      <c r="E853" s="18" t="inlineStr">
        <is>
          <t>00</t>
        </is>
      </c>
      <c r="F853" s="20" t="n">
        <v>3720</v>
      </c>
      <c r="G853" s="18" t="inlineStr">
        <is>
          <t>Yes</t>
        </is>
      </c>
      <c r="H853" s="18" t="inlineStr">
        <is>
          <t>GDT</t>
        </is>
      </c>
      <c r="I853" s="18" t="inlineStr">
        <is>
          <t>JAGS McCartney International Airport</t>
        </is>
      </c>
      <c r="J853" s="21" t="n">
        <v>1.9</v>
      </c>
      <c r="K853" s="18" t="inlineStr">
        <is>
          <t>GDT+SLX</t>
        </is>
      </c>
      <c r="L853" s="18" t="inlineStr">
        <is>
          <t>capital</t>
        </is>
      </c>
      <c r="M853" s="22" t="n">
        <v>0.543</v>
      </c>
      <c r="N853" s="22" t="n">
        <v>0</v>
      </c>
      <c r="O853" s="18" t="n"/>
      <c r="P853" s="22">
        <f>IF(O853="",(About!$B$5*M853+About!$B$6*N853)/(About!$B$5+About!$B$6),About!$B$5*M853+About!$B$6*N853+About!$B$7*O853)</f>
        <v/>
      </c>
      <c r="Q853" s="23" t="n">
        <v>21.4612</v>
      </c>
      <c r="R853" s="23" t="n">
        <v>-71.14190000000001</v>
      </c>
    </row>
    <row r="854" ht="15" customHeight="1" s="12">
      <c r="A854" s="18" t="inlineStr">
        <is>
          <t>Barranquilla</t>
        </is>
      </c>
      <c r="B854" s="18" t="inlineStr">
        <is>
          <t>Colombia</t>
        </is>
      </c>
      <c r="C854" s="19" t="n">
        <v>53057212</v>
      </c>
      <c r="D854" s="18" t="inlineStr">
        <is>
          <t>CO</t>
        </is>
      </c>
      <c r="E854" s="18" t="inlineStr">
        <is>
          <t>04</t>
        </is>
      </c>
      <c r="F854" s="20" t="n">
        <v>1380425</v>
      </c>
      <c r="G854" s="18" t="n"/>
      <c r="H854" s="18" t="inlineStr">
        <is>
          <t>BAQ</t>
        </is>
      </c>
      <c r="I854" s="18" t="inlineStr">
        <is>
          <t>Ernesto Cortissoz International Airport</t>
        </is>
      </c>
      <c r="J854" s="21" t="n">
        <v>8.800000000000001</v>
      </c>
      <c r="K854" s="18" t="inlineStr">
        <is>
          <t>BAQ</t>
        </is>
      </c>
      <c r="L854" s="18" t="inlineStr">
        <is>
          <t>100k +  pop + airport</t>
        </is>
      </c>
      <c r="M854" s="22" t="n">
        <v>0.541</v>
      </c>
      <c r="N854" s="22" t="n">
        <v>0</v>
      </c>
      <c r="O854" s="18" t="n"/>
      <c r="P854" s="22">
        <f>IF(O854="",(About!$B$5*M854+About!$B$6*N854)/(About!$B$5+About!$B$6),About!$B$5*M854+About!$B$6*N854+About!$B$7*O854)</f>
        <v/>
      </c>
      <c r="Q854" s="23" t="n">
        <v>10.9685</v>
      </c>
      <c r="R854" s="23" t="n">
        <v>-74.7813</v>
      </c>
    </row>
    <row r="855" ht="15" customHeight="1" s="12">
      <c r="A855" s="18" t="inlineStr">
        <is>
          <t>Pristina</t>
        </is>
      </c>
      <c r="B855" s="18" t="inlineStr">
        <is>
          <t>Kosovo</t>
        </is>
      </c>
      <c r="C855" s="19" t="n">
        <v>1585566</v>
      </c>
      <c r="D855" s="18" t="inlineStr">
        <is>
          <t>XK</t>
        </is>
      </c>
      <c r="E855" s="18" t="inlineStr">
        <is>
          <t>10097360</t>
        </is>
      </c>
      <c r="F855" s="20" t="n">
        <v>550000</v>
      </c>
      <c r="G855" s="18" t="inlineStr">
        <is>
          <t>Yes</t>
        </is>
      </c>
      <c r="H855" s="18" t="inlineStr">
        <is>
          <t>PRN</t>
        </is>
      </c>
      <c r="I855" s="18" t="inlineStr">
        <is>
          <t>Priština Adem Jashari International Airport</t>
        </is>
      </c>
      <c r="J855" s="21" t="n">
        <v>15.4</v>
      </c>
      <c r="K855" s="18" t="inlineStr">
        <is>
          <t>PRN</t>
        </is>
      </c>
      <c r="L855" s="18" t="inlineStr">
        <is>
          <t>100k +  pop + capital</t>
        </is>
      </c>
      <c r="M855" s="22" t="n">
        <v>0.541</v>
      </c>
      <c r="N855" s="22" t="n">
        <v>0</v>
      </c>
      <c r="O855" s="18" t="n"/>
      <c r="P855" s="22">
        <f>IF(O855="",(About!$B$5*M855+About!$B$6*N855)/(About!$B$5+About!$B$6),About!$B$5*M855+About!$B$6*N855+About!$B$7*O855)</f>
        <v/>
      </c>
      <c r="Q855" s="23" t="n">
        <v>42.6727</v>
      </c>
      <c r="R855" s="23" t="n">
        <v>21.1669</v>
      </c>
    </row>
    <row r="856" ht="15" customHeight="1" s="12">
      <c r="A856" s="18" t="inlineStr">
        <is>
          <t>Hamilton</t>
        </is>
      </c>
      <c r="B856" s="18" t="inlineStr">
        <is>
          <t>Canada</t>
        </is>
      </c>
      <c r="C856" s="19" t="n">
        <v>41472081</v>
      </c>
      <c r="D856" s="18" t="inlineStr">
        <is>
          <t>CA</t>
        </is>
      </c>
      <c r="E856" s="18" t="inlineStr">
        <is>
          <t>08</t>
        </is>
      </c>
      <c r="F856" s="20" t="n">
        <v>519949</v>
      </c>
      <c r="G856" s="18" t="n"/>
      <c r="H856" s="18" t="inlineStr">
        <is>
          <t>YHM</t>
        </is>
      </c>
      <c r="I856" s="18" t="inlineStr">
        <is>
          <t>John C. Munro Hamilton International Airport</t>
        </is>
      </c>
      <c r="J856" s="21" t="n">
        <v>10.8</v>
      </c>
      <c r="K856" s="18" t="inlineStr">
        <is>
          <t>YHM</t>
        </is>
      </c>
      <c r="L856" s="18" t="inlineStr">
        <is>
          <t>100k +  pop + airport</t>
        </is>
      </c>
      <c r="M856" s="22" t="n">
        <v>0.54</v>
      </c>
      <c r="N856" s="22" t="n">
        <v>0</v>
      </c>
      <c r="O856" s="18" t="n"/>
      <c r="P856" s="22">
        <f>IF(O856="",(About!$B$5*M856+About!$B$6*N856)/(About!$B$5+About!$B$6),About!$B$5*M856+About!$B$6*N856+About!$B$7*O856)</f>
        <v/>
      </c>
      <c r="Q856" s="23" t="n">
        <v>43.2501</v>
      </c>
      <c r="R856" s="23" t="n">
        <v>-79.8496</v>
      </c>
    </row>
    <row r="857" ht="15" customHeight="1" s="12">
      <c r="A857" s="18" t="inlineStr">
        <is>
          <t>Hargeysa</t>
        </is>
      </c>
      <c r="B857" s="18" t="inlineStr">
        <is>
          <t>Somalia</t>
        </is>
      </c>
      <c r="C857" s="19" t="n">
        <v>19655000</v>
      </c>
      <c r="D857" s="18" t="inlineStr">
        <is>
          <t>SO</t>
        </is>
      </c>
      <c r="E857" s="18" t="inlineStr">
        <is>
          <t>20</t>
        </is>
      </c>
      <c r="F857" s="20" t="n">
        <v>477876</v>
      </c>
      <c r="G857" s="18" t="n"/>
      <c r="H857" s="18" t="inlineStr">
        <is>
          <t>HGA</t>
        </is>
      </c>
      <c r="I857" s="18" t="inlineStr">
        <is>
          <t>Egal International Airport</t>
        </is>
      </c>
      <c r="J857" s="21" t="n">
        <v>5.5</v>
      </c>
      <c r="K857" s="18" t="inlineStr">
        <is>
          <t>HGA</t>
        </is>
      </c>
      <c r="L857" s="18" t="inlineStr">
        <is>
          <t>100k +  pop + airport</t>
        </is>
      </c>
      <c r="M857" s="22" t="n">
        <v>0.54</v>
      </c>
      <c r="N857" s="22" t="n">
        <v>0</v>
      </c>
      <c r="O857" s="18" t="n"/>
      <c r="P857" s="22">
        <f>IF(O857="",(About!$B$5*M857+About!$B$6*N857)/(About!$B$5+About!$B$6),About!$B$5*M857+About!$B$6*N857+About!$B$7*O857)</f>
        <v/>
      </c>
      <c r="Q857" s="23" t="n">
        <v>9.56</v>
      </c>
      <c r="R857" s="23" t="n">
        <v>44.065</v>
      </c>
    </row>
    <row r="858" ht="15" customHeight="1" s="12">
      <c r="A858" s="18" t="inlineStr">
        <is>
          <t>Soledad</t>
        </is>
      </c>
      <c r="B858" s="18" t="inlineStr">
        <is>
          <t>Colombia</t>
        </is>
      </c>
      <c r="C858" s="19" t="n">
        <v>53057212</v>
      </c>
      <c r="D858" s="18" t="inlineStr">
        <is>
          <t>CO</t>
        </is>
      </c>
      <c r="E858" s="18" t="inlineStr">
        <is>
          <t>04</t>
        </is>
      </c>
      <c r="F858" s="20" t="n">
        <v>342556</v>
      </c>
      <c r="G858" s="18" t="n"/>
      <c r="H858" s="18" t="inlineStr">
        <is>
          <t>BAQ</t>
        </is>
      </c>
      <c r="I858" s="18" t="inlineStr">
        <is>
          <t>Ernesto Cortissoz International Airport</t>
        </is>
      </c>
      <c r="J858" s="21" t="n">
        <v>3.7</v>
      </c>
      <c r="K858" s="18" t="inlineStr">
        <is>
          <t>BAQ</t>
        </is>
      </c>
      <c r="L858" s="18" t="inlineStr">
        <is>
          <t>100k +  pop + airport</t>
        </is>
      </c>
      <c r="M858" s="22" t="n">
        <v>0.541</v>
      </c>
      <c r="N858" s="22" t="n">
        <v>0</v>
      </c>
      <c r="O858" s="18" t="n"/>
      <c r="P858" s="22">
        <f>IF(O858="",(About!$B$5*M858+About!$B$6*N858)/(About!$B$5+About!$B$6),About!$B$5*M858+About!$B$6*N858+About!$B$7*O858)</f>
        <v/>
      </c>
      <c r="Q858" s="23" t="n">
        <v>10.9184</v>
      </c>
      <c r="R858" s="23" t="n">
        <v>-74.7646</v>
      </c>
    </row>
    <row r="859" ht="15" customHeight="1" s="12">
      <c r="A859" s="18" t="inlineStr">
        <is>
          <t>Georgetown</t>
        </is>
      </c>
      <c r="B859" s="18" t="inlineStr">
        <is>
          <t>Guyana</t>
        </is>
      </c>
      <c r="C859" s="19" t="n">
        <v>956044</v>
      </c>
      <c r="D859" s="18" t="inlineStr">
        <is>
          <t>GY</t>
        </is>
      </c>
      <c r="E859" s="18" t="inlineStr">
        <is>
          <t>12</t>
        </is>
      </c>
      <c r="F859" s="20" t="n">
        <v>235017</v>
      </c>
      <c r="G859" s="18" t="inlineStr">
        <is>
          <t>Yes</t>
        </is>
      </c>
      <c r="H859" s="18" t="inlineStr">
        <is>
          <t>GEO</t>
        </is>
      </c>
      <c r="I859" s="18" t="inlineStr">
        <is>
          <t>Cheddi Jagan International Airport</t>
        </is>
      </c>
      <c r="J859" s="21" t="n">
        <v>35.7</v>
      </c>
      <c r="K859" s="18" t="inlineStr">
        <is>
          <t>GEO+OGL</t>
        </is>
      </c>
      <c r="L859" s="18" t="inlineStr">
        <is>
          <t>100k +  pop + capital + airport</t>
        </is>
      </c>
      <c r="M859" s="22" t="n">
        <v>0.54</v>
      </c>
      <c r="N859" s="22" t="n">
        <v>0</v>
      </c>
      <c r="O859" s="18" t="n"/>
      <c r="P859" s="22">
        <f>IF(O859="",(About!$B$5*M859+About!$B$6*N859)/(About!$B$5+About!$B$6),About!$B$5*M859+About!$B$6*N859+About!$B$7*O859)</f>
        <v/>
      </c>
      <c r="Q859" s="23" t="n">
        <v>6.8045</v>
      </c>
      <c r="R859" s="23" t="n">
        <v>-58.1553</v>
      </c>
    </row>
    <row r="860" ht="15" customHeight="1" s="12">
      <c r="A860" s="18" t="inlineStr">
        <is>
          <t>Osh</t>
        </is>
      </c>
      <c r="B860" s="18" t="inlineStr">
        <is>
          <t>Kyrgyzstan</t>
        </is>
      </c>
      <c r="C860" s="19" t="n">
        <v>7404300</v>
      </c>
      <c r="D860" s="18" t="inlineStr">
        <is>
          <t>KG</t>
        </is>
      </c>
      <c r="E860" s="18" t="inlineStr">
        <is>
          <t>08</t>
        </is>
      </c>
      <c r="F860" s="20" t="n">
        <v>200000</v>
      </c>
      <c r="G860" s="18" t="n"/>
      <c r="H860" s="18" t="inlineStr">
        <is>
          <t>OSS</t>
        </is>
      </c>
      <c r="I860" s="18" t="inlineStr">
        <is>
          <t>Osh International Airport</t>
        </is>
      </c>
      <c r="J860" s="21" t="n">
        <v>9</v>
      </c>
      <c r="K860" s="18" t="inlineStr">
        <is>
          <t>OSS</t>
        </is>
      </c>
      <c r="L860" s="18" t="inlineStr">
        <is>
          <t>100k +  pop + airport</t>
        </is>
      </c>
      <c r="M860" s="22" t="n">
        <v>0.54</v>
      </c>
      <c r="N860" s="22" t="n">
        <v>0</v>
      </c>
      <c r="O860" s="18" t="n"/>
      <c r="P860" s="22">
        <f>IF(O860="",(About!$B$5*M860+About!$B$6*N860)/(About!$B$5+About!$B$6),About!$B$5*M860+About!$B$6*N860+About!$B$7*O860)</f>
        <v/>
      </c>
      <c r="Q860" s="23" t="n">
        <v>40.5283</v>
      </c>
      <c r="R860" s="23" t="n">
        <v>72.7985</v>
      </c>
    </row>
    <row r="861" ht="15" customHeight="1" s="12">
      <c r="A861" s="18" t="inlineStr">
        <is>
          <t>Burlington</t>
        </is>
      </c>
      <c r="B861" s="18" t="inlineStr">
        <is>
          <t>Canada</t>
        </is>
      </c>
      <c r="C861" s="19" t="n">
        <v>41472081</v>
      </c>
      <c r="D861" s="18" t="inlineStr">
        <is>
          <t>CA</t>
        </is>
      </c>
      <c r="E861" s="18" t="inlineStr">
        <is>
          <t>08</t>
        </is>
      </c>
      <c r="F861" s="20" t="n">
        <v>164415</v>
      </c>
      <c r="G861" s="18" t="n"/>
      <c r="H861" s="18" t="inlineStr">
        <is>
          <t>YHM</t>
        </is>
      </c>
      <c r="I861" s="18" t="inlineStr">
        <is>
          <t>John C. Munro Hamilton International Airport</t>
        </is>
      </c>
      <c r="J861" s="21" t="n">
        <v>24.8</v>
      </c>
      <c r="K861" s="18" t="inlineStr">
        <is>
          <t>YHM</t>
        </is>
      </c>
      <c r="L861" s="18" t="inlineStr">
        <is>
          <t>100k +  pop</t>
        </is>
      </c>
      <c r="M861" s="22" t="n">
        <v>0.54</v>
      </c>
      <c r="N861" s="22" t="n">
        <v>0</v>
      </c>
      <c r="O861" s="18" t="n"/>
      <c r="P861" s="22">
        <f>IF(O861="",(About!$B$5*M861+About!$B$6*N861)/(About!$B$5+About!$B$6),About!$B$5*M861+About!$B$6*N861+About!$B$7*O861)</f>
        <v/>
      </c>
      <c r="Q861" s="23" t="n">
        <v>43.3862</v>
      </c>
      <c r="R861" s="23" t="n">
        <v>-79.83710000000001</v>
      </c>
    </row>
    <row r="862" ht="15" customHeight="1" s="12">
      <c r="A862" s="18" t="inlineStr">
        <is>
          <t>Brest</t>
        </is>
      </c>
      <c r="B862" s="18" t="inlineStr">
        <is>
          <t>France</t>
        </is>
      </c>
      <c r="C862" s="19" t="n">
        <v>69081996</v>
      </c>
      <c r="D862" s="18" t="inlineStr">
        <is>
          <t>FR</t>
        </is>
      </c>
      <c r="E862" s="18" t="inlineStr">
        <is>
          <t>53</t>
        </is>
      </c>
      <c r="F862" s="20" t="n">
        <v>144899</v>
      </c>
      <c r="G862" s="18" t="n"/>
      <c r="H862" s="18" t="inlineStr">
        <is>
          <t>BES</t>
        </is>
      </c>
      <c r="I862" s="18" t="inlineStr">
        <is>
          <t>Brest Bretagne airport</t>
        </is>
      </c>
      <c r="J862" s="21" t="n">
        <v>8.1</v>
      </c>
      <c r="K862" s="18" t="inlineStr">
        <is>
          <t>BES</t>
        </is>
      </c>
      <c r="L862" s="18" t="inlineStr">
        <is>
          <t>100k +  pop + airport</t>
        </is>
      </c>
      <c r="M862" s="22" t="n">
        <v>0.54</v>
      </c>
      <c r="N862" s="22" t="n">
        <v>0</v>
      </c>
      <c r="O862" s="18" t="n"/>
      <c r="P862" s="22">
        <f>IF(O862="",(About!$B$5*M862+About!$B$6*N862)/(About!$B$5+About!$B$6),About!$B$5*M862+About!$B$6*N862+About!$B$7*O862)</f>
        <v/>
      </c>
      <c r="Q862" s="23" t="n">
        <v>48.3903</v>
      </c>
      <c r="R862" s="23" t="n">
        <v>-4.4863</v>
      </c>
    </row>
    <row r="863" ht="15" customHeight="1" s="12">
      <c r="A863" s="18" t="inlineStr">
        <is>
          <t>Surat Thani</t>
        </is>
      </c>
      <c r="B863" s="18" t="inlineStr">
        <is>
          <t>Thailand</t>
        </is>
      </c>
      <c r="C863" s="19" t="n">
        <v>65826149</v>
      </c>
      <c r="D863" s="18" t="inlineStr">
        <is>
          <t>TH</t>
        </is>
      </c>
      <c r="E863" s="18" t="inlineStr">
        <is>
          <t>60</t>
        </is>
      </c>
      <c r="F863" s="20" t="n">
        <v>127201</v>
      </c>
      <c r="G863" s="18" t="n"/>
      <c r="H863" s="18" t="inlineStr">
        <is>
          <t>URT</t>
        </is>
      </c>
      <c r="I863" s="18" t="inlineStr">
        <is>
          <t>Surat Thani Airport</t>
        </is>
      </c>
      <c r="J863" s="21" t="n">
        <v>21.7</v>
      </c>
      <c r="K863" s="18" t="inlineStr">
        <is>
          <t>URT</t>
        </is>
      </c>
      <c r="L863" s="18" t="inlineStr">
        <is>
          <t>100k +  pop + airport</t>
        </is>
      </c>
      <c r="M863" s="22" t="n">
        <v>0.54</v>
      </c>
      <c r="N863" s="22" t="n">
        <v>0</v>
      </c>
      <c r="O863" s="18" t="n"/>
      <c r="P863" s="22">
        <f>IF(O863="",(About!$B$5*M863+About!$B$6*N863)/(About!$B$5+About!$B$6),About!$B$5*M863+About!$B$6*N863+About!$B$7*O863)</f>
        <v/>
      </c>
      <c r="Q863" s="23" t="n">
        <v>9.1401</v>
      </c>
      <c r="R863" s="23" t="n">
        <v>99.3331</v>
      </c>
    </row>
    <row r="864" ht="15" customHeight="1" s="12">
      <c r="A864" s="18" t="inlineStr">
        <is>
          <t>Malambo</t>
        </is>
      </c>
      <c r="B864" s="18" t="inlineStr">
        <is>
          <t>Colombia</t>
        </is>
      </c>
      <c r="C864" s="19" t="n">
        <v>53057212</v>
      </c>
      <c r="D864" s="18" t="inlineStr">
        <is>
          <t>CO</t>
        </is>
      </c>
      <c r="E864" s="18" t="inlineStr">
        <is>
          <t>04</t>
        </is>
      </c>
      <c r="F864" s="20" t="n">
        <v>101534</v>
      </c>
      <c r="G864" s="18" t="n"/>
      <c r="H864" s="18" t="inlineStr">
        <is>
          <t>BAQ</t>
        </is>
      </c>
      <c r="I864" s="18" t="inlineStr">
        <is>
          <t>Ernesto Cortissoz International Airport</t>
        </is>
      </c>
      <c r="J864" s="21" t="n">
        <v>3.4</v>
      </c>
      <c r="K864" s="18" t="inlineStr">
        <is>
          <t>BAQ</t>
        </is>
      </c>
      <c r="L864" s="18" t="inlineStr">
        <is>
          <t>100k +  pop + airport</t>
        </is>
      </c>
      <c r="M864" s="22" t="n">
        <v>0.541</v>
      </c>
      <c r="N864" s="22" t="n">
        <v>0</v>
      </c>
      <c r="O864" s="18" t="n"/>
      <c r="P864" s="22">
        <f>IF(O864="",(About!$B$5*M864+About!$B$6*N864)/(About!$B$5+About!$B$6),About!$B$5*M864+About!$B$6*N864+About!$B$7*O864)</f>
        <v/>
      </c>
      <c r="Q864" s="23" t="n">
        <v>10.8595</v>
      </c>
      <c r="R864" s="23" t="n">
        <v>-74.7739</v>
      </c>
    </row>
    <row r="865" ht="15" customHeight="1" s="12">
      <c r="A865" s="18" t="inlineStr">
        <is>
          <t>East London</t>
        </is>
      </c>
      <c r="B865" s="18" t="inlineStr">
        <is>
          <t>South Africa</t>
        </is>
      </c>
      <c r="C865" s="19" t="n">
        <v>63100945</v>
      </c>
      <c r="D865" s="18" t="inlineStr">
        <is>
          <t>ZA</t>
        </is>
      </c>
      <c r="E865" s="18" t="inlineStr">
        <is>
          <t>05</t>
        </is>
      </c>
      <c r="F865" s="20" t="n">
        <v>478676</v>
      </c>
      <c r="G865" s="18" t="n"/>
      <c r="H865" s="18" t="inlineStr">
        <is>
          <t>ELS</t>
        </is>
      </c>
      <c r="I865" s="18" t="inlineStr">
        <is>
          <t>King Phalo Airport</t>
        </is>
      </c>
      <c r="J865" s="21" t="n">
        <v>8.300000000000001</v>
      </c>
      <c r="K865" s="18" t="inlineStr">
        <is>
          <t>ELS</t>
        </is>
      </c>
      <c r="L865" s="18" t="inlineStr">
        <is>
          <t>100k +  pop + airport</t>
        </is>
      </c>
      <c r="M865" s="22" t="n">
        <v>0.538</v>
      </c>
      <c r="N865" s="22" t="n">
        <v>0</v>
      </c>
      <c r="O865" s="18" t="n"/>
      <c r="P865" s="22">
        <f>IF(O865="",(About!$B$5*M865+About!$B$6*N865)/(About!$B$5+About!$B$6),About!$B$5*M865+About!$B$6*N865+About!$B$7*O865)</f>
        <v/>
      </c>
      <c r="Q865" s="23" t="n">
        <v>-33.0153</v>
      </c>
      <c r="R865" s="23" t="n">
        <v>27.9116</v>
      </c>
    </row>
    <row r="866" ht="15" customHeight="1" s="12">
      <c r="A866" s="18" t="inlineStr">
        <is>
          <t>Neiva</t>
        </is>
      </c>
      <c r="B866" s="18" t="inlineStr">
        <is>
          <t>Colombia</t>
        </is>
      </c>
      <c r="C866" s="19" t="n">
        <v>53057212</v>
      </c>
      <c r="D866" s="18" t="inlineStr">
        <is>
          <t>CO</t>
        </is>
      </c>
      <c r="E866" s="18" t="inlineStr">
        <is>
          <t>16</t>
        </is>
      </c>
      <c r="F866" s="20" t="n">
        <v>352855</v>
      </c>
      <c r="G866" s="18" t="n"/>
      <c r="H866" s="18" t="inlineStr">
        <is>
          <t>NVA</t>
        </is>
      </c>
      <c r="I866" s="18" t="inlineStr">
        <is>
          <t>Benito Salas Airport</t>
        </is>
      </c>
      <c r="J866" s="21" t="n">
        <v>2.9</v>
      </c>
      <c r="K866" s="18" t="inlineStr">
        <is>
          <t>NVA</t>
        </is>
      </c>
      <c r="L866" s="18" t="inlineStr">
        <is>
          <t>100k +  pop + airport</t>
        </is>
      </c>
      <c r="M866" s="22" t="n">
        <v>0.538</v>
      </c>
      <c r="N866" s="22" t="n">
        <v>0</v>
      </c>
      <c r="O866" s="18" t="n"/>
      <c r="P866" s="22">
        <f>IF(O866="",(About!$B$5*M866+About!$B$6*N866)/(About!$B$5+About!$B$6),About!$B$5*M866+About!$B$6*N866+About!$B$7*O866)</f>
        <v/>
      </c>
      <c r="Q866" s="23" t="n">
        <v>2.9273</v>
      </c>
      <c r="R866" s="23" t="n">
        <v>-75.28189999999999</v>
      </c>
    </row>
    <row r="867" ht="15" customHeight="1" s="12">
      <c r="A867" s="18" t="inlineStr">
        <is>
          <t>Butuan</t>
        </is>
      </c>
      <c r="B867" s="18" t="inlineStr">
        <is>
          <t>Philippines</t>
        </is>
      </c>
      <c r="C867" s="19" t="n">
        <v>114123600</v>
      </c>
      <c r="D867" s="18" t="inlineStr">
        <is>
          <t>PH</t>
        </is>
      </c>
      <c r="E867" s="18" t="inlineStr">
        <is>
          <t>13</t>
        </is>
      </c>
      <c r="F867" s="20" t="n">
        <v>309709</v>
      </c>
      <c r="G867" s="18" t="n"/>
      <c r="H867" s="18" t="inlineStr">
        <is>
          <t>BXU</t>
        </is>
      </c>
      <c r="I867" s="18" t="inlineStr">
        <is>
          <t>Bancasi Airport</t>
        </is>
      </c>
      <c r="J867" s="21" t="n">
        <v>7.1</v>
      </c>
      <c r="K867" s="18" t="inlineStr">
        <is>
          <t>BXU</t>
        </is>
      </c>
      <c r="L867" s="18" t="inlineStr">
        <is>
          <t>100k +  pop + airport</t>
        </is>
      </c>
      <c r="M867" s="22" t="n">
        <v>0.539</v>
      </c>
      <c r="N867" s="22" t="n">
        <v>0</v>
      </c>
      <c r="O867" s="18" t="n"/>
      <c r="P867" s="22">
        <f>IF(O867="",(About!$B$5*M867+About!$B$6*N867)/(About!$B$5+About!$B$6),About!$B$5*M867+About!$B$6*N867+About!$B$7*O867)</f>
        <v/>
      </c>
      <c r="Q867" s="23" t="n">
        <v>8.949199999999999</v>
      </c>
      <c r="R867" s="23" t="n">
        <v>125.5436</v>
      </c>
    </row>
    <row r="868" ht="15" customHeight="1" s="12">
      <c r="A868" s="18" t="inlineStr">
        <is>
          <t>Libertad</t>
        </is>
      </c>
      <c r="B868" s="18" t="inlineStr">
        <is>
          <t>Philippines</t>
        </is>
      </c>
      <c r="C868" s="19" t="n">
        <v>114123600</v>
      </c>
      <c r="D868" s="18" t="inlineStr">
        <is>
          <t>PH</t>
        </is>
      </c>
      <c r="E868" s="18" t="inlineStr">
        <is>
          <t>13</t>
        </is>
      </c>
      <c r="F868" s="20" t="n">
        <v>250353</v>
      </c>
      <c r="G868" s="18" t="n"/>
      <c r="H868" s="18" t="inlineStr">
        <is>
          <t>BXU</t>
        </is>
      </c>
      <c r="I868" s="18" t="inlineStr">
        <is>
          <t>Bancasi Airport</t>
        </is>
      </c>
      <c r="J868" s="21" t="n">
        <v>2.7</v>
      </c>
      <c r="K868" s="18" t="inlineStr">
        <is>
          <t>BXU</t>
        </is>
      </c>
      <c r="L868" s="18" t="inlineStr">
        <is>
          <t>100k +  pop + airport</t>
        </is>
      </c>
      <c r="M868" s="22" t="n">
        <v>0.539</v>
      </c>
      <c r="N868" s="22" t="n">
        <v>0</v>
      </c>
      <c r="O868" s="18" t="n"/>
      <c r="P868" s="22">
        <f>IF(O868="",(About!$B$5*M868+About!$B$6*N868)/(About!$B$5+About!$B$6),About!$B$5*M868+About!$B$6*N868+About!$B$7*O868)</f>
        <v/>
      </c>
      <c r="Q868" s="23" t="n">
        <v>8.9442</v>
      </c>
      <c r="R868" s="23" t="n">
        <v>125.5019</v>
      </c>
    </row>
    <row r="869" ht="15" customHeight="1" s="12">
      <c r="A869" s="18" t="inlineStr">
        <is>
          <t>Almería</t>
        </is>
      </c>
      <c r="B869" s="18" t="inlineStr">
        <is>
          <t>Spain</t>
        </is>
      </c>
      <c r="C869" s="19" t="n">
        <v>49687120</v>
      </c>
      <c r="D869" s="18" t="inlineStr">
        <is>
          <t>ES</t>
        </is>
      </c>
      <c r="E869" s="18" t="inlineStr">
        <is>
          <t>51</t>
        </is>
      </c>
      <c r="F869" s="20" t="n">
        <v>188810</v>
      </c>
      <c r="G869" s="18" t="n"/>
      <c r="H869" s="18" t="inlineStr">
        <is>
          <t>LEI</t>
        </is>
      </c>
      <c r="I869" s="18" t="inlineStr">
        <is>
          <t>Almería Airport</t>
        </is>
      </c>
      <c r="J869" s="21" t="n">
        <v>8</v>
      </c>
      <c r="K869" s="18" t="inlineStr">
        <is>
          <t>LEI</t>
        </is>
      </c>
      <c r="L869" s="18" t="inlineStr">
        <is>
          <t>100k +  pop + airport</t>
        </is>
      </c>
      <c r="M869" s="22" t="n">
        <v>0.538</v>
      </c>
      <c r="N869" s="22" t="n">
        <v>0</v>
      </c>
      <c r="O869" s="18" t="n"/>
      <c r="P869" s="22">
        <f>IF(O869="",(About!$B$5*M869+About!$B$6*N869)/(About!$B$5+About!$B$6),About!$B$5*M869+About!$B$6*N869+About!$B$7*O869)</f>
        <v/>
      </c>
      <c r="Q869" s="23" t="n">
        <v>36.8381</v>
      </c>
      <c r="R869" s="23" t="n">
        <v>-2.4597</v>
      </c>
    </row>
    <row r="870" ht="15" customHeight="1" s="12">
      <c r="A870" s="18" t="inlineStr">
        <is>
          <t>Middlesbrough</t>
        </is>
      </c>
      <c r="B870" s="18" t="inlineStr">
        <is>
          <t>United Kingdom</t>
        </is>
      </c>
      <c r="C870" s="19" t="n">
        <v>69487000</v>
      </c>
      <c r="D870" s="18" t="inlineStr">
        <is>
          <t>GB</t>
        </is>
      </c>
      <c r="E870" s="18" t="inlineStr">
        <is>
          <t>ENG</t>
        </is>
      </c>
      <c r="F870" s="20" t="n">
        <v>142707</v>
      </c>
      <c r="G870" s="18" t="n"/>
      <c r="H870" s="18" t="inlineStr">
        <is>
          <t>MME</t>
        </is>
      </c>
      <c r="I870" s="18" t="inlineStr">
        <is>
          <t>Teesside International Airport</t>
        </is>
      </c>
      <c r="J870" s="21" t="n">
        <v>14.6</v>
      </c>
      <c r="K870" s="18" t="inlineStr">
        <is>
          <t>MME</t>
        </is>
      </c>
      <c r="L870" s="18" t="inlineStr">
        <is>
          <t>100k +  pop</t>
        </is>
      </c>
      <c r="M870" s="22" t="n">
        <v>0.537</v>
      </c>
      <c r="N870" s="22" t="n">
        <v>0</v>
      </c>
      <c r="O870" s="18" t="n"/>
      <c r="P870" s="22">
        <f>IF(O870="",(About!$B$5*M870+About!$B$6*N870)/(About!$B$5+About!$B$6),About!$B$5*M870+About!$B$6*N870+About!$B$7*O870)</f>
        <v/>
      </c>
      <c r="Q870" s="23" t="n">
        <v>54.5762</v>
      </c>
      <c r="R870" s="23" t="n">
        <v>-1.2348</v>
      </c>
    </row>
    <row r="871" ht="15" customHeight="1" s="12">
      <c r="A871" s="18" t="inlineStr">
        <is>
          <t>Siddharthanagar</t>
        </is>
      </c>
      <c r="B871" s="18" t="inlineStr">
        <is>
          <t>Nepal</t>
        </is>
      </c>
      <c r="C871" s="19" t="n">
        <v>29911840</v>
      </c>
      <c r="D871" s="18" t="inlineStr">
        <is>
          <t>NP</t>
        </is>
      </c>
      <c r="E871" s="18" t="inlineStr">
        <is>
          <t>5</t>
        </is>
      </c>
      <c r="F871" s="20" t="n">
        <v>63367</v>
      </c>
      <c r="G871" s="18" t="n"/>
      <c r="H871" s="18" t="inlineStr">
        <is>
          <t>BWA</t>
        </is>
      </c>
      <c r="I871" s="18" t="inlineStr">
        <is>
          <t>Gautam Buddha International Airport</t>
        </is>
      </c>
      <c r="J871" s="21" t="n">
        <v>3.9</v>
      </c>
      <c r="K871" s="18" t="inlineStr">
        <is>
          <t>BWA</t>
        </is>
      </c>
      <c r="L871" s="18" t="inlineStr">
        <is>
          <t>airport</t>
        </is>
      </c>
      <c r="M871" s="22" t="n">
        <v>0.539</v>
      </c>
      <c r="N871" s="22" t="n">
        <v>0</v>
      </c>
      <c r="O871" s="18" t="n"/>
      <c r="P871" s="22">
        <f>IF(O871="",(About!$B$5*M871+About!$B$6*N871)/(About!$B$5+About!$B$6),About!$B$5*M871+About!$B$6*N871+About!$B$7*O871)</f>
        <v/>
      </c>
      <c r="Q871" s="23" t="n">
        <v>27.5</v>
      </c>
      <c r="R871" s="23" t="n">
        <v>83.45</v>
      </c>
    </row>
    <row r="872" ht="15" customHeight="1" s="12">
      <c r="A872" s="18" t="inlineStr">
        <is>
          <t>Tangier</t>
        </is>
      </c>
      <c r="B872" s="18" t="inlineStr">
        <is>
          <t>Morocco</t>
        </is>
      </c>
      <c r="C872" s="19" t="n">
        <v>36828330</v>
      </c>
      <c r="D872" s="18" t="inlineStr">
        <is>
          <t>MA</t>
        </is>
      </c>
      <c r="E872" s="18" t="inlineStr">
        <is>
          <t>01</t>
        </is>
      </c>
      <c r="F872" s="20" t="n">
        <v>688356</v>
      </c>
      <c r="G872" s="18" t="n"/>
      <c r="H872" s="18" t="inlineStr">
        <is>
          <t>TNG</t>
        </is>
      </c>
      <c r="I872" s="18" t="inlineStr">
        <is>
          <t>Tangier Ibn Battuta Airport</t>
        </is>
      </c>
      <c r="J872" s="21" t="n">
        <v>11.7</v>
      </c>
      <c r="K872" s="18" t="inlineStr">
        <is>
          <t>TNG</t>
        </is>
      </c>
      <c r="L872" s="18" t="inlineStr">
        <is>
          <t>100k +  pop + airport</t>
        </is>
      </c>
      <c r="M872" s="22" t="n">
        <v>0.536</v>
      </c>
      <c r="N872" s="22" t="n">
        <v>0</v>
      </c>
      <c r="O872" s="18" t="n"/>
      <c r="P872" s="22">
        <f>IF(O872="",(About!$B$5*M872+About!$B$6*N872)/(About!$B$5+About!$B$6),About!$B$5*M872+About!$B$6*N872+About!$B$7*O872)</f>
        <v/>
      </c>
      <c r="Q872" s="23" t="n">
        <v>35.7673</v>
      </c>
      <c r="R872" s="23" t="n">
        <v>-5.7998</v>
      </c>
    </row>
    <row r="873" ht="15" customHeight="1" s="12">
      <c r="A873" s="18" t="inlineStr">
        <is>
          <t>Granada</t>
        </is>
      </c>
      <c r="B873" s="18" t="inlineStr">
        <is>
          <t>Spain</t>
        </is>
      </c>
      <c r="C873" s="19" t="n">
        <v>49687120</v>
      </c>
      <c r="D873" s="18" t="inlineStr">
        <is>
          <t>ES</t>
        </is>
      </c>
      <c r="E873" s="18" t="inlineStr">
        <is>
          <t>51</t>
        </is>
      </c>
      <c r="F873" s="20" t="n">
        <v>234325</v>
      </c>
      <c r="G873" s="18" t="n"/>
      <c r="H873" s="18" t="inlineStr">
        <is>
          <t>GRX</t>
        </is>
      </c>
      <c r="I873" s="18" t="inlineStr">
        <is>
          <t>F.G.L. Airport Granada-Jaén Airport</t>
        </is>
      </c>
      <c r="J873" s="21" t="n">
        <v>15.1</v>
      </c>
      <c r="K873" s="18" t="inlineStr">
        <is>
          <t>GRX</t>
        </is>
      </c>
      <c r="L873" s="18" t="inlineStr">
        <is>
          <t>100k +  pop + airport</t>
        </is>
      </c>
      <c r="M873" s="22" t="n">
        <v>0.537</v>
      </c>
      <c r="N873" s="22" t="n">
        <v>0</v>
      </c>
      <c r="O873" s="18" t="n"/>
      <c r="P873" s="22">
        <f>IF(O873="",(About!$B$5*M873+About!$B$6*N873)/(About!$B$5+About!$B$6),About!$B$5*M873+About!$B$6*N873+About!$B$7*O873)</f>
        <v/>
      </c>
      <c r="Q873" s="23" t="n">
        <v>37.1882</v>
      </c>
      <c r="R873" s="23" t="n">
        <v>-3.6067</v>
      </c>
    </row>
    <row r="874" ht="15" customHeight="1" s="12">
      <c r="A874" s="18" t="inlineStr">
        <is>
          <t>Houmt El Souk</t>
        </is>
      </c>
      <c r="B874" s="18" t="inlineStr">
        <is>
          <t>Tunisia</t>
        </is>
      </c>
      <c r="C874" s="19" t="n">
        <v>11972169</v>
      </c>
      <c r="D874" s="18" t="inlineStr">
        <is>
          <t>TN</t>
        </is>
      </c>
      <c r="E874" s="18" t="inlineStr">
        <is>
          <t>28</t>
        </is>
      </c>
      <c r="F874" s="20" t="n">
        <v>62583</v>
      </c>
      <c r="G874" s="18" t="n"/>
      <c r="H874" s="18" t="inlineStr">
        <is>
          <t>DJE</t>
        </is>
      </c>
      <c r="I874" s="18" t="inlineStr">
        <is>
          <t>Djerba Zarzis International Airport</t>
        </is>
      </c>
      <c r="J874" s="21" t="n">
        <v>7.4</v>
      </c>
      <c r="K874" s="18" t="inlineStr">
        <is>
          <t>DJE</t>
        </is>
      </c>
      <c r="L874" s="18" t="inlineStr">
        <is>
          <t>airport</t>
        </is>
      </c>
      <c r="M874" s="22" t="n">
        <v>0.535</v>
      </c>
      <c r="N874" s="22" t="n">
        <v>0</v>
      </c>
      <c r="O874" s="18" t="n"/>
      <c r="P874" s="22">
        <f>IF(O874="",(About!$B$5*M874+About!$B$6*N874)/(About!$B$5+About!$B$6),About!$B$5*M874+About!$B$6*N874+About!$B$7*O874)</f>
        <v/>
      </c>
      <c r="Q874" s="23" t="n">
        <v>33.8758</v>
      </c>
      <c r="R874" s="23" t="n">
        <v>10.8575</v>
      </c>
    </row>
    <row r="875" ht="15" customHeight="1" s="12">
      <c r="A875" s="18" t="inlineStr">
        <is>
          <t>Kayseri</t>
        </is>
      </c>
      <c r="B875" s="18" t="inlineStr">
        <is>
          <t>Türkiye</t>
        </is>
      </c>
      <c r="C875" s="19" t="n">
        <v>86092168</v>
      </c>
      <c r="D875" s="18" t="inlineStr">
        <is>
          <t>TR</t>
        </is>
      </c>
      <c r="E875" s="18" t="inlineStr">
        <is>
          <t>38</t>
        </is>
      </c>
      <c r="F875" s="20" t="n">
        <v>592840</v>
      </c>
      <c r="G875" s="18" t="n"/>
      <c r="H875" s="18" t="inlineStr">
        <is>
          <t>ASR</t>
        </is>
      </c>
      <c r="I875" s="18" t="inlineStr">
        <is>
          <t>Kayseri Erkilet International Airport</t>
        </is>
      </c>
      <c r="J875" s="21" t="n">
        <v>4.3</v>
      </c>
      <c r="K875" s="18" t="inlineStr">
        <is>
          <t>ASR</t>
        </is>
      </c>
      <c r="L875" s="18" t="inlineStr">
        <is>
          <t>100k +  pop + airport</t>
        </is>
      </c>
      <c r="M875" s="22" t="n">
        <v>0.534</v>
      </c>
      <c r="N875" s="22" t="n">
        <v>0</v>
      </c>
      <c r="O875" s="18" t="n"/>
      <c r="P875" s="22">
        <f>IF(O875="",(About!$B$5*M875+About!$B$6*N875)/(About!$B$5+About!$B$6),About!$B$5*M875+About!$B$6*N875+About!$B$7*O875)</f>
        <v/>
      </c>
      <c r="Q875" s="23" t="n">
        <v>38.7322</v>
      </c>
      <c r="R875" s="23" t="n">
        <v>35.4853</v>
      </c>
    </row>
    <row r="876" ht="15" customHeight="1" s="12">
      <c r="A876" s="18" t="inlineStr">
        <is>
          <t>Ta’if</t>
        </is>
      </c>
      <c r="B876" s="18" t="inlineStr">
        <is>
          <t>Saudi Arabia</t>
        </is>
      </c>
      <c r="C876" s="19" t="n">
        <v>35300280</v>
      </c>
      <c r="D876" s="18" t="inlineStr">
        <is>
          <t>SA</t>
        </is>
      </c>
      <c r="E876" s="18" t="inlineStr">
        <is>
          <t>14</t>
        </is>
      </c>
      <c r="F876" s="20" t="n">
        <v>530848</v>
      </c>
      <c r="G876" s="18" t="n"/>
      <c r="H876" s="18" t="inlineStr">
        <is>
          <t>TIF</t>
        </is>
      </c>
      <c r="I876" s="18" t="inlineStr">
        <is>
          <t>Taif International Airport</t>
        </is>
      </c>
      <c r="J876" s="21" t="n">
        <v>27.3</v>
      </c>
      <c r="K876" s="18" t="inlineStr">
        <is>
          <t>TIF</t>
        </is>
      </c>
      <c r="L876" s="18" t="inlineStr">
        <is>
          <t>100k +  pop + airport</t>
        </is>
      </c>
      <c r="M876" s="22" t="n">
        <v>0.533</v>
      </c>
      <c r="N876" s="22" t="n">
        <v>0</v>
      </c>
      <c r="O876" s="18" t="n"/>
      <c r="P876" s="22">
        <f>IF(O876="",(About!$B$5*M876+About!$B$6*N876)/(About!$B$5+About!$B$6),About!$B$5*M876+About!$B$6*N876+About!$B$7*O876)</f>
        <v/>
      </c>
      <c r="Q876" s="23" t="n">
        <v>21.2703</v>
      </c>
      <c r="R876" s="23" t="n">
        <v>40.4158</v>
      </c>
    </row>
    <row r="877" ht="15" customHeight="1" s="12">
      <c r="A877" s="18" t="inlineStr">
        <is>
          <t>Salta</t>
        </is>
      </c>
      <c r="B877" s="18" t="inlineStr">
        <is>
          <t>Argentina</t>
        </is>
      </c>
      <c r="C877" s="19" t="n">
        <v>46387098</v>
      </c>
      <c r="D877" s="18" t="inlineStr">
        <is>
          <t>AR</t>
        </is>
      </c>
      <c r="E877" s="18" t="inlineStr">
        <is>
          <t>17</t>
        </is>
      </c>
      <c r="F877" s="20" t="n">
        <v>512686</v>
      </c>
      <c r="G877" s="18" t="n"/>
      <c r="H877" s="18" t="inlineStr">
        <is>
          <t>SLA</t>
        </is>
      </c>
      <c r="I877" s="18" t="inlineStr">
        <is>
          <t>Martín Miguel de Güemes International Airport</t>
        </is>
      </c>
      <c r="J877" s="21" t="n">
        <v>10.8</v>
      </c>
      <c r="K877" s="18" t="inlineStr">
        <is>
          <t>SLA</t>
        </is>
      </c>
      <c r="L877" s="18" t="inlineStr">
        <is>
          <t>100k +  pop + airport</t>
        </is>
      </c>
      <c r="M877" s="22" t="n">
        <v>0.533</v>
      </c>
      <c r="N877" s="22" t="n">
        <v>0</v>
      </c>
      <c r="O877" s="18" t="n"/>
      <c r="P877" s="22">
        <f>IF(O877="",(About!$B$5*M877+About!$B$6*N877)/(About!$B$5+About!$B$6),About!$B$5*M877+About!$B$6*N877+About!$B$7*O877)</f>
        <v/>
      </c>
      <c r="Q877" s="23" t="n">
        <v>-24.7859</v>
      </c>
      <c r="R877" s="23" t="n">
        <v>-65.4117</v>
      </c>
    </row>
    <row r="878" ht="15" customHeight="1" s="12">
      <c r="A878" s="18" t="inlineStr">
        <is>
          <t>Bujumbura</t>
        </is>
      </c>
      <c r="B878" s="18" t="inlineStr">
        <is>
          <t>Burundi</t>
        </is>
      </c>
      <c r="C878" s="19" t="n">
        <v>12332788</v>
      </c>
      <c r="D878" s="18" t="inlineStr">
        <is>
          <t>BI</t>
        </is>
      </c>
      <c r="E878" s="18" t="inlineStr">
        <is>
          <t>24</t>
        </is>
      </c>
      <c r="F878" s="20" t="n">
        <v>331700</v>
      </c>
      <c r="G878" s="18" t="n"/>
      <c r="H878" s="18" t="inlineStr">
        <is>
          <t>BJM</t>
        </is>
      </c>
      <c r="I878" s="18" t="inlineStr">
        <is>
          <t>Bujumbura Melchior Ndadaye International Airport</t>
        </is>
      </c>
      <c r="J878" s="21" t="n">
        <v>8</v>
      </c>
      <c r="K878" s="18" t="inlineStr">
        <is>
          <t>BJM</t>
        </is>
      </c>
      <c r="L878" s="18" t="inlineStr">
        <is>
          <t>100k +  pop + airport</t>
        </is>
      </c>
      <c r="M878" s="22" t="n">
        <v>0.535</v>
      </c>
      <c r="N878" s="22" t="n">
        <v>0</v>
      </c>
      <c r="O878" s="18" t="n"/>
      <c r="P878" s="22">
        <f>IF(O878="",(About!$B$5*M878+About!$B$6*N878)/(About!$B$5+About!$B$6),About!$B$5*M878+About!$B$6*N878+About!$B$7*O878)</f>
        <v/>
      </c>
      <c r="Q878" s="23" t="n">
        <v>-3.3819</v>
      </c>
      <c r="R878" s="23" t="n">
        <v>29.3614</v>
      </c>
    </row>
    <row r="879" ht="15" customHeight="1" s="12">
      <c r="A879" s="18" t="inlineStr">
        <is>
          <t>Uvira</t>
        </is>
      </c>
      <c r="B879" s="18" t="inlineStr">
        <is>
          <t>DR Congo</t>
        </is>
      </c>
      <c r="C879" s="19" t="n">
        <v>112832000</v>
      </c>
      <c r="D879" s="18" t="inlineStr">
        <is>
          <t>CD</t>
        </is>
      </c>
      <c r="E879" s="18" t="inlineStr">
        <is>
          <t>12</t>
        </is>
      </c>
      <c r="F879" s="20" t="n">
        <v>170391</v>
      </c>
      <c r="G879" s="18" t="n"/>
      <c r="H879" s="18" t="inlineStr">
        <is>
          <t>BJM</t>
        </is>
      </c>
      <c r="I879" s="18" t="inlineStr">
        <is>
          <t>Bujumbura Melchior Ndadaye International Airport</t>
        </is>
      </c>
      <c r="J879" s="21" t="n">
        <v>21.6</v>
      </c>
      <c r="K879" s="18" t="inlineStr">
        <is>
          <t>BJM</t>
        </is>
      </c>
      <c r="L879" s="18" t="inlineStr">
        <is>
          <t>100k +  pop</t>
        </is>
      </c>
      <c r="M879" s="22" t="n">
        <v>0.535</v>
      </c>
      <c r="N879" s="22" t="n">
        <v>0</v>
      </c>
      <c r="O879" s="18" t="n"/>
      <c r="P879" s="22">
        <f>IF(O879="",(About!$B$5*M879+About!$B$6*N879)/(About!$B$5+About!$B$6),About!$B$5*M879+About!$B$6*N879+About!$B$7*O879)</f>
        <v/>
      </c>
      <c r="Q879" s="23" t="n">
        <v>-3.3953</v>
      </c>
      <c r="R879" s="23" t="n">
        <v>29.1378</v>
      </c>
    </row>
    <row r="880" ht="15" customHeight="1" s="12">
      <c r="A880" s="18" t="inlineStr">
        <is>
          <t>Shangri-La</t>
        </is>
      </c>
      <c r="B880" s="18" t="inlineStr">
        <is>
          <t>China</t>
        </is>
      </c>
      <c r="C880" s="19" t="n">
        <v>1404890000</v>
      </c>
      <c r="D880" s="18" t="inlineStr">
        <is>
          <t>CN</t>
        </is>
      </c>
      <c r="E880" s="18" t="inlineStr">
        <is>
          <t>29</t>
        </is>
      </c>
      <c r="F880" s="20" t="n">
        <v>130000</v>
      </c>
      <c r="G880" s="18" t="n"/>
      <c r="H880" s="18" t="inlineStr">
        <is>
          <t>DIG</t>
        </is>
      </c>
      <c r="I880" s="18" t="inlineStr">
        <is>
          <t>Diqing Shangri-La Airport</t>
        </is>
      </c>
      <c r="J880" s="21" t="n">
        <v>4.6</v>
      </c>
      <c r="K880" s="18" t="inlineStr">
        <is>
          <t>DIG</t>
        </is>
      </c>
      <c r="L880" s="18" t="inlineStr">
        <is>
          <t>100k +  pop + airport</t>
        </is>
      </c>
      <c r="M880" s="22" t="n">
        <v>0.533</v>
      </c>
      <c r="N880" s="22" t="n">
        <v>0</v>
      </c>
      <c r="O880" s="18" t="n"/>
      <c r="P880" s="22">
        <f>IF(O880="",(About!$B$5*M880+About!$B$6*N880)/(About!$B$5+About!$B$6),About!$B$5*M880+About!$B$6*N880+About!$B$7*O880)</f>
        <v/>
      </c>
      <c r="Q880" s="23" t="n">
        <v>27.8251</v>
      </c>
      <c r="R880" s="23" t="n">
        <v>99.70780000000001</v>
      </c>
    </row>
    <row r="881" ht="15" customHeight="1" s="12">
      <c r="A881" s="18" t="inlineStr">
        <is>
          <t>Saint George's</t>
        </is>
      </c>
      <c r="B881" s="18" t="inlineStr">
        <is>
          <t>Grenada</t>
        </is>
      </c>
      <c r="C881" s="19" t="n">
        <v>109021</v>
      </c>
      <c r="D881" s="18" t="inlineStr">
        <is>
          <t>GD</t>
        </is>
      </c>
      <c r="E881" s="18" t="inlineStr">
        <is>
          <t>03</t>
        </is>
      </c>
      <c r="F881" s="20" t="n">
        <v>7500</v>
      </c>
      <c r="G881" s="18" t="inlineStr">
        <is>
          <t>Yes</t>
        </is>
      </c>
      <c r="H881" s="18" t="inlineStr">
        <is>
          <t>GND</t>
        </is>
      </c>
      <c r="I881" s="18" t="inlineStr">
        <is>
          <t>Maurice Bishop International Airport</t>
        </is>
      </c>
      <c r="J881" s="21" t="n">
        <v>6.5</v>
      </c>
      <c r="K881" s="18" t="inlineStr">
        <is>
          <t>GND</t>
        </is>
      </c>
      <c r="L881" s="18" t="inlineStr">
        <is>
          <t>capital</t>
        </is>
      </c>
      <c r="M881" s="22" t="n">
        <v>0.535</v>
      </c>
      <c r="N881" s="22" t="n">
        <v>0</v>
      </c>
      <c r="O881" s="18" t="n"/>
      <c r="P881" s="22">
        <f>IF(O881="",(About!$B$5*M881+About!$B$6*N881)/(About!$B$5+About!$B$6),About!$B$5*M881+About!$B$6*N881+About!$B$7*O881)</f>
        <v/>
      </c>
      <c r="Q881" s="23" t="n">
        <v>12.0529</v>
      </c>
      <c r="R881" s="23" t="n">
        <v>-61.7523</v>
      </c>
    </row>
    <row r="882" ht="15" customHeight="1" s="12">
      <c r="A882" s="18" t="inlineStr">
        <is>
          <t>Luxor</t>
        </is>
      </c>
      <c r="B882" s="18" t="inlineStr">
        <is>
          <t>Egypt</t>
        </is>
      </c>
      <c r="C882" s="19" t="n">
        <v>108613296</v>
      </c>
      <c r="D882" s="18" t="inlineStr">
        <is>
          <t>EG</t>
        </is>
      </c>
      <c r="E882" s="18" t="inlineStr">
        <is>
          <t>28</t>
        </is>
      </c>
      <c r="F882" s="20" t="n">
        <v>422407</v>
      </c>
      <c r="G882" s="18" t="n"/>
      <c r="H882" s="18" t="inlineStr">
        <is>
          <t>LXR</t>
        </is>
      </c>
      <c r="I882" s="18" t="inlineStr">
        <is>
          <t>Luxor International Airport</t>
        </is>
      </c>
      <c r="J882" s="21" t="n">
        <v>7.2</v>
      </c>
      <c r="K882" s="18" t="inlineStr">
        <is>
          <t>LXR</t>
        </is>
      </c>
      <c r="L882" s="18" t="inlineStr">
        <is>
          <t>100k +  pop + airport</t>
        </is>
      </c>
      <c r="M882" s="22" t="n">
        <v>0.533</v>
      </c>
      <c r="N882" s="22" t="n">
        <v>0</v>
      </c>
      <c r="O882" s="18" t="n"/>
      <c r="P882" s="22">
        <f>IF(O882="",(About!$B$5*M882+About!$B$6*N882)/(About!$B$5+About!$B$6),About!$B$5*M882+About!$B$6*N882+About!$B$7*O882)</f>
        <v/>
      </c>
      <c r="Q882" s="23" t="n">
        <v>25.6989</v>
      </c>
      <c r="R882" s="23" t="n">
        <v>32.6421</v>
      </c>
    </row>
    <row r="883" ht="15" customHeight="1" s="12">
      <c r="A883" s="18" t="inlineStr">
        <is>
          <t>Mokpo</t>
        </is>
      </c>
      <c r="B883" s="18" t="inlineStr">
        <is>
          <t>South Korea</t>
        </is>
      </c>
      <c r="C883" s="19" t="n">
        <v>51111158</v>
      </c>
      <c r="D883" s="18" t="inlineStr">
        <is>
          <t>KR</t>
        </is>
      </c>
      <c r="E883" s="18" t="inlineStr">
        <is>
          <t>16</t>
        </is>
      </c>
      <c r="F883" s="20" t="n">
        <v>268402</v>
      </c>
      <c r="G883" s="18" t="n"/>
      <c r="H883" s="18" t="inlineStr">
        <is>
          <t>MWX</t>
        </is>
      </c>
      <c r="I883" s="18" t="inlineStr">
        <is>
          <t>Muan International Airport</t>
        </is>
      </c>
      <c r="J883" s="21" t="n">
        <v>19.9</v>
      </c>
      <c r="K883" s="18" t="inlineStr">
        <is>
          <t>MWX</t>
        </is>
      </c>
      <c r="L883" s="18" t="inlineStr">
        <is>
          <t>100k +  pop</t>
        </is>
      </c>
      <c r="M883" s="22" t="n">
        <v>0.531</v>
      </c>
      <c r="N883" s="22" t="n">
        <v>0</v>
      </c>
      <c r="O883" s="18" t="n"/>
      <c r="P883" s="22">
        <f>IF(O883="",(About!$B$5*M883+About!$B$6*N883)/(About!$B$5+About!$B$6),About!$B$5*M883+About!$B$6*N883+About!$B$7*O883)</f>
        <v/>
      </c>
      <c r="Q883" s="23" t="n">
        <v>34.8128</v>
      </c>
      <c r="R883" s="23" t="n">
        <v>126.3918</v>
      </c>
    </row>
    <row r="884" ht="15" customHeight="1" s="12">
      <c r="A884" s="18" t="inlineStr">
        <is>
          <t>Regina</t>
        </is>
      </c>
      <c r="B884" s="18" t="inlineStr">
        <is>
          <t>Canada</t>
        </is>
      </c>
      <c r="C884" s="19" t="n">
        <v>41472081</v>
      </c>
      <c r="D884" s="18" t="inlineStr">
        <is>
          <t>CA</t>
        </is>
      </c>
      <c r="E884" s="18" t="inlineStr">
        <is>
          <t>11</t>
        </is>
      </c>
      <c r="F884" s="20" t="n">
        <v>176183</v>
      </c>
      <c r="G884" s="18" t="n"/>
      <c r="H884" s="18" t="inlineStr">
        <is>
          <t>YQR</t>
        </is>
      </c>
      <c r="I884" s="18" t="inlineStr">
        <is>
          <t>Regina International Airport</t>
        </is>
      </c>
      <c r="J884" s="21" t="n">
        <v>3.7</v>
      </c>
      <c r="K884" s="18" t="inlineStr">
        <is>
          <t>YQR</t>
        </is>
      </c>
      <c r="L884" s="18" t="inlineStr">
        <is>
          <t>100k +  pop + airport</t>
        </is>
      </c>
      <c r="M884" s="22" t="n">
        <v>0.532</v>
      </c>
      <c r="N884" s="22" t="n">
        <v>0</v>
      </c>
      <c r="O884" s="18" t="n"/>
      <c r="P884" s="22">
        <f>IF(O884="",(About!$B$5*M884+About!$B$6*N884)/(About!$B$5+About!$B$6),About!$B$5*M884+About!$B$6*N884+About!$B$7*O884)</f>
        <v/>
      </c>
      <c r="Q884" s="23" t="n">
        <v>50.4501</v>
      </c>
      <c r="R884" s="23" t="n">
        <v>-104.6178</v>
      </c>
    </row>
    <row r="885" ht="15" customHeight="1" s="12">
      <c r="A885" s="18" t="inlineStr">
        <is>
          <t>Majuro</t>
        </is>
      </c>
      <c r="B885" s="18" t="inlineStr">
        <is>
          <t>Marshall Islands</t>
        </is>
      </c>
      <c r="C885" s="19" t="n">
        <v>42418</v>
      </c>
      <c r="D885" s="18" t="inlineStr">
        <is>
          <t>MH</t>
        </is>
      </c>
      <c r="E885" s="18" t="inlineStr">
        <is>
          <t>190</t>
        </is>
      </c>
      <c r="F885" s="20" t="n">
        <v>25400</v>
      </c>
      <c r="G885" s="18" t="inlineStr">
        <is>
          <t>Yes</t>
        </is>
      </c>
      <c r="H885" s="18" t="inlineStr">
        <is>
          <t>MAJ</t>
        </is>
      </c>
      <c r="I885" s="18" t="inlineStr">
        <is>
          <t>Marshall Islands International Airport</t>
        </is>
      </c>
      <c r="J885" s="21" t="n">
        <v>12.3</v>
      </c>
      <c r="K885" s="18" t="inlineStr">
        <is>
          <t>MAJ</t>
        </is>
      </c>
      <c r="L885" s="18" t="inlineStr">
        <is>
          <t>capital</t>
        </is>
      </c>
      <c r="M885" s="22" t="n">
        <v>0.532</v>
      </c>
      <c r="N885" s="22" t="n">
        <v>0</v>
      </c>
      <c r="O885" s="18" t="n"/>
      <c r="P885" s="22">
        <f>IF(O885="",(About!$B$5*M885+About!$B$6*N885)/(About!$B$5+About!$B$6),About!$B$5*M885+About!$B$6*N885+About!$B$7*O885)</f>
        <v/>
      </c>
      <c r="Q885" s="23" t="n">
        <v>7.0897</v>
      </c>
      <c r="R885" s="23" t="n">
        <v>171.3803</v>
      </c>
    </row>
    <row r="886" ht="15" customHeight="1" s="12">
      <c r="A886" s="18" t="inlineStr">
        <is>
          <t>RMI Capitol</t>
        </is>
      </c>
      <c r="B886" s="18" t="inlineStr">
        <is>
          <t>Marshall Islands</t>
        </is>
      </c>
      <c r="C886" s="19" t="n">
        <v>42418</v>
      </c>
      <c r="D886" s="18" t="inlineStr">
        <is>
          <t>MH</t>
        </is>
      </c>
      <c r="E886" s="18" t="inlineStr">
        <is>
          <t>190</t>
        </is>
      </c>
      <c r="F886" s="20" t="n">
        <v>0</v>
      </c>
      <c r="G886" s="18" t="inlineStr">
        <is>
          <t>Yes</t>
        </is>
      </c>
      <c r="H886" s="18" t="inlineStr">
        <is>
          <t>MAJ</t>
        </is>
      </c>
      <c r="I886" s="18" t="inlineStr">
        <is>
          <t>Marshall Islands International Airport</t>
        </is>
      </c>
      <c r="J886" s="21" t="n">
        <v>12.3</v>
      </c>
      <c r="K886" s="18" t="inlineStr">
        <is>
          <t>MAJ</t>
        </is>
      </c>
      <c r="L886" s="18" t="inlineStr">
        <is>
          <t>capital</t>
        </is>
      </c>
      <c r="M886" s="22" t="n">
        <v>0.532</v>
      </c>
      <c r="N886" s="22" t="n">
        <v>0</v>
      </c>
      <c r="O886" s="18" t="n"/>
      <c r="P886" s="22">
        <f>IF(O886="",(About!$B$5*M886+About!$B$6*N886)/(About!$B$5+About!$B$6),About!$B$5*M886+About!$B$6*N886+About!$B$7*O886)</f>
        <v/>
      </c>
      <c r="Q886" s="23" t="n">
        <v>7.0893</v>
      </c>
      <c r="R886" s="23" t="n">
        <v>171.3805</v>
      </c>
    </row>
    <row r="887" ht="15" customHeight="1" s="12">
      <c r="A887" s="18" t="inlineStr">
        <is>
          <t>Multan</t>
        </is>
      </c>
      <c r="B887" s="18" t="inlineStr">
        <is>
          <t>Pakistan</t>
        </is>
      </c>
      <c r="C887" s="19" t="n">
        <v>241499431</v>
      </c>
      <c r="D887" s="18" t="inlineStr">
        <is>
          <t>PK</t>
        </is>
      </c>
      <c r="E887" s="18" t="inlineStr">
        <is>
          <t>04</t>
        </is>
      </c>
      <c r="F887" s="20" t="n">
        <v>1437230</v>
      </c>
      <c r="G887" s="18" t="n"/>
      <c r="H887" s="18" t="inlineStr">
        <is>
          <t>MUX</t>
        </is>
      </c>
      <c r="I887" s="18" t="inlineStr">
        <is>
          <t>Multan International Airport</t>
        </is>
      </c>
      <c r="J887" s="21" t="n">
        <v>5.7</v>
      </c>
      <c r="K887" s="18" t="inlineStr">
        <is>
          <t>MUX</t>
        </is>
      </c>
      <c r="L887" s="18" t="inlineStr">
        <is>
          <t>100k +  pop + airport</t>
        </is>
      </c>
      <c r="M887" s="22" t="n">
        <v>0.53</v>
      </c>
      <c r="N887" s="22" t="n">
        <v>0</v>
      </c>
      <c r="O887" s="18" t="n"/>
      <c r="P887" s="22">
        <f>IF(O887="",(About!$B$5*M887+About!$B$6*N887)/(About!$B$5+About!$B$6),About!$B$5*M887+About!$B$6*N887+About!$B$7*O887)</f>
        <v/>
      </c>
      <c r="Q887" s="23" t="n">
        <v>30.1968</v>
      </c>
      <c r="R887" s="23" t="n">
        <v>71.4782</v>
      </c>
    </row>
    <row r="888" ht="15" customHeight="1" s="12">
      <c r="A888" s="18" t="inlineStr">
        <is>
          <t>Cúcuta</t>
        </is>
      </c>
      <c r="B888" s="18" t="inlineStr">
        <is>
          <t>Colombia</t>
        </is>
      </c>
      <c r="C888" s="19" t="n">
        <v>53057212</v>
      </c>
      <c r="D888" s="18" t="inlineStr">
        <is>
          <t>CO</t>
        </is>
      </c>
      <c r="E888" s="18" t="inlineStr">
        <is>
          <t>21</t>
        </is>
      </c>
      <c r="F888" s="20" t="n">
        <v>721398</v>
      </c>
      <c r="G888" s="18" t="n"/>
      <c r="H888" s="18" t="inlineStr">
        <is>
          <t>CUC</t>
        </is>
      </c>
      <c r="I888" s="18" t="inlineStr">
        <is>
          <t>Camilo Daza International Airport</t>
        </is>
      </c>
      <c r="J888" s="21" t="n">
        <v>3.8</v>
      </c>
      <c r="K888" s="18" t="inlineStr">
        <is>
          <t>CUC+SVZ</t>
        </is>
      </c>
      <c r="L888" s="18" t="inlineStr">
        <is>
          <t>100k +  pop + airport</t>
        </is>
      </c>
      <c r="M888" s="22" t="n">
        <v>0.53</v>
      </c>
      <c r="N888" s="22" t="n">
        <v>0</v>
      </c>
      <c r="O888" s="18" t="n"/>
      <c r="P888" s="22">
        <f>IF(O888="",(About!$B$5*M888+About!$B$6*N888)/(About!$B$5+About!$B$6),About!$B$5*M888+About!$B$6*N888+About!$B$7*O888)</f>
        <v/>
      </c>
      <c r="Q888" s="23" t="n">
        <v>7.8939</v>
      </c>
      <c r="R888" s="23" t="n">
        <v>-72.5078</v>
      </c>
    </row>
    <row r="889" ht="15" customHeight="1" s="12">
      <c r="A889" s="18" t="inlineStr">
        <is>
          <t>Sari</t>
        </is>
      </c>
      <c r="B889" s="18" t="inlineStr">
        <is>
          <t>Iran</t>
        </is>
      </c>
      <c r="C889" s="19" t="n">
        <v>87134000</v>
      </c>
      <c r="D889" s="18" t="inlineStr">
        <is>
          <t>IR</t>
        </is>
      </c>
      <c r="E889" s="18" t="inlineStr">
        <is>
          <t>35</t>
        </is>
      </c>
      <c r="F889" s="20" t="n">
        <v>255396</v>
      </c>
      <c r="G889" s="18" t="n"/>
      <c r="H889" s="18" t="inlineStr">
        <is>
          <t>SRY</t>
        </is>
      </c>
      <c r="I889" s="18" t="inlineStr">
        <is>
          <t>Sari Dasht-e Naz International Airport</t>
        </is>
      </c>
      <c r="J889" s="21" t="n">
        <v>14.6</v>
      </c>
      <c r="K889" s="18" t="inlineStr">
        <is>
          <t>SRY</t>
        </is>
      </c>
      <c r="L889" s="18" t="inlineStr">
        <is>
          <t>100k +  pop + airport</t>
        </is>
      </c>
      <c r="M889" s="22" t="n">
        <v>0.53</v>
      </c>
      <c r="N889" s="22" t="n">
        <v>0</v>
      </c>
      <c r="O889" s="18" t="n"/>
      <c r="P889" s="22">
        <f>IF(O889="",(About!$B$5*M889+About!$B$6*N889)/(About!$B$5+About!$B$6),About!$B$5*M889+About!$B$6*N889+About!$B$7*O889)</f>
        <v/>
      </c>
      <c r="Q889" s="23" t="n">
        <v>36.5633</v>
      </c>
      <c r="R889" s="23" t="n">
        <v>53.0601</v>
      </c>
    </row>
    <row r="890" ht="15" customHeight="1" s="12">
      <c r="A890" s="18" t="inlineStr">
        <is>
          <t>Pamplona</t>
        </is>
      </c>
      <c r="B890" s="18" t="inlineStr">
        <is>
          <t>Spain</t>
        </is>
      </c>
      <c r="C890" s="19" t="n">
        <v>49687120</v>
      </c>
      <c r="D890" s="18" t="inlineStr">
        <is>
          <t>ES</t>
        </is>
      </c>
      <c r="E890" s="18" t="inlineStr">
        <is>
          <t>32</t>
        </is>
      </c>
      <c r="F890" s="20" t="n">
        <v>198491</v>
      </c>
      <c r="G890" s="18" t="n"/>
      <c r="H890" s="18" t="inlineStr">
        <is>
          <t>PNA</t>
        </is>
      </c>
      <c r="I890" s="18" t="inlineStr">
        <is>
          <t>Pamplona Airport</t>
        </is>
      </c>
      <c r="J890" s="21" t="n">
        <v>5.2</v>
      </c>
      <c r="K890" s="18" t="inlineStr">
        <is>
          <t>PNA</t>
        </is>
      </c>
      <c r="L890" s="18" t="inlineStr">
        <is>
          <t>100k +  pop + airport</t>
        </is>
      </c>
      <c r="M890" s="22" t="n">
        <v>0.53</v>
      </c>
      <c r="N890" s="22" t="n">
        <v>0</v>
      </c>
      <c r="O890" s="18" t="n"/>
      <c r="P890" s="22">
        <f>IF(O890="",(About!$B$5*M890+About!$B$6*N890)/(About!$B$5+About!$B$6),About!$B$5*M890+About!$B$6*N890+About!$B$7*O890)</f>
        <v/>
      </c>
      <c r="Q890" s="23" t="n">
        <v>42.8169</v>
      </c>
      <c r="R890" s="23" t="n">
        <v>-1.6432</v>
      </c>
    </row>
    <row r="891" ht="15" customHeight="1" s="12">
      <c r="A891" s="18" t="inlineStr">
        <is>
          <t>Sittwe</t>
        </is>
      </c>
      <c r="B891" s="18" t="inlineStr">
        <is>
          <t>Myanmar</t>
        </is>
      </c>
      <c r="C891" s="19" t="n">
        <v>51375327</v>
      </c>
      <c r="D891" s="18" t="inlineStr">
        <is>
          <t>MM</t>
        </is>
      </c>
      <c r="E891" s="18" t="inlineStr">
        <is>
          <t>01</t>
        </is>
      </c>
      <c r="F891" s="20" t="n">
        <v>177743</v>
      </c>
      <c r="G891" s="18" t="n"/>
      <c r="H891" s="18" t="inlineStr">
        <is>
          <t>AKY</t>
        </is>
      </c>
      <c r="I891" s="18" t="inlineStr">
        <is>
          <t>Sittwe Airport</t>
        </is>
      </c>
      <c r="J891" s="21" t="n">
        <v>3.2</v>
      </c>
      <c r="K891" s="18" t="inlineStr">
        <is>
          <t>AKY</t>
        </is>
      </c>
      <c r="L891" s="18" t="inlineStr">
        <is>
          <t>100k +  pop + airport</t>
        </is>
      </c>
      <c r="M891" s="22" t="n">
        <v>0.53</v>
      </c>
      <c r="N891" s="22" t="n">
        <v>0</v>
      </c>
      <c r="O891" s="18" t="n"/>
      <c r="P891" s="22">
        <f>IF(O891="",(About!$B$5*M891+About!$B$6*N891)/(About!$B$5+About!$B$6),About!$B$5*M891+About!$B$6*N891+About!$B$7*O891)</f>
        <v/>
      </c>
      <c r="Q891" s="23" t="n">
        <v>20.1462</v>
      </c>
      <c r="R891" s="23" t="n">
        <v>92.89830000000001</v>
      </c>
    </row>
    <row r="892" ht="15" customHeight="1" s="12">
      <c r="A892" s="18" t="inlineStr">
        <is>
          <t>Dawei</t>
        </is>
      </c>
      <c r="B892" s="18" t="inlineStr">
        <is>
          <t>Myanmar</t>
        </is>
      </c>
      <c r="C892" s="19" t="n">
        <v>51375327</v>
      </c>
      <c r="D892" s="18" t="inlineStr">
        <is>
          <t>MM</t>
        </is>
      </c>
      <c r="E892" s="18" t="inlineStr">
        <is>
          <t>12</t>
        </is>
      </c>
      <c r="F892" s="20" t="n">
        <v>136783</v>
      </c>
      <c r="G892" s="18" t="n"/>
      <c r="H892" s="18" t="inlineStr">
        <is>
          <t>TVY</t>
        </is>
      </c>
      <c r="I892" s="18" t="inlineStr">
        <is>
          <t>Dawei Airport</t>
        </is>
      </c>
      <c r="J892" s="21" t="n">
        <v>2.7</v>
      </c>
      <c r="K892" s="18" t="inlineStr">
        <is>
          <t>TVY</t>
        </is>
      </c>
      <c r="L892" s="18" t="inlineStr">
        <is>
          <t>100k +  pop + airport</t>
        </is>
      </c>
      <c r="M892" s="22" t="n">
        <v>0.53</v>
      </c>
      <c r="N892" s="22" t="n">
        <v>0</v>
      </c>
      <c r="O892" s="18" t="n"/>
      <c r="P892" s="22">
        <f>IF(O892="",(About!$B$5*M892+About!$B$6*N892)/(About!$B$5+About!$B$6),About!$B$5*M892+About!$B$6*N892+About!$B$7*O892)</f>
        <v/>
      </c>
      <c r="Q892" s="23" t="n">
        <v>14.0823</v>
      </c>
      <c r="R892" s="23" t="n">
        <v>98.1915</v>
      </c>
    </row>
    <row r="893" ht="15" customHeight="1" s="12">
      <c r="A893" s="18" t="inlineStr">
        <is>
          <t>Thimphu</t>
        </is>
      </c>
      <c r="B893" s="18" t="inlineStr">
        <is>
          <t>Bhutan</t>
        </is>
      </c>
      <c r="C893" s="19" t="n">
        <v>784043</v>
      </c>
      <c r="D893" s="18" t="inlineStr">
        <is>
          <t>BT</t>
        </is>
      </c>
      <c r="E893" s="18" t="inlineStr">
        <is>
          <t>20</t>
        </is>
      </c>
      <c r="F893" s="20" t="n">
        <v>98676</v>
      </c>
      <c r="G893" s="18" t="inlineStr">
        <is>
          <t>Yes</t>
        </is>
      </c>
      <c r="H893" s="18" t="inlineStr">
        <is>
          <t>PBH</t>
        </is>
      </c>
      <c r="I893" s="18" t="inlineStr">
        <is>
          <t>Paro International Airport</t>
        </is>
      </c>
      <c r="J893" s="21" t="n">
        <v>22.6</v>
      </c>
      <c r="K893" s="18" t="inlineStr">
        <is>
          <t>PBH</t>
        </is>
      </c>
      <c r="L893" s="18" t="inlineStr">
        <is>
          <t>capital</t>
        </is>
      </c>
      <c r="M893" s="22" t="n">
        <v>0.53</v>
      </c>
      <c r="N893" s="22" t="n">
        <v>0</v>
      </c>
      <c r="O893" s="18" t="n"/>
      <c r="P893" s="22">
        <f>IF(O893="",(About!$B$5*M893+About!$B$6*N893)/(About!$B$5+About!$B$6),About!$B$5*M893+About!$B$6*N893+About!$B$7*O893)</f>
        <v/>
      </c>
      <c r="Q893" s="23" t="n">
        <v>27.4661</v>
      </c>
      <c r="R893" s="23" t="n">
        <v>89.64190000000001</v>
      </c>
    </row>
    <row r="894" ht="15" customHeight="1" s="12">
      <c r="A894" s="18" t="inlineStr">
        <is>
          <t>Erzurum</t>
        </is>
      </c>
      <c r="B894" s="18" t="inlineStr">
        <is>
          <t>Türkiye</t>
        </is>
      </c>
      <c r="C894" s="19" t="n">
        <v>86092168</v>
      </c>
      <c r="D894" s="18" t="inlineStr">
        <is>
          <t>TR</t>
        </is>
      </c>
      <c r="E894" s="18" t="inlineStr">
        <is>
          <t>25</t>
        </is>
      </c>
      <c r="F894" s="20" t="n">
        <v>420691</v>
      </c>
      <c r="G894" s="18" t="n"/>
      <c r="H894" s="18" t="inlineStr">
        <is>
          <t>ERZ</t>
        </is>
      </c>
      <c r="I894" s="18" t="inlineStr">
        <is>
          <t>Erzurum International Airport</t>
        </is>
      </c>
      <c r="J894" s="21" t="n">
        <v>10.5</v>
      </c>
      <c r="K894" s="18" t="inlineStr">
        <is>
          <t>ERZ</t>
        </is>
      </c>
      <c r="L894" s="18" t="inlineStr">
        <is>
          <t>100k +  pop + airport</t>
        </is>
      </c>
      <c r="M894" s="22" t="n">
        <v>0.528</v>
      </c>
      <c r="N894" s="22" t="n">
        <v>0</v>
      </c>
      <c r="O894" s="18" t="n"/>
      <c r="P894" s="22">
        <f>IF(O894="",(About!$B$5*M894+About!$B$6*N894)/(About!$B$5+About!$B$6),About!$B$5*M894+About!$B$6*N894+About!$B$7*O894)</f>
        <v/>
      </c>
      <c r="Q894" s="23" t="n">
        <v>39.9086</v>
      </c>
      <c r="R894" s="23" t="n">
        <v>41.2769</v>
      </c>
    </row>
    <row r="895" ht="15" customHeight="1" s="12">
      <c r="A895" s="18" t="inlineStr">
        <is>
          <t>Valledupar</t>
        </is>
      </c>
      <c r="B895" s="18" t="inlineStr">
        <is>
          <t>Colombia</t>
        </is>
      </c>
      <c r="C895" s="19" t="n">
        <v>53057212</v>
      </c>
      <c r="D895" s="18" t="inlineStr">
        <is>
          <t>CO</t>
        </is>
      </c>
      <c r="E895" s="18" t="inlineStr">
        <is>
          <t>10</t>
        </is>
      </c>
      <c r="F895" s="20" t="n">
        <v>308237</v>
      </c>
      <c r="G895" s="18" t="n"/>
      <c r="H895" s="18" t="inlineStr">
        <is>
          <t>VUP</t>
        </is>
      </c>
      <c r="I895" s="18" t="inlineStr">
        <is>
          <t>Alfonso López Pumarejo Airport</t>
        </is>
      </c>
      <c r="J895" s="21" t="n">
        <v>3.2</v>
      </c>
      <c r="K895" s="18" t="inlineStr">
        <is>
          <t>VUP</t>
        </is>
      </c>
      <c r="L895" s="18" t="inlineStr">
        <is>
          <t>100k +  pop + airport</t>
        </is>
      </c>
      <c r="M895" s="22" t="n">
        <v>0.528</v>
      </c>
      <c r="N895" s="22" t="n">
        <v>0</v>
      </c>
      <c r="O895" s="18" t="n"/>
      <c r="P895" s="22">
        <f>IF(O895="",(About!$B$5*M895+About!$B$6*N895)/(About!$B$5+About!$B$6),About!$B$5*M895+About!$B$6*N895+About!$B$7*O895)</f>
        <v/>
      </c>
      <c r="Q895" s="23" t="n">
        <v>10.4631</v>
      </c>
      <c r="R895" s="23" t="n">
        <v>-73.25320000000001</v>
      </c>
    </row>
    <row r="896" ht="15" customHeight="1" s="12">
      <c r="A896" s="18" t="inlineStr">
        <is>
          <t>Maseru</t>
        </is>
      </c>
      <c r="B896" s="18" t="inlineStr">
        <is>
          <t>Lesotho</t>
        </is>
      </c>
      <c r="C896" s="19" t="n">
        <v>2116427</v>
      </c>
      <c r="D896" s="18" t="inlineStr">
        <is>
          <t>LS</t>
        </is>
      </c>
      <c r="E896" s="18" t="inlineStr">
        <is>
          <t>14</t>
        </is>
      </c>
      <c r="F896" s="20" t="n">
        <v>118355</v>
      </c>
      <c r="G896" s="18" t="inlineStr">
        <is>
          <t>Yes</t>
        </is>
      </c>
      <c r="H896" s="18" t="inlineStr">
        <is>
          <t>MSU</t>
        </is>
      </c>
      <c r="I896" s="18" t="inlineStr">
        <is>
          <t>Moshoeshoe I International Airport</t>
        </is>
      </c>
      <c r="J896" s="21" t="n">
        <v>17</v>
      </c>
      <c r="K896" s="18" t="inlineStr">
        <is>
          <t>MSU</t>
        </is>
      </c>
      <c r="L896" s="18" t="inlineStr">
        <is>
          <t>100k +  pop + capital</t>
        </is>
      </c>
      <c r="M896" s="22" t="n">
        <v>0.528</v>
      </c>
      <c r="N896" s="22" t="n">
        <v>0</v>
      </c>
      <c r="O896" s="18" t="n"/>
      <c r="P896" s="22">
        <f>IF(O896="",(About!$B$5*M896+About!$B$6*N896)/(About!$B$5+About!$B$6),About!$B$5*M896+About!$B$6*N896+About!$B$7*O896)</f>
        <v/>
      </c>
      <c r="Q896" s="23" t="n">
        <v>-29.3167</v>
      </c>
      <c r="R896" s="23" t="n">
        <v>27.4833</v>
      </c>
    </row>
    <row r="897" ht="15" customHeight="1" s="12">
      <c r="A897" s="18" t="inlineStr">
        <is>
          <t>Kano</t>
        </is>
      </c>
      <c r="B897" s="18" t="inlineStr">
        <is>
          <t>Nigeria</t>
        </is>
      </c>
      <c r="C897" s="19" t="n">
        <v>223800000</v>
      </c>
      <c r="D897" s="18" t="inlineStr">
        <is>
          <t>NG</t>
        </is>
      </c>
      <c r="E897" s="18" t="inlineStr">
        <is>
          <t>29</t>
        </is>
      </c>
      <c r="F897" s="20" t="n">
        <v>3626068</v>
      </c>
      <c r="G897" s="18" t="n"/>
      <c r="H897" s="18" t="inlineStr">
        <is>
          <t>KAN</t>
        </is>
      </c>
      <c r="I897" s="18" t="inlineStr">
        <is>
          <t>Mallam Aminu Kano International Airport</t>
        </is>
      </c>
      <c r="J897" s="21" t="n">
        <v>5.1</v>
      </c>
      <c r="K897" s="18" t="inlineStr">
        <is>
          <t>KAN</t>
        </is>
      </c>
      <c r="L897" s="18" t="inlineStr">
        <is>
          <t>100k +  pop + airport</t>
        </is>
      </c>
      <c r="M897" s="22" t="n">
        <v>0.527</v>
      </c>
      <c r="N897" s="22" t="n">
        <v>0</v>
      </c>
      <c r="O897" s="18" t="n"/>
      <c r="P897" s="22">
        <f>IF(O897="",(About!$B$5*M897+About!$B$6*N897)/(About!$B$5+About!$B$6),About!$B$5*M897+About!$B$6*N897+About!$B$7*O897)</f>
        <v/>
      </c>
      <c r="Q897" s="23" t="n">
        <v>12.0001</v>
      </c>
      <c r="R897" s="23" t="n">
        <v>8.5167</v>
      </c>
    </row>
    <row r="898" ht="15" customHeight="1" s="12">
      <c r="A898" s="18" t="inlineStr">
        <is>
          <t>Yueyang</t>
        </is>
      </c>
      <c r="B898" s="18" t="inlineStr">
        <is>
          <t>China</t>
        </is>
      </c>
      <c r="C898" s="19" t="n">
        <v>1404890000</v>
      </c>
      <c r="D898" s="18" t="inlineStr">
        <is>
          <t>CN</t>
        </is>
      </c>
      <c r="E898" s="18" t="inlineStr">
        <is>
          <t>11</t>
        </is>
      </c>
      <c r="F898" s="20" t="n">
        <v>1200000</v>
      </c>
      <c r="G898" s="18" t="n"/>
      <c r="H898" s="18" t="inlineStr">
        <is>
          <t>YYA</t>
        </is>
      </c>
      <c r="I898" s="18" t="inlineStr">
        <is>
          <t>Yueyang Sanhe Airport</t>
        </is>
      </c>
      <c r="J898" s="21" t="n">
        <v>19.4</v>
      </c>
      <c r="K898" s="18" t="inlineStr">
        <is>
          <t>YYA</t>
        </is>
      </c>
      <c r="L898" s="18" t="inlineStr">
        <is>
          <t>100k +  pop</t>
        </is>
      </c>
      <c r="M898" s="22" t="n">
        <v>0.526</v>
      </c>
      <c r="N898" s="22" t="n">
        <v>0</v>
      </c>
      <c r="O898" s="18" t="n"/>
      <c r="P898" s="22">
        <f>IF(O898="",(About!$B$5*M898+About!$B$6*N898)/(About!$B$5+About!$B$6),About!$B$5*M898+About!$B$6*N898+About!$B$7*O898)</f>
        <v/>
      </c>
      <c r="Q898" s="23" t="n">
        <v>29.3745</v>
      </c>
      <c r="R898" s="23" t="n">
        <v>113.0948</v>
      </c>
    </row>
    <row r="899" ht="15" customHeight="1" s="12">
      <c r="A899" s="18" t="inlineStr">
        <is>
          <t>Monrovia</t>
        </is>
      </c>
      <c r="B899" s="18" t="inlineStr">
        <is>
          <t>Liberia</t>
        </is>
      </c>
      <c r="C899" s="19" t="n">
        <v>5248621</v>
      </c>
      <c r="D899" s="18" t="inlineStr">
        <is>
          <t>LR</t>
        </is>
      </c>
      <c r="E899" s="18" t="inlineStr">
        <is>
          <t>14</t>
        </is>
      </c>
      <c r="F899" s="20" t="n">
        <v>939524</v>
      </c>
      <c r="G899" s="18" t="inlineStr">
        <is>
          <t>Yes</t>
        </is>
      </c>
      <c r="H899" s="18" t="inlineStr">
        <is>
          <t>ROB</t>
        </is>
      </c>
      <c r="I899" s="18" t="inlineStr">
        <is>
          <t>Roberts International Airport</t>
        </is>
      </c>
      <c r="J899" s="21" t="n">
        <v>48.6</v>
      </c>
      <c r="K899" s="18" t="inlineStr">
        <is>
          <t>MLW+ROB</t>
        </is>
      </c>
      <c r="L899" s="18" t="inlineStr">
        <is>
          <t>100k +  pop + capital + airport</t>
        </is>
      </c>
      <c r="M899" s="22" t="n">
        <v>0.526</v>
      </c>
      <c r="N899" s="22" t="n">
        <v>0</v>
      </c>
      <c r="O899" s="18" t="n"/>
      <c r="P899" s="22">
        <f>IF(O899="",(About!$B$5*M899+About!$B$6*N899)/(About!$B$5+About!$B$6),About!$B$5*M899+About!$B$6*N899+About!$B$7*O899)</f>
        <v/>
      </c>
      <c r="Q899" s="23" t="n">
        <v>6.3005</v>
      </c>
      <c r="R899" s="23" t="n">
        <v>-10.7969</v>
      </c>
    </row>
    <row r="900" ht="15" customHeight="1" s="12">
      <c r="A900" s="18" t="inlineStr">
        <is>
          <t>Ardabīl</t>
        </is>
      </c>
      <c r="B900" s="18" t="inlineStr">
        <is>
          <t>Iran</t>
        </is>
      </c>
      <c r="C900" s="19" t="n">
        <v>87134000</v>
      </c>
      <c r="D900" s="18" t="inlineStr">
        <is>
          <t>IR</t>
        </is>
      </c>
      <c r="E900" s="18" t="inlineStr">
        <is>
          <t>32</t>
        </is>
      </c>
      <c r="F900" s="20" t="n">
        <v>410753</v>
      </c>
      <c r="G900" s="18" t="n"/>
      <c r="H900" s="18" t="inlineStr">
        <is>
          <t>ADU</t>
        </is>
      </c>
      <c r="I900" s="18" t="inlineStr">
        <is>
          <t>Ardabil Airport</t>
        </is>
      </c>
      <c r="J900" s="21" t="n">
        <v>14.2</v>
      </c>
      <c r="K900" s="18" t="inlineStr">
        <is>
          <t>ADU</t>
        </is>
      </c>
      <c r="L900" s="18" t="inlineStr">
        <is>
          <t>100k +  pop + airport</t>
        </is>
      </c>
      <c r="M900" s="22" t="n">
        <v>0.525</v>
      </c>
      <c r="N900" s="22" t="n">
        <v>0</v>
      </c>
      <c r="O900" s="18" t="n"/>
      <c r="P900" s="22">
        <f>IF(O900="",(About!$B$5*M900+About!$B$6*N900)/(About!$B$5+About!$B$6),About!$B$5*M900+About!$B$6*N900+About!$B$7*O900)</f>
        <v/>
      </c>
      <c r="Q900" s="23" t="n">
        <v>38.2498</v>
      </c>
      <c r="R900" s="23" t="n">
        <v>48.2933</v>
      </c>
    </row>
    <row r="901" ht="15" customHeight="1" s="12">
      <c r="A901" s="18" t="inlineStr">
        <is>
          <t>Resistencia</t>
        </is>
      </c>
      <c r="B901" s="18" t="inlineStr">
        <is>
          <t>Argentina</t>
        </is>
      </c>
      <c r="C901" s="19" t="n">
        <v>46387098</v>
      </c>
      <c r="D901" s="18" t="inlineStr">
        <is>
          <t>AR</t>
        </is>
      </c>
      <c r="E901" s="18" t="inlineStr">
        <is>
          <t>03</t>
        </is>
      </c>
      <c r="F901" s="20" t="n">
        <v>387158</v>
      </c>
      <c r="G901" s="18" t="n"/>
      <c r="H901" s="18" t="inlineStr">
        <is>
          <t>RES</t>
        </is>
      </c>
      <c r="I901" s="18" t="inlineStr">
        <is>
          <t>Resistencia International Airport</t>
        </is>
      </c>
      <c r="J901" s="21" t="n">
        <v>7.2</v>
      </c>
      <c r="K901" s="18" t="inlineStr">
        <is>
          <t>CNQ+RES</t>
        </is>
      </c>
      <c r="L901" s="18" t="inlineStr">
        <is>
          <t>100k +  pop + airport</t>
        </is>
      </c>
      <c r="M901" s="22" t="n">
        <v>0.527</v>
      </c>
      <c r="N901" s="22" t="n">
        <v>0</v>
      </c>
      <c r="O901" s="18" t="n"/>
      <c r="P901" s="22">
        <f>IF(O901="",(About!$B$5*M901+About!$B$6*N901)/(About!$B$5+About!$B$6),About!$B$5*M901+About!$B$6*N901+About!$B$7*O901)</f>
        <v/>
      </c>
      <c r="Q901" s="23" t="n">
        <v>-27.4606</v>
      </c>
      <c r="R901" s="23" t="n">
        <v>-58.9839</v>
      </c>
    </row>
    <row r="902" ht="15" customHeight="1" s="12">
      <c r="A902" s="18" t="inlineStr">
        <is>
          <t>Krugersdorp</t>
        </is>
      </c>
      <c r="B902" s="18" t="inlineStr">
        <is>
          <t>South Africa</t>
        </is>
      </c>
      <c r="C902" s="19" t="n">
        <v>63100945</v>
      </c>
      <c r="D902" s="18" t="inlineStr">
        <is>
          <t>ZA</t>
        </is>
      </c>
      <c r="E902" s="18" t="inlineStr">
        <is>
          <t>06</t>
        </is>
      </c>
      <c r="F902" s="20" t="n">
        <v>378821</v>
      </c>
      <c r="G902" s="18" t="n"/>
      <c r="H902" s="18" t="inlineStr">
        <is>
          <t>HLA</t>
        </is>
      </c>
      <c r="I902" s="18" t="inlineStr">
        <is>
          <t>Lanseria International Airport</t>
        </is>
      </c>
      <c r="J902" s="21" t="n">
        <v>22.3</v>
      </c>
      <c r="K902" s="18" t="inlineStr">
        <is>
          <t>HLA</t>
        </is>
      </c>
      <c r="L902" s="18" t="inlineStr">
        <is>
          <t>100k +  pop</t>
        </is>
      </c>
      <c r="M902" s="22" t="n">
        <v>0.526</v>
      </c>
      <c r="N902" s="22" t="n">
        <v>0</v>
      </c>
      <c r="O902" s="18" t="n"/>
      <c r="P902" s="22">
        <f>IF(O902="",(About!$B$5*M902+About!$B$6*N902)/(About!$B$5+About!$B$6),About!$B$5*M902+About!$B$6*N902+About!$B$7*O902)</f>
        <v/>
      </c>
      <c r="Q902" s="23" t="n">
        <v>-26.0858</v>
      </c>
      <c r="R902" s="23" t="n">
        <v>27.7752</v>
      </c>
    </row>
    <row r="903" ht="15" customHeight="1" s="12">
      <c r="A903" s="18" t="inlineStr">
        <is>
          <t>Corrientes</t>
        </is>
      </c>
      <c r="B903" s="18" t="inlineStr">
        <is>
          <t>Argentina</t>
        </is>
      </c>
      <c r="C903" s="19" t="n">
        <v>46387098</v>
      </c>
      <c r="D903" s="18" t="inlineStr">
        <is>
          <t>AR</t>
        </is>
      </c>
      <c r="E903" s="18" t="inlineStr">
        <is>
          <t>06</t>
        </is>
      </c>
      <c r="F903" s="20" t="n">
        <v>339067</v>
      </c>
      <c r="G903" s="18" t="n"/>
      <c r="H903" s="18" t="inlineStr">
        <is>
          <t>RES</t>
        </is>
      </c>
      <c r="I903" s="18" t="inlineStr">
        <is>
          <t>Resistencia International Airport</t>
        </is>
      </c>
      <c r="J903" s="21" t="n">
        <v>22</v>
      </c>
      <c r="K903" s="18" t="inlineStr">
        <is>
          <t>CNQ+RES</t>
        </is>
      </c>
      <c r="L903" s="18" t="inlineStr">
        <is>
          <t>100k +  pop + airport</t>
        </is>
      </c>
      <c r="M903" s="22" t="n">
        <v>0.527</v>
      </c>
      <c r="N903" s="22" t="n">
        <v>0</v>
      </c>
      <c r="O903" s="18" t="n"/>
      <c r="P903" s="22">
        <f>IF(O903="",(About!$B$5*M903+About!$B$6*N903)/(About!$B$5+About!$B$6),About!$B$5*M903+About!$B$6*N903+About!$B$7*O903)</f>
        <v/>
      </c>
      <c r="Q903" s="23" t="n">
        <v>-27.4678</v>
      </c>
      <c r="R903" s="23" t="n">
        <v>-58.8344</v>
      </c>
    </row>
    <row r="904" ht="15" customHeight="1" s="12">
      <c r="A904" s="18" t="inlineStr">
        <is>
          <t>Randburg</t>
        </is>
      </c>
      <c r="B904" s="18" t="inlineStr">
        <is>
          <t>South Africa</t>
        </is>
      </c>
      <c r="C904" s="19" t="n">
        <v>63100945</v>
      </c>
      <c r="D904" s="18" t="inlineStr">
        <is>
          <t>ZA</t>
        </is>
      </c>
      <c r="E904" s="18" t="inlineStr">
        <is>
          <t>06</t>
        </is>
      </c>
      <c r="F904" s="20" t="n">
        <v>337053</v>
      </c>
      <c r="G904" s="18" t="n"/>
      <c r="H904" s="18" t="inlineStr">
        <is>
          <t>HLA</t>
        </is>
      </c>
      <c r="I904" s="18" t="inlineStr">
        <is>
          <t>Lanseria International Airport</t>
        </is>
      </c>
      <c r="J904" s="21" t="n">
        <v>18.8</v>
      </c>
      <c r="K904" s="18" t="inlineStr">
        <is>
          <t>HLA</t>
        </is>
      </c>
      <c r="L904" s="18" t="inlineStr">
        <is>
          <t>100k +  pop</t>
        </is>
      </c>
      <c r="M904" s="22" t="n">
        <v>0.526</v>
      </c>
      <c r="N904" s="22" t="n">
        <v>0</v>
      </c>
      <c r="O904" s="18" t="n"/>
      <c r="P904" s="22">
        <f>IF(O904="",(About!$B$5*M904+About!$B$6*N904)/(About!$B$5+About!$B$6),About!$B$5*M904+About!$B$6*N904+About!$B$7*O904)</f>
        <v/>
      </c>
      <c r="Q904" s="23" t="n">
        <v>-26.0941</v>
      </c>
      <c r="R904" s="23" t="n">
        <v>28.0012</v>
      </c>
    </row>
    <row r="905" ht="15" customHeight="1" s="12">
      <c r="A905" s="18" t="inlineStr">
        <is>
          <t>Banda Aceh</t>
        </is>
      </c>
      <c r="B905" s="18" t="inlineStr">
        <is>
          <t>Indonesia</t>
        </is>
      </c>
      <c r="C905" s="19" t="n">
        <v>288315089</v>
      </c>
      <c r="D905" s="18" t="inlineStr">
        <is>
          <t>ID</t>
        </is>
      </c>
      <c r="E905" s="18" t="inlineStr">
        <is>
          <t>01</t>
        </is>
      </c>
      <c r="F905" s="20" t="n">
        <v>250757</v>
      </c>
      <c r="G905" s="18" t="n"/>
      <c r="H905" s="18" t="inlineStr">
        <is>
          <t>BTJ</t>
        </is>
      </c>
      <c r="I905" s="18" t="inlineStr">
        <is>
          <t>Sultan Iskandar Muda International Airport</t>
        </is>
      </c>
      <c r="J905" s="21" t="n">
        <v>9.800000000000001</v>
      </c>
      <c r="K905" s="18" t="inlineStr">
        <is>
          <t>BTJ</t>
        </is>
      </c>
      <c r="L905" s="18" t="inlineStr">
        <is>
          <t>100k +  pop + airport</t>
        </is>
      </c>
      <c r="M905" s="22" t="n">
        <v>0.525</v>
      </c>
      <c r="N905" s="22" t="n">
        <v>0</v>
      </c>
      <c r="O905" s="18" t="n"/>
      <c r="P905" s="22">
        <f>IF(O905="",(About!$B$5*M905+About!$B$6*N905)/(About!$B$5+About!$B$6),About!$B$5*M905+About!$B$6*N905+About!$B$7*O905)</f>
        <v/>
      </c>
      <c r="Q905" s="23" t="n">
        <v>5.5417</v>
      </c>
      <c r="R905" s="23" t="n">
        <v>95.33329999999999</v>
      </c>
    </row>
    <row r="906" ht="15" customHeight="1" s="12">
      <c r="A906" s="18" t="inlineStr">
        <is>
          <t>Messina</t>
        </is>
      </c>
      <c r="B906" s="18" t="inlineStr">
        <is>
          <t>Italy</t>
        </is>
      </c>
      <c r="C906" s="19" t="n">
        <v>58932330</v>
      </c>
      <c r="D906" s="18" t="inlineStr">
        <is>
          <t>IT</t>
        </is>
      </c>
      <c r="E906" s="18" t="inlineStr">
        <is>
          <t>15</t>
        </is>
      </c>
      <c r="F906" s="20" t="n">
        <v>389088</v>
      </c>
      <c r="G906" s="18" t="n"/>
      <c r="H906" s="18" t="inlineStr">
        <is>
          <t>REG</t>
        </is>
      </c>
      <c r="I906" s="18" t="inlineStr">
        <is>
          <t>Reggio Calabria Airport</t>
        </is>
      </c>
      <c r="J906" s="21" t="n">
        <v>16.2</v>
      </c>
      <c r="K906" s="18" t="inlineStr">
        <is>
          <t>REG</t>
        </is>
      </c>
      <c r="L906" s="18" t="inlineStr">
        <is>
          <t>100k +  pop</t>
        </is>
      </c>
      <c r="M906" s="22" t="n">
        <v>0.526</v>
      </c>
      <c r="N906" s="22" t="n">
        <v>0</v>
      </c>
      <c r="O906" s="18" t="n"/>
      <c r="P906" s="22">
        <f>IF(O906="",(About!$B$5*M906+About!$B$6*N906)/(About!$B$5+About!$B$6),About!$B$5*M906+About!$B$6*N906+About!$B$7*O906)</f>
        <v/>
      </c>
      <c r="Q906" s="23" t="n">
        <v>38.1939</v>
      </c>
      <c r="R906" s="23" t="n">
        <v>15.5526</v>
      </c>
    </row>
    <row r="907" ht="15" customHeight="1" s="12">
      <c r="A907" s="18" t="inlineStr">
        <is>
          <t>Dehiwala-Mount Lavinia</t>
        </is>
      </c>
      <c r="B907" s="18" t="inlineStr">
        <is>
          <t>Sri Lanka</t>
        </is>
      </c>
      <c r="C907" s="19" t="n">
        <v>21781800</v>
      </c>
      <c r="D907" s="18" t="inlineStr">
        <is>
          <t>LK</t>
        </is>
      </c>
      <c r="E907" s="18" t="inlineStr">
        <is>
          <t>36</t>
        </is>
      </c>
      <c r="F907" s="20" t="n">
        <v>219827</v>
      </c>
      <c r="G907" s="18" t="n"/>
      <c r="H907" s="18" t="inlineStr">
        <is>
          <t>RML</t>
        </is>
      </c>
      <c r="I907" s="18" t="inlineStr">
        <is>
          <t>Colombo Ratmalana International Airport</t>
        </is>
      </c>
      <c r="J907" s="21" t="n">
        <v>2.6</v>
      </c>
      <c r="K907" s="18" t="inlineStr">
        <is>
          <t>DWO+RML</t>
        </is>
      </c>
      <c r="L907" s="18" t="inlineStr">
        <is>
          <t>100k +  pop + airport</t>
        </is>
      </c>
      <c r="M907" s="22" t="n">
        <v>0.525</v>
      </c>
      <c r="N907" s="22" t="n">
        <v>0</v>
      </c>
      <c r="O907" s="18" t="n"/>
      <c r="P907" s="22">
        <f>IF(O907="",(About!$B$5*M907+About!$B$6*N907)/(About!$B$5+About!$B$6),About!$B$5*M907+About!$B$6*N907+About!$B$7*O907)</f>
        <v/>
      </c>
      <c r="Q907" s="23" t="n">
        <v>6.8402</v>
      </c>
      <c r="R907" s="23" t="n">
        <v>79.8712</v>
      </c>
    </row>
    <row r="908" ht="15" customHeight="1" s="12">
      <c r="A908" s="18" t="inlineStr">
        <is>
          <t>Antakya</t>
        </is>
      </c>
      <c r="B908" s="18" t="inlineStr">
        <is>
          <t>Türkiye</t>
        </is>
      </c>
      <c r="C908" s="19" t="n">
        <v>86092168</v>
      </c>
      <c r="D908" s="18" t="inlineStr">
        <is>
          <t>TR</t>
        </is>
      </c>
      <c r="E908" s="18" t="inlineStr">
        <is>
          <t>31</t>
        </is>
      </c>
      <c r="F908" s="20" t="n">
        <v>210000</v>
      </c>
      <c r="G908" s="18" t="n"/>
      <c r="H908" s="18" t="inlineStr">
        <is>
          <t>HTY</t>
        </is>
      </c>
      <c r="I908" s="18" t="inlineStr">
        <is>
          <t>Hatay Airport</t>
        </is>
      </c>
      <c r="J908" s="21" t="n">
        <v>20.7</v>
      </c>
      <c r="K908" s="18" t="inlineStr">
        <is>
          <t>HTY</t>
        </is>
      </c>
      <c r="L908" s="18" t="inlineStr">
        <is>
          <t>100k +  pop + airport</t>
        </is>
      </c>
      <c r="M908" s="22" t="n">
        <v>0.526</v>
      </c>
      <c r="N908" s="22" t="n">
        <v>0</v>
      </c>
      <c r="O908" s="18" t="n"/>
      <c r="P908" s="22">
        <f>IF(O908="",(About!$B$5*M908+About!$B$6*N908)/(About!$B$5+About!$B$6),About!$B$5*M908+About!$B$6*N908+About!$B$7*O908)</f>
        <v/>
      </c>
      <c r="Q908" s="23" t="n">
        <v>36.2066</v>
      </c>
      <c r="R908" s="23" t="n">
        <v>36.1572</v>
      </c>
    </row>
    <row r="909" ht="15" customHeight="1" s="12">
      <c r="A909" s="18" t="inlineStr">
        <is>
          <t>Moratuwa</t>
        </is>
      </c>
      <c r="B909" s="18" t="inlineStr">
        <is>
          <t>Sri Lanka</t>
        </is>
      </c>
      <c r="C909" s="19" t="n">
        <v>21781800</v>
      </c>
      <c r="D909" s="18" t="inlineStr">
        <is>
          <t>LK</t>
        </is>
      </c>
      <c r="E909" s="18" t="inlineStr">
        <is>
          <t>36</t>
        </is>
      </c>
      <c r="F909" s="20" t="n">
        <v>185031</v>
      </c>
      <c r="G909" s="18" t="n"/>
      <c r="H909" s="18" t="inlineStr">
        <is>
          <t>RML</t>
        </is>
      </c>
      <c r="I909" s="18" t="inlineStr">
        <is>
          <t>Colombo Ratmalana International Airport</t>
        </is>
      </c>
      <c r="J909" s="21" t="n">
        <v>5.4</v>
      </c>
      <c r="K909" s="18" t="inlineStr">
        <is>
          <t>DWO+RML</t>
        </is>
      </c>
      <c r="L909" s="18" t="inlineStr">
        <is>
          <t>100k +  pop + airport</t>
        </is>
      </c>
      <c r="M909" s="22" t="n">
        <v>0.525</v>
      </c>
      <c r="N909" s="22" t="n">
        <v>0</v>
      </c>
      <c r="O909" s="18" t="n"/>
      <c r="P909" s="22">
        <f>IF(O909="",(About!$B$5*M909+About!$B$6*N909)/(About!$B$5+About!$B$6),About!$B$5*M909+About!$B$6*N909+About!$B$7*O909)</f>
        <v/>
      </c>
      <c r="Q909" s="23" t="n">
        <v>6.773</v>
      </c>
      <c r="R909" s="23" t="n">
        <v>79.88160000000001</v>
      </c>
    </row>
    <row r="910" ht="15" customHeight="1" s="12">
      <c r="A910" s="18" t="inlineStr">
        <is>
          <t>Malabo</t>
        </is>
      </c>
      <c r="B910" s="18" t="inlineStr">
        <is>
          <t>Equatorial Guinea</t>
        </is>
      </c>
      <c r="C910" s="19" t="n">
        <v>1668768</v>
      </c>
      <c r="D910" s="18" t="inlineStr">
        <is>
          <t>GQ</t>
        </is>
      </c>
      <c r="E910" s="18" t="inlineStr">
        <is>
          <t>04</t>
        </is>
      </c>
      <c r="F910" s="20" t="n">
        <v>155963</v>
      </c>
      <c r="G910" s="18" t="inlineStr">
        <is>
          <t>Yes</t>
        </is>
      </c>
      <c r="H910" s="18" t="inlineStr">
        <is>
          <t>SSG</t>
        </is>
      </c>
      <c r="I910" s="18" t="inlineStr">
        <is>
          <t>Malabo International Airport</t>
        </is>
      </c>
      <c r="J910" s="21" t="n">
        <v>8.1</v>
      </c>
      <c r="K910" s="18" t="inlineStr">
        <is>
          <t>SSG</t>
        </is>
      </c>
      <c r="L910" s="18" t="inlineStr">
        <is>
          <t>100k +  pop + capital + airport</t>
        </is>
      </c>
      <c r="M910" s="22" t="n">
        <v>0.527</v>
      </c>
      <c r="N910" s="22" t="n">
        <v>0</v>
      </c>
      <c r="O910" s="18" t="n"/>
      <c r="P910" s="22">
        <f>IF(O910="",(About!$B$5*M910+About!$B$6*N910)/(About!$B$5+About!$B$6),About!$B$5*M910+About!$B$6*N910+About!$B$7*O910)</f>
        <v/>
      </c>
      <c r="Q910" s="23" t="n">
        <v>3.7558</v>
      </c>
      <c r="R910" s="23" t="n">
        <v>8.781700000000001</v>
      </c>
    </row>
    <row r="911" ht="15" customHeight="1" s="12">
      <c r="A911" s="18" t="inlineStr">
        <is>
          <t>Altay</t>
        </is>
      </c>
      <c r="B911" s="18" t="inlineStr">
        <is>
          <t>China</t>
        </is>
      </c>
      <c r="C911" s="19" t="n">
        <v>1404890000</v>
      </c>
      <c r="D911" s="18" t="inlineStr">
        <is>
          <t>CN</t>
        </is>
      </c>
      <c r="E911" s="18" t="inlineStr">
        <is>
          <t>13</t>
        </is>
      </c>
      <c r="F911" s="20" t="n">
        <v>139341</v>
      </c>
      <c r="G911" s="18" t="n"/>
      <c r="H911" s="18" t="inlineStr">
        <is>
          <t>AAT</t>
        </is>
      </c>
      <c r="I911" s="18" t="inlineStr">
        <is>
          <t>Altay Xuedu Airport</t>
        </is>
      </c>
      <c r="J911" s="21" t="n">
        <v>11.5</v>
      </c>
      <c r="K911" s="18" t="inlineStr">
        <is>
          <t>AAT</t>
        </is>
      </c>
      <c r="L911" s="18" t="inlineStr">
        <is>
          <t>100k +  pop + airport</t>
        </is>
      </c>
      <c r="M911" s="22" t="n">
        <v>0.525</v>
      </c>
      <c r="N911" s="22" t="n">
        <v>0</v>
      </c>
      <c r="O911" s="18" t="n"/>
      <c r="P911" s="22">
        <f>IF(O911="",(About!$B$5*M911+About!$B$6*N911)/(About!$B$5+About!$B$6),About!$B$5*M911+About!$B$6*N911+About!$B$7*O911)</f>
        <v/>
      </c>
      <c r="Q911" s="23" t="n">
        <v>47.8486</v>
      </c>
      <c r="R911" s="23" t="n">
        <v>88.1336</v>
      </c>
    </row>
    <row r="912" ht="15" customHeight="1" s="12">
      <c r="A912" s="18" t="inlineStr">
        <is>
          <t>Salerno</t>
        </is>
      </c>
      <c r="B912" s="18" t="inlineStr">
        <is>
          <t>Italy</t>
        </is>
      </c>
      <c r="C912" s="19" t="n">
        <v>58932330</v>
      </c>
      <c r="D912" s="18" t="inlineStr">
        <is>
          <t>IT</t>
        </is>
      </c>
      <c r="E912" s="18" t="inlineStr">
        <is>
          <t>04</t>
        </is>
      </c>
      <c r="F912" s="20" t="n">
        <v>172901</v>
      </c>
      <c r="G912" s="18" t="n"/>
      <c r="H912" s="18" t="inlineStr">
        <is>
          <t>QSR</t>
        </is>
      </c>
      <c r="I912" s="18" t="inlineStr">
        <is>
          <t>Salerno Costa d'Amalfi Airport</t>
        </is>
      </c>
      <c r="J912" s="21" t="n">
        <v>11.7</v>
      </c>
      <c r="K912" s="18" t="inlineStr">
        <is>
          <t>QSR</t>
        </is>
      </c>
      <c r="L912" s="18" t="inlineStr">
        <is>
          <t>100k +  pop + airport</t>
        </is>
      </c>
      <c r="M912" s="22" t="n">
        <v>0.527</v>
      </c>
      <c r="N912" s="22" t="n">
        <v>0</v>
      </c>
      <c r="O912" s="18" t="n"/>
      <c r="P912" s="22">
        <f>IF(O912="",(About!$B$5*M912+About!$B$6*N912)/(About!$B$5+About!$B$6),About!$B$5*M912+About!$B$6*N912+About!$B$7*O912)</f>
        <v/>
      </c>
      <c r="Q912" s="23" t="n">
        <v>40.6754</v>
      </c>
      <c r="R912" s="23" t="n">
        <v>14.7933</v>
      </c>
    </row>
    <row r="913" ht="15" customHeight="1" s="12">
      <c r="A913" s="18" t="inlineStr">
        <is>
          <t>Douglas</t>
        </is>
      </c>
      <c r="B913" s="18" t="inlineStr">
        <is>
          <t>Isle of Man</t>
        </is>
      </c>
      <c r="C913" s="19" t="n">
        <v>84975</v>
      </c>
      <c r="D913" s="18" t="inlineStr">
        <is>
          <t>IM</t>
        </is>
      </c>
      <c r="E913" s="18" t="inlineStr">
        <is>
          <t>9782170</t>
        </is>
      </c>
      <c r="F913" s="20" t="n">
        <v>26218</v>
      </c>
      <c r="G913" s="18" t="inlineStr">
        <is>
          <t>Yes</t>
        </is>
      </c>
      <c r="H913" s="18" t="inlineStr">
        <is>
          <t>IOM</t>
        </is>
      </c>
      <c r="I913" s="18" t="inlineStr">
        <is>
          <t>Isle of Man Airport</t>
        </is>
      </c>
      <c r="J913" s="21" t="n">
        <v>11.8</v>
      </c>
      <c r="K913" s="18" t="inlineStr">
        <is>
          <t>IOM</t>
        </is>
      </c>
      <c r="L913" s="18" t="inlineStr">
        <is>
          <t>capital</t>
        </is>
      </c>
      <c r="M913" s="22" t="n">
        <v>0.526</v>
      </c>
      <c r="N913" s="22" t="n">
        <v>0</v>
      </c>
      <c r="O913" s="18" t="n"/>
      <c r="P913" s="22">
        <f>IF(O913="",(About!$B$5*M913+About!$B$6*N913)/(About!$B$5+About!$B$6),About!$B$5*M913+About!$B$6*N913+About!$B$7*O913)</f>
        <v/>
      </c>
      <c r="Q913" s="23" t="n">
        <v>54.15</v>
      </c>
      <c r="R913" s="23" t="n">
        <v>-4.4833</v>
      </c>
    </row>
    <row r="914" ht="15" customHeight="1" s="12">
      <c r="A914" s="18" t="inlineStr">
        <is>
          <t>Quetta</t>
        </is>
      </c>
      <c r="B914" s="18" t="inlineStr">
        <is>
          <t>Pakistan</t>
        </is>
      </c>
      <c r="C914" s="19" t="n">
        <v>241499431</v>
      </c>
      <c r="D914" s="18" t="inlineStr">
        <is>
          <t>PK</t>
        </is>
      </c>
      <c r="E914" s="18" t="inlineStr">
        <is>
          <t>02</t>
        </is>
      </c>
      <c r="F914" s="20" t="n">
        <v>733675</v>
      </c>
      <c r="G914" s="18" t="n"/>
      <c r="H914" s="18" t="inlineStr">
        <is>
          <t>UET</t>
        </is>
      </c>
      <c r="I914" s="18" t="inlineStr">
        <is>
          <t>Quetta International Airport</t>
        </is>
      </c>
      <c r="J914" s="21" t="n">
        <v>9.699999999999999</v>
      </c>
      <c r="K914" s="18" t="inlineStr">
        <is>
          <t>UET</t>
        </is>
      </c>
      <c r="L914" s="18" t="inlineStr">
        <is>
          <t>100k +  pop + airport</t>
        </is>
      </c>
      <c r="M914" s="22" t="n">
        <v>0.523</v>
      </c>
      <c r="N914" s="22" t="n">
        <v>0</v>
      </c>
      <c r="O914" s="18" t="n"/>
      <c r="P914" s="22">
        <f>IF(O914="",(About!$B$5*M914+About!$B$6*N914)/(About!$B$5+About!$B$6),About!$B$5*M914+About!$B$6*N914+About!$B$7*O914)</f>
        <v/>
      </c>
      <c r="Q914" s="23" t="n">
        <v>30.1841</v>
      </c>
      <c r="R914" s="23" t="n">
        <v>67.0014</v>
      </c>
    </row>
    <row r="915" ht="15" customHeight="1" s="12">
      <c r="A915" s="18" t="inlineStr">
        <is>
          <t>Garoua</t>
        </is>
      </c>
      <c r="B915" s="18" t="inlineStr">
        <is>
          <t>Cameroon</t>
        </is>
      </c>
      <c r="C915" s="19" t="n">
        <v>29442327</v>
      </c>
      <c r="D915" s="18" t="inlineStr">
        <is>
          <t>CM</t>
        </is>
      </c>
      <c r="E915" s="18" t="inlineStr">
        <is>
          <t>13</t>
        </is>
      </c>
      <c r="F915" s="20" t="n">
        <v>436899</v>
      </c>
      <c r="G915" s="18" t="n"/>
      <c r="H915" s="18" t="inlineStr">
        <is>
          <t>GOU</t>
        </is>
      </c>
      <c r="I915" s="18" t="inlineStr">
        <is>
          <t>Garoua International Airport</t>
        </is>
      </c>
      <c r="J915" s="21" t="n">
        <v>4.7</v>
      </c>
      <c r="K915" s="18" t="inlineStr">
        <is>
          <t>GOU</t>
        </is>
      </c>
      <c r="L915" s="18" t="inlineStr">
        <is>
          <t>100k +  pop + airport</t>
        </is>
      </c>
      <c r="M915" s="22" t="n">
        <v>0.525</v>
      </c>
      <c r="N915" s="22" t="n">
        <v>0</v>
      </c>
      <c r="O915" s="18" t="n"/>
      <c r="P915" s="22">
        <f>IF(O915="",(About!$B$5*M915+About!$B$6*N915)/(About!$B$5+About!$B$6),About!$B$5*M915+About!$B$6*N915+About!$B$7*O915)</f>
        <v/>
      </c>
      <c r="Q915" s="23" t="n">
        <v>9.301399999999999</v>
      </c>
      <c r="R915" s="23" t="n">
        <v>13.3977</v>
      </c>
    </row>
    <row r="916" ht="15" customHeight="1" s="12">
      <c r="A916" s="18" t="inlineStr">
        <is>
          <t>Rayong</t>
        </is>
      </c>
      <c r="B916" s="18" t="inlineStr">
        <is>
          <t>Thailand</t>
        </is>
      </c>
      <c r="C916" s="19" t="n">
        <v>65826149</v>
      </c>
      <c r="D916" s="18" t="inlineStr">
        <is>
          <t>TH</t>
        </is>
      </c>
      <c r="E916" s="18" t="inlineStr">
        <is>
          <t>47</t>
        </is>
      </c>
      <c r="F916" s="20" t="n">
        <v>106737</v>
      </c>
      <c r="G916" s="18" t="n"/>
      <c r="H916" s="18" t="inlineStr">
        <is>
          <t>UTP</t>
        </is>
      </c>
      <c r="I916" s="18" t="inlineStr">
        <is>
          <t>U-Tapao–Rayong–Pattaya International Airport</t>
        </is>
      </c>
      <c r="J916" s="21" t="n">
        <v>27.4</v>
      </c>
      <c r="K916" s="18" t="inlineStr">
        <is>
          <t>UTP</t>
        </is>
      </c>
      <c r="L916" s="18" t="inlineStr">
        <is>
          <t>100k +  pop + airport</t>
        </is>
      </c>
      <c r="M916" s="22" t="n">
        <v>0.523</v>
      </c>
      <c r="N916" s="22" t="n">
        <v>0</v>
      </c>
      <c r="O916" s="18" t="n"/>
      <c r="P916" s="22">
        <f>IF(O916="",(About!$B$5*M916+About!$B$6*N916)/(About!$B$5+About!$B$6),About!$B$5*M916+About!$B$6*N916+About!$B$7*O916)</f>
        <v/>
      </c>
      <c r="Q916" s="23" t="n">
        <v>12.6809</v>
      </c>
      <c r="R916" s="23" t="n">
        <v>101.258</v>
      </c>
    </row>
    <row r="917" ht="15" customHeight="1" s="12">
      <c r="A917" s="18" t="inlineStr">
        <is>
          <t>Maun</t>
        </is>
      </c>
      <c r="B917" s="18" t="inlineStr">
        <is>
          <t>Botswana</t>
        </is>
      </c>
      <c r="C917" s="19" t="n">
        <v>2359609</v>
      </c>
      <c r="D917" s="18" t="inlineStr">
        <is>
          <t>BW</t>
        </is>
      </c>
      <c r="E917" s="18" t="inlineStr">
        <is>
          <t>11</t>
        </is>
      </c>
      <c r="F917" s="20" t="n">
        <v>49945</v>
      </c>
      <c r="G917" s="18" t="n"/>
      <c r="H917" s="18" t="inlineStr">
        <is>
          <t>MUB</t>
        </is>
      </c>
      <c r="I917" s="18" t="inlineStr">
        <is>
          <t>Maun International Airport</t>
        </is>
      </c>
      <c r="J917" s="21" t="n">
        <v>2.1</v>
      </c>
      <c r="K917" s="18" t="inlineStr">
        <is>
          <t>MUB</t>
        </is>
      </c>
      <c r="L917" s="18" t="inlineStr">
        <is>
          <t>airport</t>
        </is>
      </c>
      <c r="M917" s="22" t="n">
        <v>0.524</v>
      </c>
      <c r="N917" s="22" t="n">
        <v>0</v>
      </c>
      <c r="O917" s="18" t="n"/>
      <c r="P917" s="22">
        <f>IF(O917="",(About!$B$5*M917+About!$B$6*N917)/(About!$B$5+About!$B$6),About!$B$5*M917+About!$B$6*N917+About!$B$7*O917)</f>
        <v/>
      </c>
      <c r="Q917" s="23" t="n">
        <v>-19.9833</v>
      </c>
      <c r="R917" s="23" t="n">
        <v>23.4167</v>
      </c>
    </row>
    <row r="918" ht="15" customHeight="1" s="12">
      <c r="A918" s="18" t="inlineStr">
        <is>
          <t>Puebla</t>
        </is>
      </c>
      <c r="B918" s="18" t="inlineStr">
        <is>
          <t>Mexico</t>
        </is>
      </c>
      <c r="C918" s="19" t="n">
        <v>131150866</v>
      </c>
      <c r="D918" s="18" t="inlineStr">
        <is>
          <t>MX</t>
        </is>
      </c>
      <c r="E918" s="18" t="inlineStr">
        <is>
          <t>21</t>
        </is>
      </c>
      <c r="F918" s="20" t="n">
        <v>1434062</v>
      </c>
      <c r="G918" s="18" t="n"/>
      <c r="H918" s="18" t="inlineStr">
        <is>
          <t>PBC</t>
        </is>
      </c>
      <c r="I918" s="18" t="inlineStr">
        <is>
          <t>Hermanos Serdán International Airport</t>
        </is>
      </c>
      <c r="J918" s="21" t="n">
        <v>22.2</v>
      </c>
      <c r="K918" s="18" t="inlineStr">
        <is>
          <t>PBC</t>
        </is>
      </c>
      <c r="L918" s="18" t="inlineStr">
        <is>
          <t>100k +  pop + airport</t>
        </is>
      </c>
      <c r="M918" s="22" t="n">
        <v>0.522</v>
      </c>
      <c r="N918" s="22" t="n">
        <v>0</v>
      </c>
      <c r="O918" s="18" t="n"/>
      <c r="P918" s="22">
        <f>IF(O918="",(About!$B$5*M918+About!$B$6*N918)/(About!$B$5+About!$B$6),About!$B$5*M918+About!$B$6*N918+About!$B$7*O918)</f>
        <v/>
      </c>
      <c r="Q918" s="23" t="n">
        <v>19.0379</v>
      </c>
      <c r="R918" s="23" t="n">
        <v>-98.20350000000001</v>
      </c>
    </row>
    <row r="919" ht="15" customHeight="1" s="12">
      <c r="A919" s="18" t="inlineStr">
        <is>
          <t>Freetown</t>
        </is>
      </c>
      <c r="B919" s="18" t="inlineStr">
        <is>
          <t>Sierra Leone</t>
        </is>
      </c>
      <c r="C919" s="19" t="n">
        <v>9077691</v>
      </c>
      <c r="D919" s="18" t="inlineStr">
        <is>
          <t>SL</t>
        </is>
      </c>
      <c r="E919" s="18" t="inlineStr">
        <is>
          <t>04</t>
        </is>
      </c>
      <c r="F919" s="20" t="n">
        <v>802639</v>
      </c>
      <c r="G919" s="18" t="inlineStr">
        <is>
          <t>Yes</t>
        </is>
      </c>
      <c r="H919" s="18" t="inlineStr">
        <is>
          <t>FNA</t>
        </is>
      </c>
      <c r="I919" s="18" t="inlineStr">
        <is>
          <t>Lungi International Airport</t>
        </is>
      </c>
      <c r="J919" s="21" t="n">
        <v>15</v>
      </c>
      <c r="K919" s="18" t="inlineStr">
        <is>
          <t>FNA</t>
        </is>
      </c>
      <c r="L919" s="18" t="inlineStr">
        <is>
          <t>100k +  pop + capital</t>
        </is>
      </c>
      <c r="M919" s="22" t="n">
        <v>0.522</v>
      </c>
      <c r="N919" s="22" t="n">
        <v>0</v>
      </c>
      <c r="O919" s="18" t="n"/>
      <c r="P919" s="22">
        <f>IF(O919="",(About!$B$5*M919+About!$B$6*N919)/(About!$B$5+About!$B$6),About!$B$5*M919+About!$B$6*N919+About!$B$7*O919)</f>
        <v/>
      </c>
      <c r="Q919" s="23" t="n">
        <v>8.4871</v>
      </c>
      <c r="R919" s="23" t="n">
        <v>-13.2356</v>
      </c>
    </row>
    <row r="920" ht="15" customHeight="1" s="12">
      <c r="A920" s="18" t="inlineStr">
        <is>
          <t>San Miguel de Tucumán</t>
        </is>
      </c>
      <c r="B920" s="18" t="inlineStr">
        <is>
          <t>Argentina</t>
        </is>
      </c>
      <c r="C920" s="19" t="n">
        <v>46387098</v>
      </c>
      <c r="D920" s="18" t="inlineStr">
        <is>
          <t>AR</t>
        </is>
      </c>
      <c r="E920" s="18" t="inlineStr">
        <is>
          <t>24</t>
        </is>
      </c>
      <c r="F920" s="20" t="n">
        <v>781023</v>
      </c>
      <c r="G920" s="18" t="n"/>
      <c r="H920" s="18" t="inlineStr">
        <is>
          <t>TUC</t>
        </is>
      </c>
      <c r="I920" s="18" t="inlineStr">
        <is>
          <t>Teniente Benjamín Matienzo International Airport</t>
        </is>
      </c>
      <c r="J920" s="21" t="n">
        <v>11.8</v>
      </c>
      <c r="K920" s="18" t="inlineStr">
        <is>
          <t>TUC</t>
        </is>
      </c>
      <c r="L920" s="18" t="inlineStr">
        <is>
          <t>100k +  pop + airport</t>
        </is>
      </c>
      <c r="M920" s="22" t="n">
        <v>0.521</v>
      </c>
      <c r="N920" s="22" t="n">
        <v>0</v>
      </c>
      <c r="O920" s="18" t="n"/>
      <c r="P920" s="22">
        <f>IF(O920="",(About!$B$5*M920+About!$B$6*N920)/(About!$B$5+About!$B$6),About!$B$5*M920+About!$B$6*N920+About!$B$7*O920)</f>
        <v/>
      </c>
      <c r="Q920" s="23" t="n">
        <v>-26.8241</v>
      </c>
      <c r="R920" s="23" t="n">
        <v>-65.2226</v>
      </c>
    </row>
    <row r="921" ht="15" customHeight="1" s="12">
      <c r="A921" s="18" t="inlineStr">
        <is>
          <t>Zahedan</t>
        </is>
      </c>
      <c r="B921" s="18" t="inlineStr">
        <is>
          <t>Iran</t>
        </is>
      </c>
      <c r="C921" s="19" t="n">
        <v>87134000</v>
      </c>
      <c r="D921" s="18" t="inlineStr">
        <is>
          <t>IR</t>
        </is>
      </c>
      <c r="E921" s="18" t="inlineStr">
        <is>
          <t>04</t>
        </is>
      </c>
      <c r="F921" s="20" t="n">
        <v>551980</v>
      </c>
      <c r="G921" s="18" t="n"/>
      <c r="H921" s="18" t="inlineStr">
        <is>
          <t>ZAH</t>
        </is>
      </c>
      <c r="I921" s="18" t="inlineStr">
        <is>
          <t>Zahedan International Airport</t>
        </is>
      </c>
      <c r="J921" s="21" t="n">
        <v>4.8</v>
      </c>
      <c r="K921" s="18" t="inlineStr">
        <is>
          <t>ZAH</t>
        </is>
      </c>
      <c r="L921" s="18" t="inlineStr">
        <is>
          <t>100k +  pop + airport</t>
        </is>
      </c>
      <c r="M921" s="22" t="n">
        <v>0.523</v>
      </c>
      <c r="N921" s="22" t="n">
        <v>0</v>
      </c>
      <c r="O921" s="18" t="n"/>
      <c r="P921" s="22">
        <f>IF(O921="",(About!$B$5*M921+About!$B$6*N921)/(About!$B$5+About!$B$6),About!$B$5*M921+About!$B$6*N921+About!$B$7*O921)</f>
        <v/>
      </c>
      <c r="Q921" s="23" t="n">
        <v>29.4963</v>
      </c>
      <c r="R921" s="23" t="n">
        <v>60.8629</v>
      </c>
    </row>
    <row r="922" ht="15" customHeight="1" s="12">
      <c r="A922" s="18" t="inlineStr">
        <is>
          <t>Tuxtla</t>
        </is>
      </c>
      <c r="B922" s="18" t="inlineStr">
        <is>
          <t>Mexico</t>
        </is>
      </c>
      <c r="C922" s="19" t="n">
        <v>131150866</v>
      </c>
      <c r="D922" s="18" t="inlineStr">
        <is>
          <t>MX</t>
        </is>
      </c>
      <c r="E922" s="18" t="inlineStr">
        <is>
          <t>05</t>
        </is>
      </c>
      <c r="F922" s="20" t="n">
        <v>537102</v>
      </c>
      <c r="G922" s="18" t="n"/>
      <c r="H922" s="18" t="inlineStr">
        <is>
          <t>TGZ</t>
        </is>
      </c>
      <c r="I922" s="18" t="inlineStr">
        <is>
          <t>Angel Albino Corzo International Airport</t>
        </is>
      </c>
      <c r="J922" s="21" t="n">
        <v>23.9</v>
      </c>
      <c r="K922" s="18" t="inlineStr">
        <is>
          <t>TGZ</t>
        </is>
      </c>
      <c r="L922" s="18" t="inlineStr">
        <is>
          <t>100k +  pop</t>
        </is>
      </c>
      <c r="M922" s="22" t="n">
        <v>0.522</v>
      </c>
      <c r="N922" s="22" t="n">
        <v>0</v>
      </c>
      <c r="O922" s="18" t="n"/>
      <c r="P922" s="22">
        <f>IF(O922="",(About!$B$5*M922+About!$B$6*N922)/(About!$B$5+About!$B$6),About!$B$5*M922+About!$B$6*N922+About!$B$7*O922)</f>
        <v/>
      </c>
      <c r="Q922" s="23" t="n">
        <v>16.7597</v>
      </c>
      <c r="R922" s="23" t="n">
        <v>-93.1131</v>
      </c>
    </row>
    <row r="923" ht="15" customHeight="1" s="12">
      <c r="A923" s="18" t="inlineStr">
        <is>
          <t>Cox’s Bāzār</t>
        </is>
      </c>
      <c r="B923" s="18" t="inlineStr">
        <is>
          <t>Bangladesh</t>
        </is>
      </c>
      <c r="C923" s="19" t="n">
        <v>169828911</v>
      </c>
      <c r="D923" s="18" t="inlineStr">
        <is>
          <t>BD</t>
        </is>
      </c>
      <c r="E923" s="18" t="inlineStr">
        <is>
          <t>84</t>
        </is>
      </c>
      <c r="F923" s="20" t="n">
        <v>253788</v>
      </c>
      <c r="G923" s="18" t="n"/>
      <c r="H923" s="18" t="inlineStr">
        <is>
          <t>CXB</t>
        </is>
      </c>
      <c r="I923" s="18" t="inlineStr">
        <is>
          <t>Cox's Bazar Airport</t>
        </is>
      </c>
      <c r="J923" s="21" t="n">
        <v>5.2</v>
      </c>
      <c r="K923" s="18" t="inlineStr">
        <is>
          <t>CXB</t>
        </is>
      </c>
      <c r="L923" s="18" t="inlineStr">
        <is>
          <t>100k +  pop + airport</t>
        </is>
      </c>
      <c r="M923" s="22" t="n">
        <v>0.522</v>
      </c>
      <c r="N923" s="22" t="n">
        <v>0</v>
      </c>
      <c r="O923" s="18" t="n"/>
      <c r="P923" s="22">
        <f>IF(O923="",(About!$B$5*M923+About!$B$6*N923)/(About!$B$5+About!$B$6),About!$B$5*M923+About!$B$6*N923+About!$B$7*O923)</f>
        <v/>
      </c>
      <c r="Q923" s="23" t="n">
        <v>21.4397</v>
      </c>
      <c r="R923" s="23" t="n">
        <v>92.00960000000001</v>
      </c>
    </row>
    <row r="924" ht="15" customHeight="1" s="12">
      <c r="A924" s="18" t="inlineStr">
        <is>
          <t>Burgas</t>
        </is>
      </c>
      <c r="B924" s="18" t="inlineStr">
        <is>
          <t>Bulgaria</t>
        </is>
      </c>
      <c r="C924" s="19" t="n">
        <v>6423207</v>
      </c>
      <c r="D924" s="18" t="inlineStr">
        <is>
          <t>BG</t>
        </is>
      </c>
      <c r="E924" s="18" t="inlineStr">
        <is>
          <t>39</t>
        </is>
      </c>
      <c r="F924" s="20" t="n">
        <v>195966</v>
      </c>
      <c r="G924" s="18" t="n"/>
      <c r="H924" s="18" t="inlineStr">
        <is>
          <t>BOJ</t>
        </is>
      </c>
      <c r="I924" s="18" t="inlineStr">
        <is>
          <t>Burgas Airport</t>
        </is>
      </c>
      <c r="J924" s="21" t="n">
        <v>8.1</v>
      </c>
      <c r="K924" s="18" t="inlineStr">
        <is>
          <t>BOJ</t>
        </is>
      </c>
      <c r="L924" s="18" t="inlineStr">
        <is>
          <t>100k +  pop + airport</t>
        </is>
      </c>
      <c r="M924" s="22" t="n">
        <v>0.522</v>
      </c>
      <c r="N924" s="22" t="n">
        <v>0</v>
      </c>
      <c r="O924" s="18" t="n"/>
      <c r="P924" s="22">
        <f>IF(O924="",(About!$B$5*M924+About!$B$6*N924)/(About!$B$5+About!$B$6),About!$B$5*M924+About!$B$6*N924+About!$B$7*O924)</f>
        <v/>
      </c>
      <c r="Q924" s="23" t="n">
        <v>42.5061</v>
      </c>
      <c r="R924" s="23" t="n">
        <v>27.4678</v>
      </c>
    </row>
    <row r="925" ht="15" customHeight="1" s="12">
      <c r="A925" s="18" t="inlineStr">
        <is>
          <t>Jiayuguan</t>
        </is>
      </c>
      <c r="B925" s="18" t="inlineStr">
        <is>
          <t>China</t>
        </is>
      </c>
      <c r="C925" s="19" t="n">
        <v>1404890000</v>
      </c>
      <c r="D925" s="18" t="inlineStr">
        <is>
          <t>CN</t>
        </is>
      </c>
      <c r="E925" s="18" t="inlineStr">
        <is>
          <t>15</t>
        </is>
      </c>
      <c r="F925" s="20" t="n">
        <v>122396</v>
      </c>
      <c r="G925" s="18" t="n"/>
      <c r="H925" s="18" t="inlineStr">
        <is>
          <t>JGN</t>
        </is>
      </c>
      <c r="I925" s="18" t="inlineStr">
        <is>
          <t>Jiayuguan International Airport</t>
        </is>
      </c>
      <c r="J925" s="21" t="n">
        <v>7</v>
      </c>
      <c r="K925" s="18" t="inlineStr">
        <is>
          <t>JGN</t>
        </is>
      </c>
      <c r="L925" s="18" t="inlineStr">
        <is>
          <t>100k +  pop + airport</t>
        </is>
      </c>
      <c r="M925" s="22" t="n">
        <v>0.523</v>
      </c>
      <c r="N925" s="22" t="n">
        <v>0</v>
      </c>
      <c r="O925" s="18" t="n"/>
      <c r="P925" s="22">
        <f>IF(O925="",(About!$B$5*M925+About!$B$6*N925)/(About!$B$5+About!$B$6),About!$B$5*M925+About!$B$6*N925+About!$B$7*O925)</f>
        <v/>
      </c>
      <c r="Q925" s="23" t="n">
        <v>39.8112</v>
      </c>
      <c r="R925" s="23" t="n">
        <v>98.28619999999999</v>
      </c>
    </row>
    <row r="926" ht="15" customHeight="1" s="12">
      <c r="A926" s="18" t="inlineStr">
        <is>
          <t>Ålesund</t>
        </is>
      </c>
      <c r="B926" s="18" t="inlineStr">
        <is>
          <t>Norway</t>
        </is>
      </c>
      <c r="C926" s="19" t="n">
        <v>5633770</v>
      </c>
      <c r="D926" s="18" t="inlineStr">
        <is>
          <t>NO</t>
        </is>
      </c>
      <c r="E926" s="18" t="inlineStr">
        <is>
          <t>08</t>
        </is>
      </c>
      <c r="F926" s="20" t="n">
        <v>44096</v>
      </c>
      <c r="G926" s="18" t="n"/>
      <c r="H926" s="18" t="inlineStr">
        <is>
          <t>AES</t>
        </is>
      </c>
      <c r="I926" s="18" t="inlineStr">
        <is>
          <t>Ålesund Airport</t>
        </is>
      </c>
      <c r="J926" s="21" t="n">
        <v>10.1</v>
      </c>
      <c r="K926" s="18" t="inlineStr">
        <is>
          <t>AES</t>
        </is>
      </c>
      <c r="L926" s="18" t="inlineStr">
        <is>
          <t>airport</t>
        </is>
      </c>
      <c r="M926" s="22" t="n">
        <v>0.522</v>
      </c>
      <c r="N926" s="22" t="n">
        <v>0</v>
      </c>
      <c r="O926" s="18" t="n"/>
      <c r="P926" s="22">
        <f>IF(O926="",(About!$B$5*M926+About!$B$6*N926)/(About!$B$5+About!$B$6),About!$B$5*M926+About!$B$6*N926+About!$B$7*O926)</f>
        <v/>
      </c>
      <c r="Q926" s="23" t="n">
        <v>62.4723</v>
      </c>
      <c r="R926" s="23" t="n">
        <v>6.1549</v>
      </c>
    </row>
    <row r="927" ht="15" customHeight="1" s="12">
      <c r="A927" s="18" t="inlineStr">
        <is>
          <t>Astrakhan</t>
        </is>
      </c>
      <c r="B927" s="18" t="inlineStr">
        <is>
          <t>Russia</t>
        </is>
      </c>
      <c r="C927" s="19" t="n">
        <v>146028325</v>
      </c>
      <c r="D927" s="18" t="inlineStr">
        <is>
          <t>RU</t>
        </is>
      </c>
      <c r="E927" s="18" t="inlineStr">
        <is>
          <t>07</t>
        </is>
      </c>
      <c r="F927" s="20" t="n">
        <v>502533</v>
      </c>
      <c r="G927" s="18" t="n"/>
      <c r="H927" s="18" t="inlineStr">
        <is>
          <t>ASF</t>
        </is>
      </c>
      <c r="I927" s="18" t="inlineStr">
        <is>
          <t>Astrakhan Narimanovo Boris M. Kustodiev International Airport</t>
        </is>
      </c>
      <c r="J927" s="21" t="n">
        <v>7.8</v>
      </c>
      <c r="K927" s="18" t="inlineStr">
        <is>
          <t>ASF</t>
        </is>
      </c>
      <c r="L927" s="18" t="inlineStr">
        <is>
          <t>100k +  pop + airport</t>
        </is>
      </c>
      <c r="M927" s="22" t="n">
        <v>0.521</v>
      </c>
      <c r="N927" s="22" t="n">
        <v>0</v>
      </c>
      <c r="O927" s="18" t="n"/>
      <c r="P927" s="22">
        <f>IF(O927="",(About!$B$5*M927+About!$B$6*N927)/(About!$B$5+About!$B$6),About!$B$5*M927+About!$B$6*N927+About!$B$7*O927)</f>
        <v/>
      </c>
      <c r="Q927" s="23" t="n">
        <v>46.3497</v>
      </c>
      <c r="R927" s="23" t="n">
        <v>48.0408</v>
      </c>
    </row>
    <row r="928" ht="15" customHeight="1" s="12">
      <c r="A928" s="18" t="inlineStr">
        <is>
          <t>Bacolod City</t>
        </is>
      </c>
      <c r="B928" s="18" t="inlineStr">
        <is>
          <t>Philippines</t>
        </is>
      </c>
      <c r="C928" s="19" t="n">
        <v>114123600</v>
      </c>
      <c r="D928" s="18" t="inlineStr">
        <is>
          <t>PH</t>
        </is>
      </c>
      <c r="E928" s="18" t="inlineStr">
        <is>
          <t>06</t>
        </is>
      </c>
      <c r="F928" s="20" t="n">
        <v>454898</v>
      </c>
      <c r="G928" s="18" t="n"/>
      <c r="H928" s="18" t="inlineStr">
        <is>
          <t>BCD</t>
        </is>
      </c>
      <c r="I928" s="18" t="inlineStr">
        <is>
          <t>Bacolod-Silay International Airport</t>
        </is>
      </c>
      <c r="J928" s="21" t="n">
        <v>14.3</v>
      </c>
      <c r="K928" s="18" t="inlineStr">
        <is>
          <t>BCD</t>
        </is>
      </c>
      <c r="L928" s="18" t="inlineStr">
        <is>
          <t>100k +  pop + airport</t>
        </is>
      </c>
      <c r="M928" s="22" t="n">
        <v>0.52</v>
      </c>
      <c r="N928" s="22" t="n">
        <v>0</v>
      </c>
      <c r="O928" s="18" t="n"/>
      <c r="P928" s="22">
        <f>IF(O928="",(About!$B$5*M928+About!$B$6*N928)/(About!$B$5+About!$B$6),About!$B$5*M928+About!$B$6*N928+About!$B$7*O928)</f>
        <v/>
      </c>
      <c r="Q928" s="23" t="n">
        <v>10.6667</v>
      </c>
      <c r="R928" s="23" t="n">
        <v>122.95</v>
      </c>
    </row>
    <row r="929" ht="15" customHeight="1" s="12">
      <c r="A929" s="18" t="inlineStr">
        <is>
          <t>Mansilingan</t>
        </is>
      </c>
      <c r="B929" s="18" t="inlineStr">
        <is>
          <t>Philippines</t>
        </is>
      </c>
      <c r="C929" s="19" t="n">
        <v>114123600</v>
      </c>
      <c r="D929" s="18" t="inlineStr">
        <is>
          <t>PH</t>
        </is>
      </c>
      <c r="E929" s="18" t="inlineStr">
        <is>
          <t>06</t>
        </is>
      </c>
      <c r="F929" s="20" t="n">
        <v>454150</v>
      </c>
      <c r="G929" s="18" t="n"/>
      <c r="H929" s="18" t="inlineStr">
        <is>
          <t>BCD</t>
        </is>
      </c>
      <c r="I929" s="18" t="inlineStr">
        <is>
          <t>Bacolod-Silay International Airport</t>
        </is>
      </c>
      <c r="J929" s="21" t="n">
        <v>16.7</v>
      </c>
      <c r="K929" s="18" t="inlineStr">
        <is>
          <t>BCD</t>
        </is>
      </c>
      <c r="L929" s="18" t="inlineStr">
        <is>
          <t>100k +  pop</t>
        </is>
      </c>
      <c r="M929" s="22" t="n">
        <v>0.52</v>
      </c>
      <c r="N929" s="22" t="n">
        <v>0</v>
      </c>
      <c r="O929" s="18" t="n"/>
      <c r="P929" s="22">
        <f>IF(O929="",(About!$B$5*M929+About!$B$6*N929)/(About!$B$5+About!$B$6),About!$B$5*M929+About!$B$6*N929+About!$B$7*O929)</f>
        <v/>
      </c>
      <c r="Q929" s="23" t="n">
        <v>10.6311</v>
      </c>
      <c r="R929" s="23" t="n">
        <v>122.9789</v>
      </c>
    </row>
    <row r="930" ht="15" customHeight="1" s="12">
      <c r="A930" s="18" t="inlineStr">
        <is>
          <t>Richards Bay</t>
        </is>
      </c>
      <c r="B930" s="18" t="inlineStr">
        <is>
          <t>South Africa</t>
        </is>
      </c>
      <c r="C930" s="19" t="n">
        <v>63100945</v>
      </c>
      <c r="D930" s="18" t="inlineStr">
        <is>
          <t>ZA</t>
        </is>
      </c>
      <c r="E930" s="18" t="inlineStr">
        <is>
          <t>02</t>
        </is>
      </c>
      <c r="F930" s="20" t="n">
        <v>252968</v>
      </c>
      <c r="G930" s="18" t="n"/>
      <c r="H930" s="18" t="inlineStr">
        <is>
          <t>RCB</t>
        </is>
      </c>
      <c r="I930" s="18" t="inlineStr">
        <is>
          <t>Richards Bay Airport</t>
        </is>
      </c>
      <c r="J930" s="21" t="n">
        <v>7.1</v>
      </c>
      <c r="K930" s="18" t="inlineStr">
        <is>
          <t>RCB</t>
        </is>
      </c>
      <c r="L930" s="18" t="inlineStr">
        <is>
          <t>100k +  pop + airport</t>
        </is>
      </c>
      <c r="M930" s="22" t="n">
        <v>0.521</v>
      </c>
      <c r="N930" s="22" t="n">
        <v>0</v>
      </c>
      <c r="O930" s="18" t="n"/>
      <c r="P930" s="22">
        <f>IF(O930="",(About!$B$5*M930+About!$B$6*N930)/(About!$B$5+About!$B$6),About!$B$5*M930+About!$B$6*N930+About!$B$7*O930)</f>
        <v/>
      </c>
      <c r="Q930" s="23" t="n">
        <v>-28.783</v>
      </c>
      <c r="R930" s="23" t="n">
        <v>32.0377</v>
      </c>
    </row>
    <row r="931" ht="15" customHeight="1" s="12">
      <c r="A931" s="18" t="inlineStr">
        <is>
          <t>Polokwane</t>
        </is>
      </c>
      <c r="B931" s="18" t="inlineStr">
        <is>
          <t>South Africa</t>
        </is>
      </c>
      <c r="C931" s="19" t="n">
        <v>63100945</v>
      </c>
      <c r="D931" s="18" t="inlineStr">
        <is>
          <t>ZA</t>
        </is>
      </c>
      <c r="E931" s="18" t="inlineStr">
        <is>
          <t>09</t>
        </is>
      </c>
      <c r="F931" s="20" t="n">
        <v>123749</v>
      </c>
      <c r="G931" s="18" t="n"/>
      <c r="H931" s="18" t="inlineStr">
        <is>
          <t>PTG</t>
        </is>
      </c>
      <c r="I931" s="18" t="inlineStr">
        <is>
          <t>Polokwane International Airport</t>
        </is>
      </c>
      <c r="J931" s="21" t="n">
        <v>6.7</v>
      </c>
      <c r="K931" s="18" t="inlineStr">
        <is>
          <t>PTG</t>
        </is>
      </c>
      <c r="L931" s="18" t="inlineStr">
        <is>
          <t>100k +  pop + airport</t>
        </is>
      </c>
      <c r="M931" s="22" t="n">
        <v>0.521</v>
      </c>
      <c r="N931" s="22" t="n">
        <v>0</v>
      </c>
      <c r="O931" s="18" t="n"/>
      <c r="P931" s="22">
        <f>IF(O931="",(About!$B$5*M931+About!$B$6*N931)/(About!$B$5+About!$B$6),About!$B$5*M931+About!$B$6*N931+About!$B$7*O931)</f>
        <v/>
      </c>
      <c r="Q931" s="23" t="n">
        <v>-23.9045</v>
      </c>
      <c r="R931" s="23" t="n">
        <v>29.4688</v>
      </c>
    </row>
    <row r="932" ht="15" customHeight="1" s="12">
      <c r="A932" s="18" t="inlineStr">
        <is>
          <t>Luang Prabang</t>
        </is>
      </c>
      <c r="B932" s="18" t="inlineStr">
        <is>
          <t>Laos</t>
        </is>
      </c>
      <c r="C932" s="19" t="n">
        <v>7647000</v>
      </c>
      <c r="D932" s="18" t="inlineStr">
        <is>
          <t>LA</t>
        </is>
      </c>
      <c r="E932" s="18" t="inlineStr">
        <is>
          <t>17</t>
        </is>
      </c>
      <c r="F932" s="20" t="n">
        <v>47378</v>
      </c>
      <c r="G932" s="18" t="n"/>
      <c r="H932" s="18" t="inlineStr">
        <is>
          <t>LPQ</t>
        </is>
      </c>
      <c r="I932" s="18" t="inlineStr">
        <is>
          <t>Luang Phabang International Airport</t>
        </is>
      </c>
      <c r="J932" s="21" t="n">
        <v>3.9</v>
      </c>
      <c r="K932" s="18" t="inlineStr">
        <is>
          <t>LPQ</t>
        </is>
      </c>
      <c r="L932" s="18" t="inlineStr">
        <is>
          <t>airport</t>
        </is>
      </c>
      <c r="M932" s="22" t="n">
        <v>0.521</v>
      </c>
      <c r="N932" s="22" t="n">
        <v>0</v>
      </c>
      <c r="O932" s="18" t="n"/>
      <c r="P932" s="22">
        <f>IF(O932="",(About!$B$5*M932+About!$B$6*N932)/(About!$B$5+About!$B$6),About!$B$5*M932+About!$B$6*N932+About!$B$7*O932)</f>
        <v/>
      </c>
      <c r="Q932" s="23" t="n">
        <v>19.886</v>
      </c>
      <c r="R932" s="23" t="n">
        <v>102.135</v>
      </c>
    </row>
    <row r="933" ht="15" customHeight="1" s="12">
      <c r="A933" s="18" t="inlineStr">
        <is>
          <t>Paphos</t>
        </is>
      </c>
      <c r="B933" s="18" t="inlineStr">
        <is>
          <t>Cyprus</t>
        </is>
      </c>
      <c r="C933" s="19" t="n">
        <v>983000</v>
      </c>
      <c r="D933" s="18" t="inlineStr">
        <is>
          <t>CY</t>
        </is>
      </c>
      <c r="E933" s="18" t="inlineStr">
        <is>
          <t>06</t>
        </is>
      </c>
      <c r="F933" s="20" t="n">
        <v>35961</v>
      </c>
      <c r="G933" s="18" t="n"/>
      <c r="H933" s="18" t="inlineStr">
        <is>
          <t>PFO</t>
        </is>
      </c>
      <c r="I933" s="18" t="inlineStr">
        <is>
          <t>Paphos International Airport</t>
        </is>
      </c>
      <c r="J933" s="21" t="n">
        <v>8.6</v>
      </c>
      <c r="K933" s="18" t="inlineStr">
        <is>
          <t>PFO</t>
        </is>
      </c>
      <c r="L933" s="18" t="inlineStr">
        <is>
          <t>airport</t>
        </is>
      </c>
      <c r="M933" s="22" t="n">
        <v>0.52</v>
      </c>
      <c r="N933" s="22" t="n">
        <v>0</v>
      </c>
      <c r="O933" s="18" t="n"/>
      <c r="P933" s="22">
        <f>IF(O933="",(About!$B$5*M933+About!$B$6*N933)/(About!$B$5+About!$B$6),About!$B$5*M933+About!$B$6*N933+About!$B$7*O933)</f>
        <v/>
      </c>
      <c r="Q933" s="23" t="n">
        <v>34.7768</v>
      </c>
      <c r="R933" s="23" t="n">
        <v>32.4245</v>
      </c>
    </row>
    <row r="934" ht="15" customHeight="1" s="12">
      <c r="A934" s="18" t="inlineStr">
        <is>
          <t>Armenia</t>
        </is>
      </c>
      <c r="B934" s="18" t="inlineStr">
        <is>
          <t>Colombia</t>
        </is>
      </c>
      <c r="C934" s="19" t="n">
        <v>53057212</v>
      </c>
      <c r="D934" s="18" t="inlineStr">
        <is>
          <t>CO</t>
        </is>
      </c>
      <c r="E934" s="18" t="inlineStr">
        <is>
          <t>23</t>
        </is>
      </c>
      <c r="F934" s="20" t="n">
        <v>315328</v>
      </c>
      <c r="G934" s="18" t="n"/>
      <c r="H934" s="18" t="inlineStr">
        <is>
          <t>AXM</t>
        </is>
      </c>
      <c r="I934" s="18" t="inlineStr">
        <is>
          <t>El Eden Airport</t>
        </is>
      </c>
      <c r="J934" s="21" t="n">
        <v>13.1</v>
      </c>
      <c r="K934" s="18" t="inlineStr">
        <is>
          <t>AXM</t>
        </is>
      </c>
      <c r="L934" s="18" t="inlineStr">
        <is>
          <t>100k +  pop + airport</t>
        </is>
      </c>
      <c r="M934" s="22" t="n">
        <v>0.517</v>
      </c>
      <c r="N934" s="22" t="n">
        <v>0</v>
      </c>
      <c r="O934" s="18" t="n"/>
      <c r="P934" s="22">
        <f>IF(O934="",(About!$B$5*M934+About!$B$6*N934)/(About!$B$5+About!$B$6),About!$B$5*M934+About!$B$6*N934+About!$B$7*O934)</f>
        <v/>
      </c>
      <c r="Q934" s="23" t="n">
        <v>4.5339</v>
      </c>
      <c r="R934" s="23" t="n">
        <v>-75.6811</v>
      </c>
    </row>
    <row r="935" ht="15" customHeight="1" s="12">
      <c r="A935" s="18" t="inlineStr">
        <is>
          <t>Kimberley</t>
        </is>
      </c>
      <c r="B935" s="18" t="inlineStr">
        <is>
          <t>South Africa</t>
        </is>
      </c>
      <c r="C935" s="19" t="n">
        <v>63100945</v>
      </c>
      <c r="D935" s="18" t="inlineStr">
        <is>
          <t>ZA</t>
        </is>
      </c>
      <c r="E935" s="18" t="inlineStr">
        <is>
          <t>08</t>
        </is>
      </c>
      <c r="F935" s="20" t="n">
        <v>142089</v>
      </c>
      <c r="G935" s="18" t="n"/>
      <c r="H935" s="18" t="inlineStr">
        <is>
          <t>KIM</t>
        </is>
      </c>
      <c r="I935" s="18" t="inlineStr">
        <is>
          <t>Kimberley Airport</t>
        </is>
      </c>
      <c r="J935" s="21" t="n">
        <v>8.1</v>
      </c>
      <c r="K935" s="18" t="inlineStr">
        <is>
          <t>KIM</t>
        </is>
      </c>
      <c r="L935" s="18" t="inlineStr">
        <is>
          <t>100k +  pop + airport</t>
        </is>
      </c>
      <c r="M935" s="22" t="n">
        <v>0.518</v>
      </c>
      <c r="N935" s="22" t="n">
        <v>0</v>
      </c>
      <c r="O935" s="18" t="n"/>
      <c r="P935" s="22">
        <f>IF(O935="",(About!$B$5*M935+About!$B$6*N935)/(About!$B$5+About!$B$6),About!$B$5*M935+About!$B$6*N935+About!$B$7*O935)</f>
        <v/>
      </c>
      <c r="Q935" s="23" t="n">
        <v>-28.7323</v>
      </c>
      <c r="R935" s="23" t="n">
        <v>24.7623</v>
      </c>
    </row>
    <row r="936" ht="15" customHeight="1" s="12">
      <c r="A936" s="18" t="inlineStr">
        <is>
          <t>Hawassa</t>
        </is>
      </c>
      <c r="B936" s="18" t="inlineStr">
        <is>
          <t>Ethiopia</t>
        </is>
      </c>
      <c r="C936" s="19" t="n">
        <v>111652998</v>
      </c>
      <c r="D936" s="18" t="inlineStr">
        <is>
          <t>ET</t>
        </is>
      </c>
      <c r="E936" s="18" t="inlineStr">
        <is>
          <t>54</t>
        </is>
      </c>
      <c r="F936" s="20" t="n">
        <v>133097</v>
      </c>
      <c r="G936" s="18" t="n"/>
      <c r="H936" s="18" t="inlineStr">
        <is>
          <t>AWA</t>
        </is>
      </c>
      <c r="I936" s="18" t="inlineStr">
        <is>
          <t>Hawassa International Airport</t>
        </is>
      </c>
      <c r="J936" s="21" t="n">
        <v>9.800000000000001</v>
      </c>
      <c r="K936" s="18" t="inlineStr">
        <is>
          <t>AWA</t>
        </is>
      </c>
      <c r="L936" s="18" t="inlineStr">
        <is>
          <t>100k +  pop + airport</t>
        </is>
      </c>
      <c r="M936" s="22" t="n">
        <v>0.518</v>
      </c>
      <c r="N936" s="22" t="n">
        <v>0</v>
      </c>
      <c r="O936" s="18" t="n"/>
      <c r="P936" s="22">
        <f>IF(O936="",(About!$B$5*M936+About!$B$6*N936)/(About!$B$5+About!$B$6),About!$B$5*M936+About!$B$6*N936+About!$B$7*O936)</f>
        <v/>
      </c>
      <c r="Q936" s="23" t="n">
        <v>7.0621</v>
      </c>
      <c r="R936" s="23" t="n">
        <v>38.4763</v>
      </c>
    </row>
    <row r="937" ht="15" customHeight="1" s="12">
      <c r="A937" s="18" t="inlineStr">
        <is>
          <t>Serekunda</t>
        </is>
      </c>
      <c r="B937" s="18" t="inlineStr">
        <is>
          <t>Gambia</t>
        </is>
      </c>
      <c r="C937" s="19" t="n">
        <v>2422712</v>
      </c>
      <c r="D937" s="18" t="inlineStr">
        <is>
          <t>GM</t>
        </is>
      </c>
      <c r="E937" s="18" t="inlineStr">
        <is>
          <t>01</t>
        </is>
      </c>
      <c r="F937" s="20" t="n">
        <v>340000</v>
      </c>
      <c r="G937" s="18" t="n"/>
      <c r="H937" s="18" t="inlineStr">
        <is>
          <t>BJL</t>
        </is>
      </c>
      <c r="I937" s="18" t="inlineStr">
        <is>
          <t>Banjul International Airport</t>
        </is>
      </c>
      <c r="J937" s="21" t="n">
        <v>11.5</v>
      </c>
      <c r="K937" s="18" t="inlineStr">
        <is>
          <t>BJL</t>
        </is>
      </c>
      <c r="L937" s="18" t="inlineStr">
        <is>
          <t>100k +  pop</t>
        </is>
      </c>
      <c r="M937" s="22" t="n">
        <v>0.516</v>
      </c>
      <c r="N937" s="22" t="n">
        <v>0</v>
      </c>
      <c r="O937" s="18" t="n"/>
      <c r="P937" s="22">
        <f>IF(O937="",(About!$B$5*M937+About!$B$6*N937)/(About!$B$5+About!$B$6),About!$B$5*M937+About!$B$6*N937+About!$B$7*O937)</f>
        <v/>
      </c>
      <c r="Q937" s="23" t="n">
        <v>13.4383</v>
      </c>
      <c r="R937" s="23" t="n">
        <v>-16.6781</v>
      </c>
    </row>
    <row r="938" ht="15" customHeight="1" s="12">
      <c r="A938" s="18" t="inlineStr">
        <is>
          <t>Jingdezhen</t>
        </is>
      </c>
      <c r="B938" s="18" t="inlineStr">
        <is>
          <t>China</t>
        </is>
      </c>
      <c r="C938" s="19" t="n">
        <v>1404890000</v>
      </c>
      <c r="D938" s="18" t="inlineStr">
        <is>
          <t>CN</t>
        </is>
      </c>
      <c r="E938" s="18" t="inlineStr">
        <is>
          <t>03</t>
        </is>
      </c>
      <c r="F938" s="20" t="n">
        <v>310565</v>
      </c>
      <c r="G938" s="18" t="n"/>
      <c r="H938" s="18" t="inlineStr">
        <is>
          <t>JDZ</t>
        </is>
      </c>
      <c r="I938" s="18" t="inlineStr">
        <is>
          <t>Jingdezhen Luojia Airport</t>
        </is>
      </c>
      <c r="J938" s="21" t="n">
        <v>5.8</v>
      </c>
      <c r="K938" s="18" t="inlineStr">
        <is>
          <t>JDZ</t>
        </is>
      </c>
      <c r="L938" s="18" t="inlineStr">
        <is>
          <t>100k +  pop + airport</t>
        </is>
      </c>
      <c r="M938" s="22" t="n">
        <v>0.516</v>
      </c>
      <c r="N938" s="22" t="n">
        <v>0</v>
      </c>
      <c r="O938" s="18" t="n"/>
      <c r="P938" s="22">
        <f>IF(O938="",(About!$B$5*M938+About!$B$6*N938)/(About!$B$5+About!$B$6),About!$B$5*M938+About!$B$6*N938+About!$B$7*O938)</f>
        <v/>
      </c>
      <c r="Q938" s="23" t="n">
        <v>29.2947</v>
      </c>
      <c r="R938" s="23" t="n">
        <v>117.2079</v>
      </c>
    </row>
    <row r="939" ht="15" customHeight="1" s="12">
      <c r="A939" s="18" t="inlineStr">
        <is>
          <t>Kutaisi</t>
        </is>
      </c>
      <c r="B939" s="18" t="inlineStr">
        <is>
          <t>Georgia</t>
        </is>
      </c>
      <c r="C939" s="19" t="n">
        <v>3941100</v>
      </c>
      <c r="D939" s="18" t="inlineStr">
        <is>
          <t>GE</t>
        </is>
      </c>
      <c r="E939" s="18" t="inlineStr">
        <is>
          <t>66</t>
        </is>
      </c>
      <c r="F939" s="20" t="n">
        <v>178338</v>
      </c>
      <c r="G939" s="18" t="n"/>
      <c r="H939" s="18" t="inlineStr">
        <is>
          <t>KUT</t>
        </is>
      </c>
      <c r="I939" s="18" t="inlineStr">
        <is>
          <t>David the Builder Kutaisi International Airport</t>
        </is>
      </c>
      <c r="J939" s="21" t="n">
        <v>20</v>
      </c>
      <c r="K939" s="18" t="inlineStr">
        <is>
          <t>KUT</t>
        </is>
      </c>
      <c r="L939" s="18" t="inlineStr">
        <is>
          <t>100k +  pop</t>
        </is>
      </c>
      <c r="M939" s="22" t="n">
        <v>0.517</v>
      </c>
      <c r="N939" s="22" t="n">
        <v>0</v>
      </c>
      <c r="O939" s="18" t="n"/>
      <c r="P939" s="22">
        <f>IF(O939="",(About!$B$5*M939+About!$B$6*N939)/(About!$B$5+About!$B$6),About!$B$5*M939+About!$B$6*N939+About!$B$7*O939)</f>
        <v/>
      </c>
      <c r="Q939" s="23" t="n">
        <v>42.2679</v>
      </c>
      <c r="R939" s="23" t="n">
        <v>42.6946</v>
      </c>
    </row>
    <row r="940" ht="15" customHeight="1" s="12">
      <c r="A940" s="18" t="inlineStr">
        <is>
          <t>Bushehr</t>
        </is>
      </c>
      <c r="B940" s="18" t="inlineStr">
        <is>
          <t>Iran</t>
        </is>
      </c>
      <c r="C940" s="19" t="n">
        <v>87134000</v>
      </c>
      <c r="D940" s="18" t="inlineStr">
        <is>
          <t>IR</t>
        </is>
      </c>
      <c r="E940" s="18" t="inlineStr">
        <is>
          <t>22</t>
        </is>
      </c>
      <c r="F940" s="20" t="n">
        <v>165377</v>
      </c>
      <c r="G940" s="18" t="n"/>
      <c r="H940" s="18" t="inlineStr">
        <is>
          <t>BUZ</t>
        </is>
      </c>
      <c r="I940" s="18" t="inlineStr">
        <is>
          <t>Bushehr Airport</t>
        </is>
      </c>
      <c r="J940" s="21" t="n">
        <v>2.7</v>
      </c>
      <c r="K940" s="18" t="inlineStr">
        <is>
          <t>BUZ</t>
        </is>
      </c>
      <c r="L940" s="18" t="inlineStr">
        <is>
          <t>100k +  pop + airport</t>
        </is>
      </c>
      <c r="M940" s="22" t="n">
        <v>0.516</v>
      </c>
      <c r="N940" s="22" t="n">
        <v>0</v>
      </c>
      <c r="O940" s="18" t="n"/>
      <c r="P940" s="22">
        <f>IF(O940="",(About!$B$5*M940+About!$B$6*N940)/(About!$B$5+About!$B$6),About!$B$5*M940+About!$B$6*N940+About!$B$7*O940)</f>
        <v/>
      </c>
      <c r="Q940" s="23" t="n">
        <v>28.9689</v>
      </c>
      <c r="R940" s="23" t="n">
        <v>50.8366</v>
      </c>
    </row>
    <row r="941" ht="15" customHeight="1" s="12">
      <c r="A941" s="18" t="inlineStr">
        <is>
          <t>Desē</t>
        </is>
      </c>
      <c r="B941" s="18" t="inlineStr">
        <is>
          <t>Ethiopia</t>
        </is>
      </c>
      <c r="C941" s="19" t="n">
        <v>111652998</v>
      </c>
      <c r="D941" s="18" t="inlineStr">
        <is>
          <t>ET</t>
        </is>
      </c>
      <c r="E941" s="18" t="inlineStr">
        <is>
          <t>46</t>
        </is>
      </c>
      <c r="F941" s="20" t="n">
        <v>136056</v>
      </c>
      <c r="G941" s="18" t="n"/>
      <c r="H941" s="18" t="inlineStr">
        <is>
          <t>DSE</t>
        </is>
      </c>
      <c r="I941" s="18" t="inlineStr">
        <is>
          <t>Kombolcha Airport</t>
        </is>
      </c>
      <c r="J941" s="21" t="n">
        <v>10.4</v>
      </c>
      <c r="K941" s="18" t="inlineStr">
        <is>
          <t>DSE</t>
        </is>
      </c>
      <c r="L941" s="18" t="inlineStr">
        <is>
          <t>100k +  pop</t>
        </is>
      </c>
      <c r="M941" s="22" t="n">
        <v>0.516</v>
      </c>
      <c r="N941" s="22" t="n">
        <v>0</v>
      </c>
      <c r="O941" s="18" t="n"/>
      <c r="P941" s="22">
        <f>IF(O941="",(About!$B$5*M941+About!$B$6*N941)/(About!$B$5+About!$B$6),About!$B$5*M941+About!$B$6*N941+About!$B$7*O941)</f>
        <v/>
      </c>
      <c r="Q941" s="23" t="n">
        <v>11.1333</v>
      </c>
      <c r="R941" s="23" t="n">
        <v>39.6333</v>
      </c>
    </row>
    <row r="942" ht="15" customHeight="1" s="12">
      <c r="A942" s="18" t="inlineStr">
        <is>
          <t>Batumi</t>
        </is>
      </c>
      <c r="B942" s="18" t="inlineStr">
        <is>
          <t>Georgia</t>
        </is>
      </c>
      <c r="C942" s="19" t="n">
        <v>3941100</v>
      </c>
      <c r="D942" s="18" t="inlineStr">
        <is>
          <t>GE</t>
        </is>
      </c>
      <c r="E942" s="18" t="inlineStr">
        <is>
          <t>04</t>
        </is>
      </c>
      <c r="F942" s="20" t="n">
        <v>121806</v>
      </c>
      <c r="G942" s="18" t="n"/>
      <c r="H942" s="18" t="inlineStr">
        <is>
          <t>BUS</t>
        </is>
      </c>
      <c r="I942" s="18" t="inlineStr">
        <is>
          <t>Alexander Kartveli Batumi International Airport</t>
        </is>
      </c>
      <c r="J942" s="21" t="n">
        <v>4.6</v>
      </c>
      <c r="K942" s="18" t="inlineStr">
        <is>
          <t>BUS</t>
        </is>
      </c>
      <c r="L942" s="18" t="inlineStr">
        <is>
          <t>100k +  pop + airport</t>
        </is>
      </c>
      <c r="M942" s="22" t="n">
        <v>0.516</v>
      </c>
      <c r="N942" s="22" t="n">
        <v>0</v>
      </c>
      <c r="O942" s="18" t="n"/>
      <c r="P942" s="22">
        <f>IF(O942="",(About!$B$5*M942+About!$B$6*N942)/(About!$B$5+About!$B$6),About!$B$5*M942+About!$B$6*N942+About!$B$7*O942)</f>
        <v/>
      </c>
      <c r="Q942" s="23" t="n">
        <v>41.6423</v>
      </c>
      <c r="R942" s="23" t="n">
        <v>41.6339</v>
      </c>
    </row>
    <row r="943" ht="15" customHeight="1" s="12">
      <c r="A943" s="18" t="inlineStr">
        <is>
          <t>Port-Gentil</t>
        </is>
      </c>
      <c r="B943" s="18" t="inlineStr">
        <is>
          <t>Gabon</t>
        </is>
      </c>
      <c r="C943" s="19" t="n">
        <v>2469296</v>
      </c>
      <c r="D943" s="18" t="inlineStr">
        <is>
          <t>GA</t>
        </is>
      </c>
      <c r="E943" s="18" t="inlineStr">
        <is>
          <t>08</t>
        </is>
      </c>
      <c r="F943" s="20" t="n">
        <v>109163</v>
      </c>
      <c r="G943" s="18" t="n"/>
      <c r="H943" s="18" t="inlineStr">
        <is>
          <t>POG</t>
        </is>
      </c>
      <c r="I943" s="18" t="inlineStr">
        <is>
          <t>Port Gentil International Airport</t>
        </is>
      </c>
      <c r="J943" s="21" t="n">
        <v>3.1</v>
      </c>
      <c r="K943" s="18" t="inlineStr">
        <is>
          <t>POG</t>
        </is>
      </c>
      <c r="L943" s="18" t="inlineStr">
        <is>
          <t>100k +  pop + airport</t>
        </is>
      </c>
      <c r="M943" s="22" t="n">
        <v>0.516</v>
      </c>
      <c r="N943" s="22" t="n">
        <v>0</v>
      </c>
      <c r="O943" s="18" t="n"/>
      <c r="P943" s="22">
        <f>IF(O943="",(About!$B$5*M943+About!$B$6*N943)/(About!$B$5+About!$B$6),About!$B$5*M943+About!$B$6*N943+About!$B$7*O943)</f>
        <v/>
      </c>
      <c r="Q943" s="23" t="n">
        <v>-0.7193000000000001</v>
      </c>
      <c r="R943" s="23" t="n">
        <v>8.781499999999999</v>
      </c>
    </row>
    <row r="944" ht="15" customHeight="1" s="12">
      <c r="A944" s="18" t="inlineStr">
        <is>
          <t>Brikama</t>
        </is>
      </c>
      <c r="B944" s="18" t="inlineStr">
        <is>
          <t>Gambia</t>
        </is>
      </c>
      <c r="C944" s="19" t="n">
        <v>2422712</v>
      </c>
      <c r="D944" s="18" t="inlineStr">
        <is>
          <t>GM</t>
        </is>
      </c>
      <c r="E944" s="18" t="inlineStr">
        <is>
          <t>05</t>
        </is>
      </c>
      <c r="F944" s="20" t="n">
        <v>77700</v>
      </c>
      <c r="G944" s="18" t="n"/>
      <c r="H944" s="18" t="inlineStr">
        <is>
          <t>BJL</t>
        </is>
      </c>
      <c r="I944" s="18" t="inlineStr">
        <is>
          <t>Banjul International Airport</t>
        </is>
      </c>
      <c r="J944" s="21" t="n">
        <v>7.4</v>
      </c>
      <c r="K944" s="18" t="inlineStr">
        <is>
          <t>BJL</t>
        </is>
      </c>
      <c r="L944" s="18" t="inlineStr">
        <is>
          <t>airport</t>
        </is>
      </c>
      <c r="M944" s="22" t="n">
        <v>0.516</v>
      </c>
      <c r="N944" s="22" t="n">
        <v>0</v>
      </c>
      <c r="O944" s="18" t="n"/>
      <c r="P944" s="22">
        <f>IF(O944="",(About!$B$5*M944+About!$B$6*N944)/(About!$B$5+About!$B$6),About!$B$5*M944+About!$B$6*N944+About!$B$7*O944)</f>
        <v/>
      </c>
      <c r="Q944" s="23" t="n">
        <v>13.2714</v>
      </c>
      <c r="R944" s="23" t="n">
        <v>-16.6494</v>
      </c>
    </row>
    <row r="945" ht="15" customHeight="1" s="12">
      <c r="A945" s="18" t="inlineStr">
        <is>
          <t>Banjul</t>
        </is>
      </c>
      <c r="B945" s="18" t="inlineStr">
        <is>
          <t>Gambia</t>
        </is>
      </c>
      <c r="C945" s="19" t="n">
        <v>2422712</v>
      </c>
      <c r="D945" s="18" t="inlineStr">
        <is>
          <t>GM</t>
        </is>
      </c>
      <c r="E945" s="18" t="inlineStr">
        <is>
          <t>01</t>
        </is>
      </c>
      <c r="F945" s="20" t="n">
        <v>34589</v>
      </c>
      <c r="G945" s="18" t="inlineStr">
        <is>
          <t>Yes</t>
        </is>
      </c>
      <c r="H945" s="18" t="inlineStr">
        <is>
          <t>BJL</t>
        </is>
      </c>
      <c r="I945" s="18" t="inlineStr">
        <is>
          <t>Banjul International Airport</t>
        </is>
      </c>
      <c r="J945" s="21" t="n">
        <v>15.1</v>
      </c>
      <c r="K945" s="18" t="inlineStr">
        <is>
          <t>BJL</t>
        </is>
      </c>
      <c r="L945" s="18" t="inlineStr">
        <is>
          <t>capital</t>
        </is>
      </c>
      <c r="M945" s="22" t="n">
        <v>0.516</v>
      </c>
      <c r="N945" s="22" t="n">
        <v>0</v>
      </c>
      <c r="O945" s="18" t="n"/>
      <c r="P945" s="22">
        <f>IF(O945="",(About!$B$5*M945+About!$B$6*N945)/(About!$B$5+About!$B$6),About!$B$5*M945+About!$B$6*N945+About!$B$7*O945)</f>
        <v/>
      </c>
      <c r="Q945" s="23" t="n">
        <v>13.4527</v>
      </c>
      <c r="R945" s="23" t="n">
        <v>-16.578</v>
      </c>
    </row>
    <row r="946" ht="15" customHeight="1" s="12">
      <c r="A946" s="18" t="inlineStr">
        <is>
          <t>Fès</t>
        </is>
      </c>
      <c r="B946" s="18" t="inlineStr">
        <is>
          <t>Morocco</t>
        </is>
      </c>
      <c r="C946" s="19" t="n">
        <v>36828330</v>
      </c>
      <c r="D946" s="18" t="inlineStr">
        <is>
          <t>MA</t>
        </is>
      </c>
      <c r="E946" s="18" t="inlineStr">
        <is>
          <t>03</t>
        </is>
      </c>
      <c r="F946" s="20" t="n">
        <v>964891</v>
      </c>
      <c r="G946" s="18" t="n"/>
      <c r="H946" s="18" t="inlineStr">
        <is>
          <t>FEZ</t>
        </is>
      </c>
      <c r="I946" s="18" t="inlineStr">
        <is>
          <t>Fes Saïss International Airport</t>
        </is>
      </c>
      <c r="J946" s="21" t="n">
        <v>11.9</v>
      </c>
      <c r="K946" s="18" t="inlineStr">
        <is>
          <t>FEZ</t>
        </is>
      </c>
      <c r="L946" s="18" t="inlineStr">
        <is>
          <t>100k +  pop</t>
        </is>
      </c>
      <c r="M946" s="22" t="n">
        <v>0.514</v>
      </c>
      <c r="N946" s="22" t="n">
        <v>0</v>
      </c>
      <c r="O946" s="18" t="n"/>
      <c r="P946" s="22">
        <f>IF(O946="",(About!$B$5*M946+About!$B$6*N946)/(About!$B$5+About!$B$6),About!$B$5*M946+About!$B$6*N946+About!$B$7*O946)</f>
        <v/>
      </c>
      <c r="Q946" s="23" t="n">
        <v>34.0331</v>
      </c>
      <c r="R946" s="23" t="n">
        <v>-5.0003</v>
      </c>
    </row>
    <row r="947" ht="15" customHeight="1" s="12">
      <c r="A947" s="18" t="inlineStr">
        <is>
          <t>Manizales</t>
        </is>
      </c>
      <c r="B947" s="18" t="inlineStr">
        <is>
          <t>Colombia</t>
        </is>
      </c>
      <c r="C947" s="19" t="n">
        <v>53057212</v>
      </c>
      <c r="D947" s="18" t="inlineStr">
        <is>
          <t>CO</t>
        </is>
      </c>
      <c r="E947" s="18" t="inlineStr">
        <is>
          <t>37</t>
        </is>
      </c>
      <c r="F947" s="20" t="n">
        <v>357814</v>
      </c>
      <c r="G947" s="18" t="n"/>
      <c r="H947" s="18" t="inlineStr">
        <is>
          <t>MZL</t>
        </is>
      </c>
      <c r="I947" s="18" t="inlineStr">
        <is>
          <t>La Nubia Airport</t>
        </is>
      </c>
      <c r="J947" s="21" t="n">
        <v>7.3</v>
      </c>
      <c r="K947" s="18" t="inlineStr">
        <is>
          <t>MZL</t>
        </is>
      </c>
      <c r="L947" s="18" t="inlineStr">
        <is>
          <t>100k +  pop + airport</t>
        </is>
      </c>
      <c r="M947" s="22" t="n">
        <v>0.513</v>
      </c>
      <c r="N947" s="22" t="n">
        <v>0</v>
      </c>
      <c r="O947" s="18" t="n"/>
      <c r="P947" s="22">
        <f>IF(O947="",(About!$B$5*M947+About!$B$6*N947)/(About!$B$5+About!$B$6),About!$B$5*M947+About!$B$6*N947+About!$B$7*O947)</f>
        <v/>
      </c>
      <c r="Q947" s="23" t="n">
        <v>5.0689</v>
      </c>
      <c r="R947" s="23" t="n">
        <v>-75.51739999999999</v>
      </c>
    </row>
    <row r="948" ht="15" customHeight="1" s="12">
      <c r="A948" s="18" t="inlineStr">
        <is>
          <t>Nouadhibou</t>
        </is>
      </c>
      <c r="B948" s="18" t="inlineStr">
        <is>
          <t>Mauritania</t>
        </is>
      </c>
      <c r="C948" s="19" t="n">
        <v>4927532</v>
      </c>
      <c r="D948" s="18" t="inlineStr">
        <is>
          <t>MR</t>
        </is>
      </c>
      <c r="E948" s="18" t="inlineStr">
        <is>
          <t>08</t>
        </is>
      </c>
      <c r="F948" s="20" t="n">
        <v>72337</v>
      </c>
      <c r="G948" s="18" t="n"/>
      <c r="H948" s="18" t="inlineStr">
        <is>
          <t>NDB</t>
        </is>
      </c>
      <c r="I948" s="18" t="inlineStr">
        <is>
          <t>Nouadhibou International Airport</t>
        </is>
      </c>
      <c r="J948" s="21" t="n">
        <v>1.4</v>
      </c>
      <c r="K948" s="18" t="inlineStr">
        <is>
          <t>NDB</t>
        </is>
      </c>
      <c r="L948" s="18" t="inlineStr">
        <is>
          <t>airport</t>
        </is>
      </c>
      <c r="M948" s="22" t="n">
        <v>0.514</v>
      </c>
      <c r="N948" s="22" t="n">
        <v>0</v>
      </c>
      <c r="O948" s="18" t="n"/>
      <c r="P948" s="22">
        <f>IF(O948="",(About!$B$5*M948+About!$B$6*N948)/(About!$B$5+About!$B$6),About!$B$5*M948+About!$B$6*N948+About!$B$7*O948)</f>
        <v/>
      </c>
      <c r="Q948" s="23" t="n">
        <v>20.9419</v>
      </c>
      <c r="R948" s="23" t="n">
        <v>-17.0384</v>
      </c>
    </row>
    <row r="949" ht="15" customHeight="1" s="12">
      <c r="A949" s="18" t="inlineStr">
        <is>
          <t>Flores</t>
        </is>
      </c>
      <c r="B949" s="18" t="inlineStr">
        <is>
          <t>Guatemala</t>
        </is>
      </c>
      <c r="C949" s="19" t="n">
        <v>18312373</v>
      </c>
      <c r="D949" s="18" t="inlineStr">
        <is>
          <t>GT</t>
        </is>
      </c>
      <c r="E949" s="18" t="inlineStr">
        <is>
          <t>12</t>
        </is>
      </c>
      <c r="F949" s="20" t="n">
        <v>20464</v>
      </c>
      <c r="G949" s="18" t="n"/>
      <c r="H949" s="18" t="inlineStr">
        <is>
          <t>FRS</t>
        </is>
      </c>
      <c r="I949" s="18" t="inlineStr">
        <is>
          <t>Mundo Maya International Airport</t>
        </is>
      </c>
      <c r="J949" s="21" t="n">
        <v>3.7</v>
      </c>
      <c r="K949" s="18" t="inlineStr">
        <is>
          <t>FRS</t>
        </is>
      </c>
      <c r="L949" s="18" t="inlineStr">
        <is>
          <t>airport</t>
        </is>
      </c>
      <c r="M949" s="22" t="n">
        <v>0.514</v>
      </c>
      <c r="N949" s="22" t="n">
        <v>0</v>
      </c>
      <c r="O949" s="18" t="n"/>
      <c r="P949" s="22">
        <f>IF(O949="",(About!$B$5*M949+About!$B$6*N949)/(About!$B$5+About!$B$6),About!$B$5*M949+About!$B$6*N949+About!$B$7*O949)</f>
        <v/>
      </c>
      <c r="Q949" s="23" t="n">
        <v>16.9226</v>
      </c>
      <c r="R949" s="23" t="n">
        <v>-89.8994</v>
      </c>
    </row>
    <row r="950" ht="15" customHeight="1" s="12">
      <c r="A950" s="18" t="inlineStr">
        <is>
          <t>Faisalabad</t>
        </is>
      </c>
      <c r="B950" s="18" t="inlineStr">
        <is>
          <t>Pakistan</t>
        </is>
      </c>
      <c r="C950" s="19" t="n">
        <v>241499431</v>
      </c>
      <c r="D950" s="18" t="inlineStr">
        <is>
          <t>PK</t>
        </is>
      </c>
      <c r="E950" s="18" t="inlineStr">
        <is>
          <t>04</t>
        </is>
      </c>
      <c r="F950" s="20" t="n">
        <v>2506595</v>
      </c>
      <c r="G950" s="18" t="n"/>
      <c r="H950" s="18" t="inlineStr">
        <is>
          <t>LYP</t>
        </is>
      </c>
      <c r="I950" s="18" t="inlineStr">
        <is>
          <t>Faisalabad International Airport</t>
        </is>
      </c>
      <c r="J950" s="21" t="n">
        <v>10.6</v>
      </c>
      <c r="K950" s="18" t="inlineStr">
        <is>
          <t>LYP</t>
        </is>
      </c>
      <c r="L950" s="18" t="inlineStr">
        <is>
          <t>100k +  pop + airport</t>
        </is>
      </c>
      <c r="M950" s="22" t="n">
        <v>0.511</v>
      </c>
      <c r="N950" s="22" t="n">
        <v>0</v>
      </c>
      <c r="O950" s="18" t="n"/>
      <c r="P950" s="22">
        <f>IF(O950="",(About!$B$5*M950+About!$B$6*N950)/(About!$B$5+About!$B$6),About!$B$5*M950+About!$B$6*N950+About!$B$7*O950)</f>
        <v/>
      </c>
      <c r="Q950" s="23" t="n">
        <v>31.4155</v>
      </c>
      <c r="R950" s="23" t="n">
        <v>73.08969999999999</v>
      </c>
    </row>
    <row r="951" ht="15" customHeight="1" s="12">
      <c r="A951" s="18" t="inlineStr">
        <is>
          <t>Aurangabad</t>
        </is>
      </c>
      <c r="B951" s="18" t="inlineStr">
        <is>
          <t>India</t>
        </is>
      </c>
      <c r="C951" s="19" t="n">
        <v>1417492000</v>
      </c>
      <c r="D951" s="18" t="inlineStr">
        <is>
          <t>IN</t>
        </is>
      </c>
      <c r="E951" s="18" t="inlineStr">
        <is>
          <t>16</t>
        </is>
      </c>
      <c r="F951" s="20" t="n">
        <v>1016441</v>
      </c>
      <c r="G951" s="18" t="n"/>
      <c r="H951" s="18" t="inlineStr">
        <is>
          <t>IXU</t>
        </is>
      </c>
      <c r="I951" s="18" t="inlineStr">
        <is>
          <t>Aurangabad Airport</t>
        </is>
      </c>
      <c r="J951" s="21" t="n">
        <v>5.9</v>
      </c>
      <c r="K951" s="18" t="inlineStr">
        <is>
          <t>IXU</t>
        </is>
      </c>
      <c r="L951" s="18" t="inlineStr">
        <is>
          <t>100k +  pop + airport</t>
        </is>
      </c>
      <c r="M951" s="22" t="n">
        <v>0.513</v>
      </c>
      <c r="N951" s="22" t="n">
        <v>0</v>
      </c>
      <c r="O951" s="18" t="n"/>
      <c r="P951" s="22">
        <f>IF(O951="",(About!$B$5*M951+About!$B$6*N951)/(About!$B$5+About!$B$6),About!$B$5*M951+About!$B$6*N951+About!$B$7*O951)</f>
        <v/>
      </c>
      <c r="Q951" s="23" t="n">
        <v>19.8776</v>
      </c>
      <c r="R951" s="23" t="n">
        <v>75.34229999999999</v>
      </c>
    </row>
    <row r="952" ht="15" customHeight="1" s="12">
      <c r="A952" s="18" t="inlineStr">
        <is>
          <t>Abadan</t>
        </is>
      </c>
      <c r="B952" s="18" t="inlineStr">
        <is>
          <t>Iran</t>
        </is>
      </c>
      <c r="C952" s="19" t="n">
        <v>87134000</v>
      </c>
      <c r="D952" s="18" t="inlineStr">
        <is>
          <t>IR</t>
        </is>
      </c>
      <c r="E952" s="18" t="inlineStr">
        <is>
          <t>15</t>
        </is>
      </c>
      <c r="F952" s="20" t="n">
        <v>370180</v>
      </c>
      <c r="G952" s="18" t="n"/>
      <c r="H952" s="18" t="inlineStr">
        <is>
          <t>ABD</t>
        </is>
      </c>
      <c r="I952" s="18" t="inlineStr">
        <is>
          <t>Abadan Ayatollah Jami International Airport</t>
        </is>
      </c>
      <c r="J952" s="21" t="n">
        <v>7.8</v>
      </c>
      <c r="K952" s="18" t="inlineStr">
        <is>
          <t>ABD</t>
        </is>
      </c>
      <c r="L952" s="18" t="inlineStr">
        <is>
          <t>100k +  pop + airport</t>
        </is>
      </c>
      <c r="M952" s="22" t="n">
        <v>0.512</v>
      </c>
      <c r="N952" s="22" t="n">
        <v>0</v>
      </c>
      <c r="O952" s="18" t="n"/>
      <c r="P952" s="22">
        <f>IF(O952="",(About!$B$5*M952+About!$B$6*N952)/(About!$B$5+About!$B$6),About!$B$5*M952+About!$B$6*N952+About!$B$7*O952)</f>
        <v/>
      </c>
      <c r="Q952" s="23" t="n">
        <v>30.3392</v>
      </c>
      <c r="R952" s="23" t="n">
        <v>48.3043</v>
      </c>
    </row>
    <row r="953" ht="15" customHeight="1" s="12">
      <c r="A953" s="18" t="inlineStr">
        <is>
          <t>Khorramshahr</t>
        </is>
      </c>
      <c r="B953" s="18" t="inlineStr">
        <is>
          <t>Iran</t>
        </is>
      </c>
      <c r="C953" s="19" t="n">
        <v>87134000</v>
      </c>
      <c r="D953" s="18" t="inlineStr">
        <is>
          <t>IR</t>
        </is>
      </c>
      <c r="E953" s="18" t="inlineStr">
        <is>
          <t>15</t>
        </is>
      </c>
      <c r="F953" s="20" t="n">
        <v>330606</v>
      </c>
      <c r="G953" s="18" t="n"/>
      <c r="H953" s="18" t="inlineStr">
        <is>
          <t>ABD</t>
        </is>
      </c>
      <c r="I953" s="18" t="inlineStr">
        <is>
          <t>Abadan Ayatollah Jami International Airport</t>
        </is>
      </c>
      <c r="J953" s="21" t="n">
        <v>9.199999999999999</v>
      </c>
      <c r="K953" s="18" t="inlineStr">
        <is>
          <t>ABD</t>
        </is>
      </c>
      <c r="L953" s="18" t="inlineStr">
        <is>
          <t>100k +  pop + airport</t>
        </is>
      </c>
      <c r="M953" s="22" t="n">
        <v>0.512</v>
      </c>
      <c r="N953" s="22" t="n">
        <v>0</v>
      </c>
      <c r="O953" s="18" t="n"/>
      <c r="P953" s="22">
        <f>IF(O953="",(About!$B$5*M953+About!$B$6*N953)/(About!$B$5+About!$B$6),About!$B$5*M953+About!$B$6*N953+About!$B$7*O953)</f>
        <v/>
      </c>
      <c r="Q953" s="23" t="n">
        <v>30.4408</v>
      </c>
      <c r="R953" s="23" t="n">
        <v>48.1843</v>
      </c>
    </row>
    <row r="954" ht="15" customHeight="1" s="12">
      <c r="A954" s="18" t="inlineStr">
        <is>
          <t>Mazār-e Sharīf</t>
        </is>
      </c>
      <c r="B954" s="18" t="inlineStr">
        <is>
          <t>Afghanistan</t>
        </is>
      </c>
      <c r="C954" s="19" t="n">
        <v>43844000</v>
      </c>
      <c r="D954" s="18" t="inlineStr">
        <is>
          <t>AF</t>
        </is>
      </c>
      <c r="E954" s="18" t="inlineStr">
        <is>
          <t>30</t>
        </is>
      </c>
      <c r="F954" s="20" t="n">
        <v>303282</v>
      </c>
      <c r="G954" s="18" t="n"/>
      <c r="H954" s="18" t="inlineStr">
        <is>
          <t>MZR</t>
        </is>
      </c>
      <c r="I954" s="18" t="inlineStr">
        <is>
          <t>Mazar-i-Sharif International Airport</t>
        </is>
      </c>
      <c r="J954" s="21" t="n">
        <v>8.9</v>
      </c>
      <c r="K954" s="18" t="inlineStr">
        <is>
          <t>MZR</t>
        </is>
      </c>
      <c r="L954" s="18" t="inlineStr">
        <is>
          <t>100k +  pop + airport</t>
        </is>
      </c>
      <c r="M954" s="22" t="n">
        <v>0.512</v>
      </c>
      <c r="N954" s="22" t="n">
        <v>0</v>
      </c>
      <c r="O954" s="18" t="n"/>
      <c r="P954" s="22">
        <f>IF(O954="",(About!$B$5*M954+About!$B$6*N954)/(About!$B$5+About!$B$6),About!$B$5*M954+About!$B$6*N954+About!$B$7*O954)</f>
        <v/>
      </c>
      <c r="Q954" s="23" t="n">
        <v>36.709</v>
      </c>
      <c r="R954" s="23" t="n">
        <v>67.1109</v>
      </c>
    </row>
    <row r="955" ht="15" customHeight="1" s="12">
      <c r="A955" s="18" t="inlineStr">
        <is>
          <t>Hamilton</t>
        </is>
      </c>
      <c r="B955" s="18" t="inlineStr">
        <is>
          <t>Bermuda</t>
        </is>
      </c>
      <c r="C955" s="19" t="n">
        <v>64055</v>
      </c>
      <c r="D955" s="18" t="inlineStr">
        <is>
          <t>BM</t>
        </is>
      </c>
      <c r="E955" s="18" t="inlineStr">
        <is>
          <t>03</t>
        </is>
      </c>
      <c r="F955" s="20" t="n">
        <v>902</v>
      </c>
      <c r="G955" s="18" t="inlineStr">
        <is>
          <t>Yes</t>
        </is>
      </c>
      <c r="H955" s="18" t="inlineStr">
        <is>
          <t>BDA</t>
        </is>
      </c>
      <c r="I955" s="18" t="inlineStr">
        <is>
          <t>L.F. Wade International Airport</t>
        </is>
      </c>
      <c r="J955" s="21" t="n">
        <v>12.5</v>
      </c>
      <c r="K955" s="18" t="inlineStr">
        <is>
          <t>BDA</t>
        </is>
      </c>
      <c r="L955" s="18" t="inlineStr">
        <is>
          <t>capital</t>
        </is>
      </c>
      <c r="M955" s="22" t="n">
        <v>0.512</v>
      </c>
      <c r="N955" s="22" t="n">
        <v>0</v>
      </c>
      <c r="O955" s="18" t="n"/>
      <c r="P955" s="22">
        <f>IF(O955="",(About!$B$5*M955+About!$B$6*N955)/(About!$B$5+About!$B$6),About!$B$5*M955+About!$B$6*N955+About!$B$7*O955)</f>
        <v/>
      </c>
      <c r="Q955" s="23" t="n">
        <v>32.2949</v>
      </c>
      <c r="R955" s="23" t="n">
        <v>-64.783</v>
      </c>
    </row>
    <row r="956" ht="15" customHeight="1" s="12">
      <c r="A956" s="18" t="inlineStr">
        <is>
          <t>Jodhpur</t>
        </is>
      </c>
      <c r="B956" s="18" t="inlineStr">
        <is>
          <t>India</t>
        </is>
      </c>
      <c r="C956" s="19" t="n">
        <v>1417492000</v>
      </c>
      <c r="D956" s="18" t="inlineStr">
        <is>
          <t>IN</t>
        </is>
      </c>
      <c r="E956" s="18" t="inlineStr">
        <is>
          <t>24</t>
        </is>
      </c>
      <c r="F956" s="20" t="n">
        <v>921476</v>
      </c>
      <c r="G956" s="18" t="n"/>
      <c r="H956" s="18" t="inlineStr">
        <is>
          <t>JDH</t>
        </is>
      </c>
      <c r="I956" s="18" t="inlineStr">
        <is>
          <t>Jodhpur Airport</t>
        </is>
      </c>
      <c r="J956" s="21" t="n">
        <v>4.7</v>
      </c>
      <c r="K956" s="18" t="inlineStr">
        <is>
          <t>JDH</t>
        </is>
      </c>
      <c r="L956" s="18" t="inlineStr">
        <is>
          <t>100k +  pop + airport</t>
        </is>
      </c>
      <c r="M956" s="22" t="n">
        <v>0.51</v>
      </c>
      <c r="N956" s="22" t="n">
        <v>0</v>
      </c>
      <c r="O956" s="18" t="n"/>
      <c r="P956" s="22">
        <f>IF(O956="",(About!$B$5*M956+About!$B$6*N956)/(About!$B$5+About!$B$6),About!$B$5*M956+About!$B$6*N956+About!$B$7*O956)</f>
        <v/>
      </c>
      <c r="Q956" s="23" t="n">
        <v>26.2684</v>
      </c>
      <c r="R956" s="23" t="n">
        <v>73.0059</v>
      </c>
    </row>
    <row r="957" ht="15" customHeight="1" s="12">
      <c r="A957" s="18" t="inlineStr">
        <is>
          <t>Malang</t>
        </is>
      </c>
      <c r="B957" s="18" t="inlineStr">
        <is>
          <t>Indonesia</t>
        </is>
      </c>
      <c r="C957" s="19" t="n">
        <v>288315089</v>
      </c>
      <c r="D957" s="18" t="inlineStr">
        <is>
          <t>ID</t>
        </is>
      </c>
      <c r="E957" s="18" t="inlineStr">
        <is>
          <t>08</t>
        </is>
      </c>
      <c r="F957" s="20" t="n">
        <v>746716</v>
      </c>
      <c r="G957" s="18" t="n"/>
      <c r="H957" s="18" t="inlineStr">
        <is>
          <t>MLG</t>
        </is>
      </c>
      <c r="I957" s="18" t="inlineStr">
        <is>
          <t>Abdul Rachman Saleh Airport</t>
        </is>
      </c>
      <c r="J957" s="21" t="n">
        <v>10.8</v>
      </c>
      <c r="K957" s="18" t="inlineStr">
        <is>
          <t>MLG</t>
        </is>
      </c>
      <c r="L957" s="18" t="inlineStr">
        <is>
          <t>100k +  pop + airport</t>
        </is>
      </c>
      <c r="M957" s="22" t="n">
        <v>0.509</v>
      </c>
      <c r="N957" s="22" t="n">
        <v>0</v>
      </c>
      <c r="O957" s="18" t="n"/>
      <c r="P957" s="22">
        <f>IF(O957="",(About!$B$5*M957+About!$B$6*N957)/(About!$B$5+About!$B$6),About!$B$5*M957+About!$B$6*N957+About!$B$7*O957)</f>
        <v/>
      </c>
      <c r="Q957" s="23" t="n">
        <v>-7.9797</v>
      </c>
      <c r="R957" s="23" t="n">
        <v>112.6304</v>
      </c>
    </row>
    <row r="958" ht="15" customHeight="1" s="12">
      <c r="A958" s="18" t="inlineStr">
        <is>
          <t>Bloemfontein</t>
        </is>
      </c>
      <c r="B958" s="18" t="inlineStr">
        <is>
          <t>South Africa</t>
        </is>
      </c>
      <c r="C958" s="19" t="n">
        <v>63100945</v>
      </c>
      <c r="D958" s="18" t="inlineStr">
        <is>
          <t>ZA</t>
        </is>
      </c>
      <c r="E958" s="18" t="inlineStr">
        <is>
          <t>03</t>
        </is>
      </c>
      <c r="F958" s="20" t="n">
        <v>463064</v>
      </c>
      <c r="G958" s="18" t="n"/>
      <c r="H958" s="18" t="inlineStr">
        <is>
          <t>BFN</t>
        </is>
      </c>
      <c r="I958" s="18" t="inlineStr">
        <is>
          <t>Bram Fischer International Airport</t>
        </is>
      </c>
      <c r="J958" s="21" t="n">
        <v>9.1</v>
      </c>
      <c r="K958" s="18" t="inlineStr">
        <is>
          <t>BFN</t>
        </is>
      </c>
      <c r="L958" s="18" t="inlineStr">
        <is>
          <t>100k +  pop + airport</t>
        </is>
      </c>
      <c r="M958" s="22" t="n">
        <v>0.509</v>
      </c>
      <c r="N958" s="22" t="n">
        <v>0</v>
      </c>
      <c r="O958" s="18" t="n"/>
      <c r="P958" s="22">
        <f>IF(O958="",(About!$B$5*M958+About!$B$6*N958)/(About!$B$5+About!$B$6),About!$B$5*M958+About!$B$6*N958+About!$B$7*O958)</f>
        <v/>
      </c>
      <c r="Q958" s="23" t="n">
        <v>-29.1211</v>
      </c>
      <c r="R958" s="23" t="n">
        <v>26.214</v>
      </c>
    </row>
    <row r="959" ht="15" customHeight="1" s="12">
      <c r="A959" s="18" t="inlineStr">
        <is>
          <t>Samarkand</t>
        </is>
      </c>
      <c r="B959" s="18" t="inlineStr">
        <is>
          <t>Uzbekistan</t>
        </is>
      </c>
      <c r="C959" s="19" t="n">
        <v>38382685</v>
      </c>
      <c r="D959" s="18" t="inlineStr">
        <is>
          <t>UZ</t>
        </is>
      </c>
      <c r="E959" s="18" t="inlineStr">
        <is>
          <t>10</t>
        </is>
      </c>
      <c r="F959" s="20" t="n">
        <v>319366</v>
      </c>
      <c r="G959" s="18" t="n"/>
      <c r="H959" s="18" t="inlineStr">
        <is>
          <t>SKD</t>
        </is>
      </c>
      <c r="I959" s="18" t="inlineStr">
        <is>
          <t>Samarkand International Airport</t>
        </is>
      </c>
      <c r="J959" s="21" t="n">
        <v>5.6</v>
      </c>
      <c r="K959" s="18" t="inlineStr">
        <is>
          <t>SKD</t>
        </is>
      </c>
      <c r="L959" s="18" t="inlineStr">
        <is>
          <t>100k +  pop + airport</t>
        </is>
      </c>
      <c r="M959" s="22" t="n">
        <v>0.51</v>
      </c>
      <c r="N959" s="22" t="n">
        <v>0</v>
      </c>
      <c r="O959" s="18" t="n"/>
      <c r="P959" s="22">
        <f>IF(O959="",(About!$B$5*M959+About!$B$6*N959)/(About!$B$5+About!$B$6),About!$B$5*M959+About!$B$6*N959+About!$B$7*O959)</f>
        <v/>
      </c>
      <c r="Q959" s="23" t="n">
        <v>39.6542</v>
      </c>
      <c r="R959" s="23" t="n">
        <v>66.9597</v>
      </c>
    </row>
    <row r="960" ht="15" customHeight="1" s="12">
      <c r="A960" s="18" t="inlineStr">
        <is>
          <t>Tampere</t>
        </is>
      </c>
      <c r="B960" s="18" t="inlineStr">
        <is>
          <t>Finland</t>
        </is>
      </c>
      <c r="C960" s="19" t="n">
        <v>5650152</v>
      </c>
      <c r="D960" s="18" t="inlineStr">
        <is>
          <t>FI</t>
        </is>
      </c>
      <c r="E960" s="18" t="inlineStr">
        <is>
          <t>06</t>
        </is>
      </c>
      <c r="F960" s="20" t="n">
        <v>202687</v>
      </c>
      <c r="G960" s="18" t="n"/>
      <c r="H960" s="18" t="inlineStr">
        <is>
          <t>TMP</t>
        </is>
      </c>
      <c r="I960" s="18" t="inlineStr">
        <is>
          <t>Tampere-Pirkkala Airport</t>
        </is>
      </c>
      <c r="J960" s="21" t="n">
        <v>13.5</v>
      </c>
      <c r="K960" s="18" t="inlineStr">
        <is>
          <t>TMP</t>
        </is>
      </c>
      <c r="L960" s="18" t="inlineStr">
        <is>
          <t>100k +  pop</t>
        </is>
      </c>
      <c r="M960" s="22" t="n">
        <v>0.511</v>
      </c>
      <c r="N960" s="22" t="n">
        <v>0</v>
      </c>
      <c r="O960" s="18" t="n"/>
      <c r="P960" s="22">
        <f>IF(O960="",(About!$B$5*M960+About!$B$6*N960)/(About!$B$5+About!$B$6),About!$B$5*M960+About!$B$6*N960+About!$B$7*O960)</f>
        <v/>
      </c>
      <c r="Q960" s="23" t="n">
        <v>61.4991</v>
      </c>
      <c r="R960" s="23" t="n">
        <v>23.7871</v>
      </c>
    </row>
    <row r="961" ht="15" customHeight="1" s="12">
      <c r="A961" s="18" t="inlineStr">
        <is>
          <t>Zacatecas</t>
        </is>
      </c>
      <c r="B961" s="18" t="inlineStr">
        <is>
          <t>Mexico</t>
        </is>
      </c>
      <c r="C961" s="19" t="n">
        <v>131150866</v>
      </c>
      <c r="D961" s="18" t="inlineStr">
        <is>
          <t>MX</t>
        </is>
      </c>
      <c r="E961" s="18" t="inlineStr">
        <is>
          <t>32</t>
        </is>
      </c>
      <c r="F961" s="20" t="n">
        <v>129011</v>
      </c>
      <c r="G961" s="18" t="n"/>
      <c r="H961" s="18" t="inlineStr">
        <is>
          <t>ZCL</t>
        </is>
      </c>
      <c r="I961" s="18" t="inlineStr">
        <is>
          <t>General Leobardo C. Ruiz International Airport</t>
        </is>
      </c>
      <c r="J961" s="21" t="n">
        <v>17.8</v>
      </c>
      <c r="K961" s="18" t="inlineStr">
        <is>
          <t>ZCL</t>
        </is>
      </c>
      <c r="L961" s="18" t="inlineStr">
        <is>
          <t>100k +  pop + airport</t>
        </is>
      </c>
      <c r="M961" s="22" t="n">
        <v>0.51</v>
      </c>
      <c r="N961" s="22" t="n">
        <v>0</v>
      </c>
      <c r="O961" s="18" t="n"/>
      <c r="P961" s="22">
        <f>IF(O961="",(About!$B$5*M961+About!$B$6*N961)/(About!$B$5+About!$B$6),About!$B$5*M961+About!$B$6*N961+About!$B$7*O961)</f>
        <v/>
      </c>
      <c r="Q961" s="23" t="n">
        <v>22.7684</v>
      </c>
      <c r="R961" s="23" t="n">
        <v>-102.5814</v>
      </c>
    </row>
    <row r="962" ht="15" customHeight="1" s="12">
      <c r="A962" s="18" t="inlineStr">
        <is>
          <t>Pleiku</t>
        </is>
      </c>
      <c r="B962" s="18" t="inlineStr">
        <is>
          <t>Vietnam</t>
        </is>
      </c>
      <c r="C962" s="19" t="n">
        <v>102300000</v>
      </c>
      <c r="D962" s="18" t="inlineStr">
        <is>
          <t>VN</t>
        </is>
      </c>
      <c r="E962" s="18" t="inlineStr">
        <is>
          <t>49</t>
        </is>
      </c>
      <c r="F962" s="20" t="n">
        <v>114225</v>
      </c>
      <c r="G962" s="18" t="n"/>
      <c r="H962" s="18" t="inlineStr">
        <is>
          <t>PXU</t>
        </is>
      </c>
      <c r="I962" s="18" t="inlineStr">
        <is>
          <t>Pleiku Airport</t>
        </is>
      </c>
      <c r="J962" s="21" t="n">
        <v>3</v>
      </c>
      <c r="K962" s="18" t="inlineStr">
        <is>
          <t>PXU</t>
        </is>
      </c>
      <c r="L962" s="18" t="inlineStr">
        <is>
          <t>100k +  pop + airport</t>
        </is>
      </c>
      <c r="M962" s="22" t="n">
        <v>0.51</v>
      </c>
      <c r="N962" s="22" t="n">
        <v>0</v>
      </c>
      <c r="O962" s="18" t="n"/>
      <c r="P962" s="22">
        <f>IF(O962="",(About!$B$5*M962+About!$B$6*N962)/(About!$B$5+About!$B$6),About!$B$5*M962+About!$B$6*N962+About!$B$7*O962)</f>
        <v/>
      </c>
      <c r="Q962" s="23" t="n">
        <v>13.9833</v>
      </c>
      <c r="R962" s="23" t="n">
        <v>108</v>
      </c>
    </row>
    <row r="963" ht="15" customHeight="1" s="12">
      <c r="A963" s="18" t="inlineStr">
        <is>
          <t>Trincomalee</t>
        </is>
      </c>
      <c r="B963" s="18" t="inlineStr">
        <is>
          <t>Sri Lanka</t>
        </is>
      </c>
      <c r="C963" s="19" t="n">
        <v>21781800</v>
      </c>
      <c r="D963" s="18" t="inlineStr">
        <is>
          <t>LK</t>
        </is>
      </c>
      <c r="E963" s="18" t="inlineStr">
        <is>
          <t>37</t>
        </is>
      </c>
      <c r="F963" s="20" t="n">
        <v>108420</v>
      </c>
      <c r="G963" s="18" t="n"/>
      <c r="H963" s="18" t="inlineStr">
        <is>
          <t>TRR</t>
        </is>
      </c>
      <c r="I963" s="18" t="inlineStr">
        <is>
          <t>China Bay Airport</t>
        </is>
      </c>
      <c r="J963" s="21" t="n">
        <v>6.8</v>
      </c>
      <c r="K963" s="18" t="inlineStr">
        <is>
          <t>TRR</t>
        </is>
      </c>
      <c r="L963" s="18" t="inlineStr">
        <is>
          <t>100k +  pop + airport</t>
        </is>
      </c>
      <c r="M963" s="22" t="n">
        <v>0.51</v>
      </c>
      <c r="N963" s="22" t="n">
        <v>0</v>
      </c>
      <c r="O963" s="18" t="n"/>
      <c r="P963" s="22">
        <f>IF(O963="",(About!$B$5*M963+About!$B$6*N963)/(About!$B$5+About!$B$6),About!$B$5*M963+About!$B$6*N963+About!$B$7*O963)</f>
        <v/>
      </c>
      <c r="Q963" s="23" t="n">
        <v>8.5778</v>
      </c>
      <c r="R963" s="23" t="n">
        <v>81.2289</v>
      </c>
    </row>
    <row r="964" ht="15" customHeight="1" s="12">
      <c r="A964" s="18" t="inlineStr">
        <is>
          <t>Banyuwangi</t>
        </is>
      </c>
      <c r="B964" s="18" t="inlineStr">
        <is>
          <t>Indonesia</t>
        </is>
      </c>
      <c r="C964" s="19" t="n">
        <v>288315089</v>
      </c>
      <c r="D964" s="18" t="inlineStr">
        <is>
          <t>ID</t>
        </is>
      </c>
      <c r="E964" s="18" t="inlineStr">
        <is>
          <t>08</t>
        </is>
      </c>
      <c r="F964" s="20" t="n">
        <v>108166</v>
      </c>
      <c r="G964" s="18" t="n"/>
      <c r="H964" s="18" t="inlineStr">
        <is>
          <t>BWX</t>
        </is>
      </c>
      <c r="I964" s="18" t="inlineStr">
        <is>
          <t>Banyuwangi Airport</t>
        </is>
      </c>
      <c r="J964" s="21" t="n">
        <v>8.800000000000001</v>
      </c>
      <c r="K964" s="18" t="inlineStr">
        <is>
          <t>BWX</t>
        </is>
      </c>
      <c r="L964" s="18" t="inlineStr">
        <is>
          <t>100k +  pop + airport</t>
        </is>
      </c>
      <c r="M964" s="22" t="n">
        <v>0.51</v>
      </c>
      <c r="N964" s="22" t="n">
        <v>0</v>
      </c>
      <c r="O964" s="18" t="n"/>
      <c r="P964" s="22">
        <f>IF(O964="",(About!$B$5*M964+About!$B$6*N964)/(About!$B$5+About!$B$6),About!$B$5*M964+About!$B$6*N964+About!$B$7*O964)</f>
        <v/>
      </c>
      <c r="Q964" s="23" t="n">
        <v>-8.2325</v>
      </c>
      <c r="R964" s="23" t="n">
        <v>114.3576</v>
      </c>
    </row>
    <row r="965" ht="15" customHeight="1" s="12">
      <c r="A965" s="18" t="inlineStr">
        <is>
          <t>Chios</t>
        </is>
      </c>
      <c r="B965" s="18" t="inlineStr">
        <is>
          <t>Greece</t>
        </is>
      </c>
      <c r="C965" s="19" t="n">
        <v>10372335</v>
      </c>
      <c r="D965" s="18" t="inlineStr">
        <is>
          <t>GR</t>
        </is>
      </c>
      <c r="E965" s="18" t="inlineStr">
        <is>
          <t>ESYE41</t>
        </is>
      </c>
      <c r="F965" s="20" t="n">
        <v>23953</v>
      </c>
      <c r="G965" s="18" t="n"/>
      <c r="H965" s="18" t="inlineStr">
        <is>
          <t>JKH</t>
        </is>
      </c>
      <c r="I965" s="18" t="inlineStr">
        <is>
          <t>Chios Island National Airport</t>
        </is>
      </c>
      <c r="J965" s="21" t="n">
        <v>2.9</v>
      </c>
      <c r="K965" s="18" t="inlineStr">
        <is>
          <t>JKH</t>
        </is>
      </c>
      <c r="L965" s="18" t="inlineStr">
        <is>
          <t>airport</t>
        </is>
      </c>
      <c r="M965" s="22" t="n">
        <v>0.509</v>
      </c>
      <c r="N965" s="22" t="n">
        <v>0</v>
      </c>
      <c r="O965" s="18" t="n"/>
      <c r="P965" s="22">
        <f>IF(O965="",(About!$B$5*M965+About!$B$6*N965)/(About!$B$5+About!$B$6),About!$B$5*M965+About!$B$6*N965+About!$B$7*O965)</f>
        <v/>
      </c>
      <c r="Q965" s="23" t="n">
        <v>38.3687</v>
      </c>
      <c r="R965" s="23" t="n">
        <v>26.1372</v>
      </c>
    </row>
    <row r="966" ht="15" customHeight="1" s="12">
      <c r="A966" s="18" t="inlineStr">
        <is>
          <t>Acapulco de Juárez</t>
        </is>
      </c>
      <c r="B966" s="18" t="inlineStr">
        <is>
          <t>Mexico</t>
        </is>
      </c>
      <c r="C966" s="19" t="n">
        <v>131150866</v>
      </c>
      <c r="D966" s="18" t="inlineStr">
        <is>
          <t>MX</t>
        </is>
      </c>
      <c r="E966" s="18" t="inlineStr">
        <is>
          <t>12</t>
        </is>
      </c>
      <c r="F966" s="20" t="n">
        <v>673479</v>
      </c>
      <c r="G966" s="18" t="n"/>
      <c r="H966" s="18" t="inlineStr">
        <is>
          <t>ACA</t>
        </is>
      </c>
      <c r="I966" s="18" t="inlineStr">
        <is>
          <t>General Juan N. Álvarez International Airport</t>
        </is>
      </c>
      <c r="J966" s="21" t="n">
        <v>19.5</v>
      </c>
      <c r="K966" s="18" t="inlineStr">
        <is>
          <t>ACA</t>
        </is>
      </c>
      <c r="L966" s="18" t="inlineStr">
        <is>
          <t>100k +  pop</t>
        </is>
      </c>
      <c r="M966" s="22" t="n">
        <v>0.508</v>
      </c>
      <c r="N966" s="22" t="n">
        <v>0</v>
      </c>
      <c r="O966" s="18" t="n"/>
      <c r="P966" s="22">
        <f>IF(O966="",(About!$B$5*M966+About!$B$6*N966)/(About!$B$5+About!$B$6),About!$B$5*M966+About!$B$6*N966+About!$B$7*O966)</f>
        <v/>
      </c>
      <c r="Q966" s="23" t="n">
        <v>16.8494</v>
      </c>
      <c r="R966" s="23" t="n">
        <v>-99.9089</v>
      </c>
    </row>
    <row r="967" ht="15" customHeight="1" s="12">
      <c r="A967" s="18" t="inlineStr">
        <is>
          <t>Montería</t>
        </is>
      </c>
      <c r="B967" s="18" t="inlineStr">
        <is>
          <t>Colombia</t>
        </is>
      </c>
      <c r="C967" s="19" t="n">
        <v>53057212</v>
      </c>
      <c r="D967" s="18" t="inlineStr">
        <is>
          <t>CO</t>
        </is>
      </c>
      <c r="E967" s="18" t="inlineStr">
        <is>
          <t>12</t>
        </is>
      </c>
      <c r="F967" s="20" t="n">
        <v>272420</v>
      </c>
      <c r="G967" s="18" t="n"/>
      <c r="H967" s="18" t="inlineStr">
        <is>
          <t>MTR</t>
        </is>
      </c>
      <c r="I967" s="18" t="inlineStr">
        <is>
          <t>Los Garzones Airport</t>
        </is>
      </c>
      <c r="J967" s="21" t="n">
        <v>10.4</v>
      </c>
      <c r="K967" s="18" t="inlineStr">
        <is>
          <t>MTR</t>
        </is>
      </c>
      <c r="L967" s="18" t="inlineStr">
        <is>
          <t>100k +  pop + airport</t>
        </is>
      </c>
      <c r="M967" s="22" t="n">
        <v>0.508</v>
      </c>
      <c r="N967" s="22" t="n">
        <v>0</v>
      </c>
      <c r="O967" s="18" t="n"/>
      <c r="P967" s="22">
        <f>IF(O967="",(About!$B$5*M967+About!$B$6*N967)/(About!$B$5+About!$B$6),About!$B$5*M967+About!$B$6*N967+About!$B$7*O967)</f>
        <v/>
      </c>
      <c r="Q967" s="23" t="n">
        <v>8.747999999999999</v>
      </c>
      <c r="R967" s="23" t="n">
        <v>-75.8814</v>
      </c>
    </row>
    <row r="968" ht="15" customHeight="1" s="12">
      <c r="A968" s="18" t="inlineStr">
        <is>
          <t>Salamanca</t>
        </is>
      </c>
      <c r="B968" s="18" t="inlineStr">
        <is>
          <t>Spain</t>
        </is>
      </c>
      <c r="C968" s="19" t="n">
        <v>49687120</v>
      </c>
      <c r="D968" s="18" t="inlineStr">
        <is>
          <t>ES</t>
        </is>
      </c>
      <c r="E968" s="18" t="inlineStr">
        <is>
          <t>55</t>
        </is>
      </c>
      <c r="F968" s="20" t="n">
        <v>155619</v>
      </c>
      <c r="G968" s="18" t="n"/>
      <c r="H968" s="18" t="inlineStr">
        <is>
          <t>SLM</t>
        </is>
      </c>
      <c r="I968" s="18" t="inlineStr">
        <is>
          <t>Salamanca Airport</t>
        </is>
      </c>
      <c r="J968" s="21" t="n">
        <v>13.7</v>
      </c>
      <c r="K968" s="18" t="inlineStr">
        <is>
          <t>SLM</t>
        </is>
      </c>
      <c r="L968" s="18" t="inlineStr">
        <is>
          <t>100k +  pop + airport</t>
        </is>
      </c>
      <c r="M968" s="22" t="n">
        <v>0.508</v>
      </c>
      <c r="N968" s="22" t="n">
        <v>0</v>
      </c>
      <c r="O968" s="18" t="n"/>
      <c r="P968" s="22">
        <f>IF(O968="",(About!$B$5*M968+About!$B$6*N968)/(About!$B$5+About!$B$6),About!$B$5*M968+About!$B$6*N968+About!$B$7*O968)</f>
        <v/>
      </c>
      <c r="Q968" s="23" t="n">
        <v>40.9688</v>
      </c>
      <c r="R968" s="23" t="n">
        <v>-5.6639</v>
      </c>
    </row>
    <row r="969" ht="15" customHeight="1" s="12">
      <c r="A969" s="18" t="inlineStr">
        <is>
          <t>Podgorica</t>
        </is>
      </c>
      <c r="B969" s="18" t="inlineStr">
        <is>
          <t>Montenegro</t>
        </is>
      </c>
      <c r="C969" s="19" t="n">
        <v>623327</v>
      </c>
      <c r="D969" s="18" t="inlineStr">
        <is>
          <t>ME</t>
        </is>
      </c>
      <c r="E969" s="18" t="inlineStr">
        <is>
          <t>16</t>
        </is>
      </c>
      <c r="F969" s="20" t="n">
        <v>136473</v>
      </c>
      <c r="G969" s="18" t="inlineStr">
        <is>
          <t>Yes</t>
        </is>
      </c>
      <c r="H969" s="18" t="inlineStr">
        <is>
          <t>TGD</t>
        </is>
      </c>
      <c r="I969" s="18" t="inlineStr">
        <is>
          <t>Podgorica Airport / Podgorica Golubovci Airbase</t>
        </is>
      </c>
      <c r="J969" s="21" t="n">
        <v>9.1</v>
      </c>
      <c r="K969" s="18" t="inlineStr">
        <is>
          <t>TGD</t>
        </is>
      </c>
      <c r="L969" s="18" t="inlineStr">
        <is>
          <t>100k +  pop + capital + airport</t>
        </is>
      </c>
      <c r="M969" s="22" t="n">
        <v>0.508</v>
      </c>
      <c r="N969" s="22" t="n">
        <v>0</v>
      </c>
      <c r="O969" s="18" t="n"/>
      <c r="P969" s="22">
        <f>IF(O969="",(About!$B$5*M969+About!$B$6*N969)/(About!$B$5+About!$B$6),About!$B$5*M969+About!$B$6*N969+About!$B$7*O969)</f>
        <v/>
      </c>
      <c r="Q969" s="23" t="n">
        <v>42.4411</v>
      </c>
      <c r="R969" s="23" t="n">
        <v>19.2636</v>
      </c>
    </row>
    <row r="970" ht="15" customHeight="1" s="12">
      <c r="A970" s="18" t="inlineStr">
        <is>
          <t>Orūmīyeh</t>
        </is>
      </c>
      <c r="B970" s="18" t="inlineStr">
        <is>
          <t>Iran</t>
        </is>
      </c>
      <c r="C970" s="19" t="n">
        <v>87134000</v>
      </c>
      <c r="D970" s="18" t="inlineStr">
        <is>
          <t>IR</t>
        </is>
      </c>
      <c r="E970" s="18" t="inlineStr">
        <is>
          <t>01</t>
        </is>
      </c>
      <c r="F970" s="20" t="n">
        <v>577307</v>
      </c>
      <c r="G970" s="18" t="n"/>
      <c r="H970" s="18" t="inlineStr">
        <is>
          <t>OMH</t>
        </is>
      </c>
      <c r="I970" s="18" t="inlineStr">
        <is>
          <t>Urmia Airport</t>
        </is>
      </c>
      <c r="J970" s="21" t="n">
        <v>12.8</v>
      </c>
      <c r="K970" s="18" t="inlineStr">
        <is>
          <t>OMH</t>
        </is>
      </c>
      <c r="L970" s="18" t="inlineStr">
        <is>
          <t>100k +  pop</t>
        </is>
      </c>
      <c r="M970" s="22" t="n">
        <v>0.505</v>
      </c>
      <c r="N970" s="22" t="n">
        <v>0</v>
      </c>
      <c r="O970" s="18" t="n"/>
      <c r="P970" s="22">
        <f>IF(O970="",(About!$B$5*M970+About!$B$6*N970)/(About!$B$5+About!$B$6),About!$B$5*M970+About!$B$6*N970+About!$B$7*O970)</f>
        <v/>
      </c>
      <c r="Q970" s="23" t="n">
        <v>37.5527</v>
      </c>
      <c r="R970" s="23" t="n">
        <v>45.0761</v>
      </c>
    </row>
    <row r="971" ht="15" customHeight="1" s="12">
      <c r="A971" s="18" t="inlineStr">
        <is>
          <t>Iquitos</t>
        </is>
      </c>
      <c r="B971" s="18" t="inlineStr">
        <is>
          <t>Peru</t>
        </is>
      </c>
      <c r="C971" s="19" t="n">
        <v>34350244</v>
      </c>
      <c r="D971" s="18" t="inlineStr">
        <is>
          <t>PE</t>
        </is>
      </c>
      <c r="E971" s="18" t="inlineStr">
        <is>
          <t>16</t>
        </is>
      </c>
      <c r="F971" s="20" t="n">
        <v>437620</v>
      </c>
      <c r="G971" s="18" t="n"/>
      <c r="H971" s="18" t="inlineStr">
        <is>
          <t>IQT</t>
        </is>
      </c>
      <c r="I971" s="18" t="inlineStr">
        <is>
          <t>Coronel FAP Francisco Secada Vignetta International Airport</t>
        </is>
      </c>
      <c r="J971" s="21" t="n">
        <v>7.3</v>
      </c>
      <c r="K971" s="18" t="inlineStr">
        <is>
          <t>IQT</t>
        </is>
      </c>
      <c r="L971" s="18" t="inlineStr">
        <is>
          <t>100k +  pop + airport</t>
        </is>
      </c>
      <c r="M971" s="22" t="n">
        <v>0.506</v>
      </c>
      <c r="N971" s="22" t="n">
        <v>0</v>
      </c>
      <c r="O971" s="18" t="n"/>
      <c r="P971" s="22">
        <f>IF(O971="",(About!$B$5*M971+About!$B$6*N971)/(About!$B$5+About!$B$6),About!$B$5*M971+About!$B$6*N971+About!$B$7*O971)</f>
        <v/>
      </c>
      <c r="Q971" s="23" t="n">
        <v>-3.7491</v>
      </c>
      <c r="R971" s="23" t="n">
        <v>-73.2538</v>
      </c>
    </row>
    <row r="972" ht="15" customHeight="1" s="12">
      <c r="A972" s="18" t="inlineStr">
        <is>
          <t>Mişrātah</t>
        </is>
      </c>
      <c r="B972" s="18" t="inlineStr">
        <is>
          <t>Libya</t>
        </is>
      </c>
      <c r="C972" s="19" t="n">
        <v>7459000</v>
      </c>
      <c r="D972" s="18" t="inlineStr">
        <is>
          <t>LY</t>
        </is>
      </c>
      <c r="E972" s="18" t="inlineStr">
        <is>
          <t>72</t>
        </is>
      </c>
      <c r="F972" s="20" t="n">
        <v>386120</v>
      </c>
      <c r="G972" s="18" t="n"/>
      <c r="H972" s="18" t="inlineStr">
        <is>
          <t>MRA</t>
        </is>
      </c>
      <c r="I972" s="18" t="inlineStr">
        <is>
          <t>Misrata International Airport</t>
        </is>
      </c>
      <c r="J972" s="21" t="n">
        <v>6.3</v>
      </c>
      <c r="K972" s="18" t="inlineStr">
        <is>
          <t>MRA</t>
        </is>
      </c>
      <c r="L972" s="18" t="inlineStr">
        <is>
          <t>100k +  pop + airport</t>
        </is>
      </c>
      <c r="M972" s="22" t="n">
        <v>0.505</v>
      </c>
      <c r="N972" s="22" t="n">
        <v>0</v>
      </c>
      <c r="O972" s="18" t="n"/>
      <c r="P972" s="22">
        <f>IF(O972="",(About!$B$5*M972+About!$B$6*N972)/(About!$B$5+About!$B$6),About!$B$5*M972+About!$B$6*N972+About!$B$7*O972)</f>
        <v/>
      </c>
      <c r="Q972" s="23" t="n">
        <v>32.3753</v>
      </c>
      <c r="R972" s="23" t="n">
        <v>15.0925</v>
      </c>
    </row>
    <row r="973" ht="15" customHeight="1" s="12">
      <c r="A973" s="18" t="inlineStr">
        <is>
          <t>Herāt</t>
        </is>
      </c>
      <c r="B973" s="18" t="inlineStr">
        <is>
          <t>Afghanistan</t>
        </is>
      </c>
      <c r="C973" s="19" t="n">
        <v>43844000</v>
      </c>
      <c r="D973" s="18" t="inlineStr">
        <is>
          <t>AF</t>
        </is>
      </c>
      <c r="E973" s="18" t="inlineStr">
        <is>
          <t>11</t>
        </is>
      </c>
      <c r="F973" s="20" t="n">
        <v>272806</v>
      </c>
      <c r="G973" s="18" t="n"/>
      <c r="H973" s="18" t="inlineStr">
        <is>
          <t>HEA</t>
        </is>
      </c>
      <c r="I973" s="18" t="inlineStr">
        <is>
          <t>Herat - Khwaja Abdullah Ansari International Airport</t>
        </is>
      </c>
      <c r="J973" s="21" t="n">
        <v>15.6</v>
      </c>
      <c r="K973" s="18" t="inlineStr">
        <is>
          <t>HEA</t>
        </is>
      </c>
      <c r="L973" s="18" t="inlineStr">
        <is>
          <t>100k +  pop</t>
        </is>
      </c>
      <c r="M973" s="22" t="n">
        <v>0.505</v>
      </c>
      <c r="N973" s="22" t="n">
        <v>0</v>
      </c>
      <c r="O973" s="18" t="n"/>
      <c r="P973" s="22">
        <f>IF(O973="",(About!$B$5*M973+About!$B$6*N973)/(About!$B$5+About!$B$6),About!$B$5*M973+About!$B$6*N973+About!$B$7*O973)</f>
        <v/>
      </c>
      <c r="Q973" s="23" t="n">
        <v>34.3482</v>
      </c>
      <c r="R973" s="23" t="n">
        <v>62.1997</v>
      </c>
    </row>
    <row r="974" ht="15" customHeight="1" s="12">
      <c r="A974" s="18" t="inlineStr">
        <is>
          <t>Sibiu</t>
        </is>
      </c>
      <c r="B974" s="18" t="inlineStr">
        <is>
          <t>Romania</t>
        </is>
      </c>
      <c r="C974" s="19" t="n">
        <v>19036031</v>
      </c>
      <c r="D974" s="18" t="inlineStr">
        <is>
          <t>RO</t>
        </is>
      </c>
      <c r="E974" s="18" t="inlineStr">
        <is>
          <t>33</t>
        </is>
      </c>
      <c r="F974" s="20" t="n">
        <v>151894</v>
      </c>
      <c r="G974" s="18" t="n"/>
      <c r="H974" s="18" t="inlineStr">
        <is>
          <t>SBZ</t>
        </is>
      </c>
      <c r="I974" s="18" t="inlineStr">
        <is>
          <t>Sibiu International Airport</t>
        </is>
      </c>
      <c r="J974" s="21" t="n">
        <v>5.2</v>
      </c>
      <c r="K974" s="18" t="inlineStr">
        <is>
          <t>SBZ</t>
        </is>
      </c>
      <c r="L974" s="18" t="inlineStr">
        <is>
          <t>100k +  pop + airport</t>
        </is>
      </c>
      <c r="M974" s="22" t="n">
        <v>0.505</v>
      </c>
      <c r="N974" s="22" t="n">
        <v>0</v>
      </c>
      <c r="O974" s="18" t="n"/>
      <c r="P974" s="22">
        <f>IF(O974="",(About!$B$5*M974+About!$B$6*N974)/(About!$B$5+About!$B$6),About!$B$5*M974+About!$B$6*N974+About!$B$7*O974)</f>
        <v/>
      </c>
      <c r="Q974" s="23" t="n">
        <v>45.8</v>
      </c>
      <c r="R974" s="23" t="n">
        <v>24.15</v>
      </c>
    </row>
    <row r="975" ht="15" customHeight="1" s="12">
      <c r="A975" s="18" t="inlineStr">
        <is>
          <t>Puerto Plata</t>
        </is>
      </c>
      <c r="B975" s="18" t="inlineStr">
        <is>
          <t>Dominican Republic</t>
        </is>
      </c>
      <c r="C975" s="19" t="n">
        <v>10771504</v>
      </c>
      <c r="D975" s="18" t="inlineStr">
        <is>
          <t>DO</t>
        </is>
      </c>
      <c r="E975" s="18" t="inlineStr">
        <is>
          <t>18</t>
        </is>
      </c>
      <c r="F975" s="20" t="n">
        <v>146000</v>
      </c>
      <c r="G975" s="18" t="n"/>
      <c r="H975" s="18" t="inlineStr">
        <is>
          <t>POP</t>
        </is>
      </c>
      <c r="I975" s="18" t="inlineStr">
        <is>
          <t>Gregorio Luperon International Airport</t>
        </is>
      </c>
      <c r="J975" s="21" t="n">
        <v>13</v>
      </c>
      <c r="K975" s="18" t="inlineStr">
        <is>
          <t>POP</t>
        </is>
      </c>
      <c r="L975" s="18" t="inlineStr">
        <is>
          <t>100k +  pop + airport</t>
        </is>
      </c>
      <c r="M975" s="22" t="n">
        <v>0.505</v>
      </c>
      <c r="N975" s="22" t="n">
        <v>0</v>
      </c>
      <c r="O975" s="18" t="n"/>
      <c r="P975" s="22">
        <f>IF(O975="",(About!$B$5*M975+About!$B$6*N975)/(About!$B$5+About!$B$6),About!$B$5*M975+About!$B$6*N975+About!$B$7*O975)</f>
        <v/>
      </c>
      <c r="Q975" s="23" t="n">
        <v>19.7934</v>
      </c>
      <c r="R975" s="23" t="n">
        <v>-70.6884</v>
      </c>
    </row>
    <row r="976" ht="15" customHeight="1" s="12">
      <c r="A976" s="18" t="inlineStr">
        <is>
          <t>Jimma</t>
        </is>
      </c>
      <c r="B976" s="18" t="inlineStr">
        <is>
          <t>Ethiopia</t>
        </is>
      </c>
      <c r="C976" s="19" t="n">
        <v>111652998</v>
      </c>
      <c r="D976" s="18" t="inlineStr">
        <is>
          <t>ET</t>
        </is>
      </c>
      <c r="E976" s="18" t="inlineStr">
        <is>
          <t>51</t>
        </is>
      </c>
      <c r="F976" s="20" t="n">
        <v>128306</v>
      </c>
      <c r="G976" s="18" t="n"/>
      <c r="H976" s="18" t="inlineStr">
        <is>
          <t>JIM</t>
        </is>
      </c>
      <c r="I976" s="18" t="inlineStr">
        <is>
          <t>Jimma Airport</t>
        </is>
      </c>
      <c r="J976" s="21" t="n">
        <v>2.1</v>
      </c>
      <c r="K976" s="18" t="inlineStr">
        <is>
          <t>JIM</t>
        </is>
      </c>
      <c r="L976" s="18" t="inlineStr">
        <is>
          <t>100k +  pop + airport</t>
        </is>
      </c>
      <c r="M976" s="22" t="n">
        <v>0.506</v>
      </c>
      <c r="N976" s="22" t="n">
        <v>0</v>
      </c>
      <c r="O976" s="18" t="n"/>
      <c r="P976" s="22">
        <f>IF(O976="",(About!$B$5*M976+About!$B$6*N976)/(About!$B$5+About!$B$6),About!$B$5*M976+About!$B$6*N976+About!$B$7*O976)</f>
        <v/>
      </c>
      <c r="Q976" s="23" t="n">
        <v>7.6734</v>
      </c>
      <c r="R976" s="23" t="n">
        <v>36.8344</v>
      </c>
    </row>
    <row r="977" ht="15" customHeight="1" s="12">
      <c r="A977" s="18" t="inlineStr">
        <is>
          <t>Brugge</t>
        </is>
      </c>
      <c r="B977" s="18" t="inlineStr">
        <is>
          <t>Belgium</t>
        </is>
      </c>
      <c r="C977" s="19" t="n">
        <v>11933850</v>
      </c>
      <c r="D977" s="18" t="inlineStr">
        <is>
          <t>BE</t>
        </is>
      </c>
      <c r="E977" s="18" t="inlineStr">
        <is>
          <t>VLG</t>
        </is>
      </c>
      <c r="F977" s="20" t="n">
        <v>116709</v>
      </c>
      <c r="G977" s="18" t="n"/>
      <c r="H977" s="18" t="inlineStr">
        <is>
          <t>OST</t>
        </is>
      </c>
      <c r="I977" s="18" t="inlineStr">
        <is>
          <t>Ostend-Bruges International Airport</t>
        </is>
      </c>
      <c r="J977" s="21" t="n">
        <v>24.4</v>
      </c>
      <c r="K977" s="18" t="inlineStr">
        <is>
          <t>OST</t>
        </is>
      </c>
      <c r="L977" s="18" t="inlineStr">
        <is>
          <t>100k +  pop</t>
        </is>
      </c>
      <c r="M977" s="22" t="n">
        <v>0.507</v>
      </c>
      <c r="N977" s="22" t="n">
        <v>0</v>
      </c>
      <c r="O977" s="18" t="n"/>
      <c r="P977" s="22">
        <f>IF(O977="",(About!$B$5*M977+About!$B$6*N977)/(About!$B$5+About!$B$6),About!$B$5*M977+About!$B$6*N977+About!$B$7*O977)</f>
        <v/>
      </c>
      <c r="Q977" s="23" t="n">
        <v>51.2089</v>
      </c>
      <c r="R977" s="23" t="n">
        <v>3.2242</v>
      </c>
    </row>
    <row r="978" ht="15" customHeight="1" s="12">
      <c r="A978" s="18" t="inlineStr">
        <is>
          <t>Perpignan</t>
        </is>
      </c>
      <c r="B978" s="18" t="inlineStr">
        <is>
          <t>France</t>
        </is>
      </c>
      <c r="C978" s="19" t="n">
        <v>69081996</v>
      </c>
      <c r="D978" s="18" t="inlineStr">
        <is>
          <t>FR</t>
        </is>
      </c>
      <c r="E978" s="18" t="inlineStr">
        <is>
          <t>76</t>
        </is>
      </c>
      <c r="F978" s="20" t="n">
        <v>110706</v>
      </c>
      <c r="G978" s="18" t="n"/>
      <c r="H978" s="18" t="inlineStr">
        <is>
          <t>PGF</t>
        </is>
      </c>
      <c r="I978" s="18" t="inlineStr">
        <is>
          <t>Perpignan-Rivesaltes (Llabanère) Airport</t>
        </is>
      </c>
      <c r="J978" s="21" t="n">
        <v>5.2</v>
      </c>
      <c r="K978" s="18" t="inlineStr">
        <is>
          <t>PGF</t>
        </is>
      </c>
      <c r="L978" s="18" t="inlineStr">
        <is>
          <t>100k +  pop + airport</t>
        </is>
      </c>
      <c r="M978" s="22" t="n">
        <v>0.506</v>
      </c>
      <c r="N978" s="22" t="n">
        <v>0</v>
      </c>
      <c r="O978" s="18" t="n"/>
      <c r="P978" s="22">
        <f>IF(O978="",(About!$B$5*M978+About!$B$6*N978)/(About!$B$5+About!$B$6),About!$B$5*M978+About!$B$6*N978+About!$B$7*O978)</f>
        <v/>
      </c>
      <c r="Q978" s="23" t="n">
        <v>42.6976</v>
      </c>
      <c r="R978" s="23" t="n">
        <v>2.8954</v>
      </c>
    </row>
    <row r="979" ht="15" customHeight="1" s="12">
      <c r="A979" s="18" t="inlineStr">
        <is>
          <t>Ostend</t>
        </is>
      </c>
      <c r="B979" s="18" t="inlineStr">
        <is>
          <t>Belgium</t>
        </is>
      </c>
      <c r="C979" s="19" t="n">
        <v>11933850</v>
      </c>
      <c r="D979" s="18" t="inlineStr">
        <is>
          <t>BE</t>
        </is>
      </c>
      <c r="E979" s="18" t="inlineStr">
        <is>
          <t>VLG</t>
        </is>
      </c>
      <c r="F979" s="20" t="n">
        <v>69011</v>
      </c>
      <c r="G979" s="18" t="n"/>
      <c r="H979" s="18" t="inlineStr">
        <is>
          <t>OST</t>
        </is>
      </c>
      <c r="I979" s="18" t="inlineStr">
        <is>
          <t>Ostend-Bruges International Airport</t>
        </is>
      </c>
      <c r="J979" s="21" t="n">
        <v>4</v>
      </c>
      <c r="K979" s="18" t="inlineStr">
        <is>
          <t>OST</t>
        </is>
      </c>
      <c r="L979" s="18" t="inlineStr">
        <is>
          <t>airport</t>
        </is>
      </c>
      <c r="M979" s="22" t="n">
        <v>0.507</v>
      </c>
      <c r="N979" s="22" t="n">
        <v>0</v>
      </c>
      <c r="O979" s="18" t="n"/>
      <c r="P979" s="22">
        <f>IF(O979="",(About!$B$5*M979+About!$B$6*N979)/(About!$B$5+About!$B$6),About!$B$5*M979+About!$B$6*N979+About!$B$7*O979)</f>
        <v/>
      </c>
      <c r="Q979" s="23" t="n">
        <v>51.2155</v>
      </c>
      <c r="R979" s="23" t="n">
        <v>2.927</v>
      </c>
    </row>
    <row r="980" ht="15" customHeight="1" s="12">
      <c r="A980" s="18" t="inlineStr">
        <is>
          <t>Cheongju-si</t>
        </is>
      </c>
      <c r="B980" s="18" t="inlineStr">
        <is>
          <t>South Korea</t>
        </is>
      </c>
      <c r="C980" s="19" t="n">
        <v>51111158</v>
      </c>
      <c r="D980" s="18" t="inlineStr">
        <is>
          <t>KR</t>
        </is>
      </c>
      <c r="E980" s="18" t="inlineStr">
        <is>
          <t>05</t>
        </is>
      </c>
      <c r="F980" s="20" t="n">
        <v>634596</v>
      </c>
      <c r="G980" s="18" t="n"/>
      <c r="H980" s="18" t="inlineStr">
        <is>
          <t>CJJ</t>
        </is>
      </c>
      <c r="I980" s="18" t="inlineStr">
        <is>
          <t>Cheongju International Airport/Cheongju Air Base (K-59/G-513)</t>
        </is>
      </c>
      <c r="J980" s="21" t="n">
        <v>8.800000000000001</v>
      </c>
      <c r="K980" s="18" t="inlineStr">
        <is>
          <t>CJJ</t>
        </is>
      </c>
      <c r="L980" s="18" t="inlineStr">
        <is>
          <t>100k +  pop + airport</t>
        </is>
      </c>
      <c r="M980" s="22" t="n">
        <v>0.504</v>
      </c>
      <c r="N980" s="22" t="n">
        <v>0</v>
      </c>
      <c r="O980" s="18" t="n"/>
      <c r="P980" s="22">
        <f>IF(O980="",(About!$B$5*M980+About!$B$6*N980)/(About!$B$5+About!$B$6),About!$B$5*M980+About!$B$6*N980+About!$B$7*O980)</f>
        <v/>
      </c>
      <c r="Q980" s="23" t="n">
        <v>36.6372</v>
      </c>
      <c r="R980" s="23" t="n">
        <v>127.4897</v>
      </c>
    </row>
    <row r="981" ht="15" customHeight="1" s="12">
      <c r="A981" s="18" t="inlineStr">
        <is>
          <t>Udaipur</t>
        </is>
      </c>
      <c r="B981" s="18" t="inlineStr">
        <is>
          <t>India</t>
        </is>
      </c>
      <c r="C981" s="19" t="n">
        <v>1417492000</v>
      </c>
      <c r="D981" s="18" t="inlineStr">
        <is>
          <t>IN</t>
        </is>
      </c>
      <c r="E981" s="18" t="inlineStr">
        <is>
          <t>24</t>
        </is>
      </c>
      <c r="F981" s="20" t="n">
        <v>422784</v>
      </c>
      <c r="G981" s="18" t="n"/>
      <c r="H981" s="18" t="inlineStr">
        <is>
          <t>UDR</t>
        </is>
      </c>
      <c r="I981" s="18" t="inlineStr">
        <is>
          <t>Maharana Pratap Airport</t>
        </is>
      </c>
      <c r="J981" s="21" t="n">
        <v>18.8</v>
      </c>
      <c r="K981" s="18" t="inlineStr">
        <is>
          <t>UDR</t>
        </is>
      </c>
      <c r="L981" s="18" t="inlineStr">
        <is>
          <t>100k +  pop + airport</t>
        </is>
      </c>
      <c r="M981" s="22" t="n">
        <v>0.504</v>
      </c>
      <c r="N981" s="22" t="n">
        <v>0</v>
      </c>
      <c r="O981" s="18" t="n"/>
      <c r="P981" s="22">
        <f>IF(O981="",(About!$B$5*M981+About!$B$6*N981)/(About!$B$5+About!$B$6),About!$B$5*M981+About!$B$6*N981+About!$B$7*O981)</f>
        <v/>
      </c>
      <c r="Q981" s="23" t="n">
        <v>24.5858</v>
      </c>
      <c r="R981" s="23" t="n">
        <v>73.7135</v>
      </c>
    </row>
    <row r="982" ht="15" customHeight="1" s="12">
      <c r="A982" s="18" t="inlineStr">
        <is>
          <t>Samsun</t>
        </is>
      </c>
      <c r="B982" s="18" t="inlineStr">
        <is>
          <t>Türkiye</t>
        </is>
      </c>
      <c r="C982" s="19" t="n">
        <v>86092168</v>
      </c>
      <c r="D982" s="18" t="inlineStr">
        <is>
          <t>TR</t>
        </is>
      </c>
      <c r="E982" s="18" t="inlineStr">
        <is>
          <t>55</t>
        </is>
      </c>
      <c r="F982" s="20" t="n">
        <v>394050</v>
      </c>
      <c r="G982" s="18" t="n"/>
      <c r="H982" s="18" t="inlineStr">
        <is>
          <t>SZF</t>
        </is>
      </c>
      <c r="I982" s="18" t="inlineStr">
        <is>
          <t>Samsun-Çarşamba Airport</t>
        </is>
      </c>
      <c r="J982" s="21" t="n">
        <v>19.6</v>
      </c>
      <c r="K982" s="18" t="inlineStr">
        <is>
          <t>SZF</t>
        </is>
      </c>
      <c r="L982" s="18" t="inlineStr">
        <is>
          <t>100k +  pop + airport</t>
        </is>
      </c>
      <c r="M982" s="22" t="n">
        <v>0.505</v>
      </c>
      <c r="N982" s="22" t="n">
        <v>0</v>
      </c>
      <c r="O982" s="18" t="n"/>
      <c r="P982" s="22">
        <f>IF(O982="",(About!$B$5*M982+About!$B$6*N982)/(About!$B$5+About!$B$6),About!$B$5*M982+About!$B$6*N982+About!$B$7*O982)</f>
        <v/>
      </c>
      <c r="Q982" s="23" t="n">
        <v>41.2798</v>
      </c>
      <c r="R982" s="23" t="n">
        <v>36.3361</v>
      </c>
    </row>
    <row r="983" ht="15" customHeight="1" s="12">
      <c r="A983" s="18" t="inlineStr">
        <is>
          <t>Ras Al Khaimah City</t>
        </is>
      </c>
      <c r="B983" s="18" t="inlineStr">
        <is>
          <t>UAE</t>
        </is>
      </c>
      <c r="C983" s="19" t="n">
        <v>11294243</v>
      </c>
      <c r="D983" s="18" t="inlineStr">
        <is>
          <t>AE</t>
        </is>
      </c>
      <c r="E983" s="18" t="inlineStr">
        <is>
          <t>05</t>
        </is>
      </c>
      <c r="F983" s="20" t="n">
        <v>351943</v>
      </c>
      <c r="G983" s="18" t="n"/>
      <c r="H983" s="18" t="inlineStr">
        <is>
          <t>RKT</t>
        </is>
      </c>
      <c r="I983" s="18" t="inlineStr">
        <is>
          <t>Ras Al Khaimah International Airport</t>
        </is>
      </c>
      <c r="J983" s="21" t="n">
        <v>19.6</v>
      </c>
      <c r="K983" s="18" t="inlineStr">
        <is>
          <t>RKT</t>
        </is>
      </c>
      <c r="L983" s="18" t="inlineStr">
        <is>
          <t>100k +  pop</t>
        </is>
      </c>
      <c r="M983" s="22" t="n">
        <v>0.503</v>
      </c>
      <c r="N983" s="22" t="n">
        <v>0</v>
      </c>
      <c r="O983" s="18" t="n"/>
      <c r="P983" s="22">
        <f>IF(O983="",(About!$B$5*M983+About!$B$6*N983)/(About!$B$5+About!$B$6),About!$B$5*M983+About!$B$6*N983+About!$B$7*O983)</f>
        <v/>
      </c>
      <c r="Q983" s="23" t="n">
        <v>25.7895</v>
      </c>
      <c r="R983" s="23" t="n">
        <v>55.9432</v>
      </c>
    </row>
    <row r="984" ht="15" customHeight="1" s="12">
      <c r="A984" s="18" t="inlineStr">
        <is>
          <t>Cuenca</t>
        </is>
      </c>
      <c r="B984" s="18" t="inlineStr">
        <is>
          <t>Ecuador</t>
        </is>
      </c>
      <c r="C984" s="19" t="n">
        <v>18103660</v>
      </c>
      <c r="D984" s="18" t="inlineStr">
        <is>
          <t>EC</t>
        </is>
      </c>
      <c r="E984" s="18" t="inlineStr">
        <is>
          <t>02</t>
        </is>
      </c>
      <c r="F984" s="20" t="n">
        <v>276964</v>
      </c>
      <c r="G984" s="18" t="n"/>
      <c r="H984" s="18" t="inlineStr">
        <is>
          <t>CUE</t>
        </is>
      </c>
      <c r="I984" s="18" t="inlineStr">
        <is>
          <t>Mariscal Lamar Airport</t>
        </is>
      </c>
      <c r="J984" s="21" t="n">
        <v>2.6</v>
      </c>
      <c r="K984" s="18" t="inlineStr">
        <is>
          <t>CUE</t>
        </is>
      </c>
      <c r="L984" s="18" t="inlineStr">
        <is>
          <t>100k +  pop + airport</t>
        </is>
      </c>
      <c r="M984" s="22" t="n">
        <v>0.504</v>
      </c>
      <c r="N984" s="22" t="n">
        <v>0</v>
      </c>
      <c r="O984" s="18" t="n"/>
      <c r="P984" s="22">
        <f>IF(O984="",(About!$B$5*M984+About!$B$6*N984)/(About!$B$5+About!$B$6),About!$B$5*M984+About!$B$6*N984+About!$B$7*O984)</f>
        <v/>
      </c>
      <c r="Q984" s="23" t="n">
        <v>-2.9005</v>
      </c>
      <c r="R984" s="23" t="n">
        <v>-79.00449999999999</v>
      </c>
    </row>
    <row r="985" ht="15" customHeight="1" s="12">
      <c r="A985" s="18" t="inlineStr">
        <is>
          <t>Sylhet</t>
        </is>
      </c>
      <c r="B985" s="18" t="inlineStr">
        <is>
          <t>Bangladesh</t>
        </is>
      </c>
      <c r="C985" s="19" t="n">
        <v>169828911</v>
      </c>
      <c r="D985" s="18" t="inlineStr">
        <is>
          <t>BD</t>
        </is>
      </c>
      <c r="E985" s="18" t="inlineStr">
        <is>
          <t>86</t>
        </is>
      </c>
      <c r="F985" s="20" t="n">
        <v>237000</v>
      </c>
      <c r="G985" s="18" t="n"/>
      <c r="H985" s="18" t="inlineStr">
        <is>
          <t>ZYL</t>
        </is>
      </c>
      <c r="I985" s="18" t="inlineStr">
        <is>
          <t>Osmany International Airport</t>
        </is>
      </c>
      <c r="J985" s="21" t="n">
        <v>7.3</v>
      </c>
      <c r="K985" s="18" t="inlineStr">
        <is>
          <t>ZYL</t>
        </is>
      </c>
      <c r="L985" s="18" t="inlineStr">
        <is>
          <t>100k +  pop + airport</t>
        </is>
      </c>
      <c r="M985" s="22" t="n">
        <v>0.504</v>
      </c>
      <c r="N985" s="22" t="n">
        <v>0</v>
      </c>
      <c r="O985" s="18" t="n"/>
      <c r="P985" s="22">
        <f>IF(O985="",(About!$B$5*M985+About!$B$6*N985)/(About!$B$5+About!$B$6),About!$B$5*M985+About!$B$6*N985+About!$B$7*O985)</f>
        <v/>
      </c>
      <c r="Q985" s="23" t="n">
        <v>24.899</v>
      </c>
      <c r="R985" s="23" t="n">
        <v>91.872</v>
      </c>
    </row>
    <row r="986" ht="15" customHeight="1" s="12">
      <c r="A986" s="18" t="inlineStr">
        <is>
          <t>Sejong</t>
        </is>
      </c>
      <c r="B986" s="18" t="inlineStr">
        <is>
          <t>South Korea</t>
        </is>
      </c>
      <c r="C986" s="19" t="n">
        <v>51111158</v>
      </c>
      <c r="D986" s="18" t="inlineStr">
        <is>
          <t>KR</t>
        </is>
      </c>
      <c r="E986" s="18" t="inlineStr">
        <is>
          <t>22</t>
        </is>
      </c>
      <c r="F986" s="20" t="n">
        <v>230327</v>
      </c>
      <c r="G986" s="18" t="n"/>
      <c r="H986" s="18" t="inlineStr">
        <is>
          <t>CJJ</t>
        </is>
      </c>
      <c r="I986" s="18" t="inlineStr">
        <is>
          <t>Cheongju International Airport/Cheongju Air Base (K-59/G-513)</t>
        </is>
      </c>
      <c r="J986" s="21" t="n">
        <v>23.1</v>
      </c>
      <c r="K986" s="18" t="inlineStr">
        <is>
          <t>CJJ</t>
        </is>
      </c>
      <c r="L986" s="18" t="inlineStr">
        <is>
          <t>100k +  pop</t>
        </is>
      </c>
      <c r="M986" s="22" t="n">
        <v>0.504</v>
      </c>
      <c r="N986" s="22" t="n">
        <v>0</v>
      </c>
      <c r="O986" s="18" t="n"/>
      <c r="P986" s="22">
        <f>IF(O986="",(About!$B$5*M986+About!$B$6*N986)/(About!$B$5+About!$B$6),About!$B$5*M986+About!$B$6*N986+About!$B$7*O986)</f>
        <v/>
      </c>
      <c r="Q986" s="23" t="n">
        <v>36.5924</v>
      </c>
      <c r="R986" s="23" t="n">
        <v>127.2922</v>
      </c>
    </row>
    <row r="987" ht="15" customHeight="1" s="12">
      <c r="A987" s="18" t="inlineStr">
        <is>
          <t>Sousse</t>
        </is>
      </c>
      <c r="B987" s="18" t="inlineStr">
        <is>
          <t>Tunisia</t>
        </is>
      </c>
      <c r="C987" s="19" t="n">
        <v>11972169</v>
      </c>
      <c r="D987" s="18" t="inlineStr">
        <is>
          <t>TN</t>
        </is>
      </c>
      <c r="E987" s="18" t="inlineStr">
        <is>
          <t>23</t>
        </is>
      </c>
      <c r="F987" s="20" t="n">
        <v>164123</v>
      </c>
      <c r="G987" s="18" t="n"/>
      <c r="H987" s="18" t="inlineStr">
        <is>
          <t>MIR</t>
        </is>
      </c>
      <c r="I987" s="18" t="inlineStr">
        <is>
          <t>Monastir Habib Bourguiba International Airport</t>
        </is>
      </c>
      <c r="J987" s="21" t="n">
        <v>13</v>
      </c>
      <c r="K987" s="18" t="inlineStr">
        <is>
          <t>MIR</t>
        </is>
      </c>
      <c r="L987" s="18" t="inlineStr">
        <is>
          <t>100k +  pop</t>
        </is>
      </c>
      <c r="M987" s="22" t="n">
        <v>0.505</v>
      </c>
      <c r="N987" s="22" t="n">
        <v>0</v>
      </c>
      <c r="O987" s="18" t="n"/>
      <c r="P987" s="22">
        <f>IF(O987="",(About!$B$5*M987+About!$B$6*N987)/(About!$B$5+About!$B$6),About!$B$5*M987+About!$B$6*N987+About!$B$7*O987)</f>
        <v/>
      </c>
      <c r="Q987" s="23" t="n">
        <v>35.8254</v>
      </c>
      <c r="R987" s="23" t="n">
        <v>10.637</v>
      </c>
    </row>
    <row r="988" ht="15" customHeight="1" s="12">
      <c r="A988" s="18" t="inlineStr">
        <is>
          <t>Lampang</t>
        </is>
      </c>
      <c r="B988" s="18" t="inlineStr">
        <is>
          <t>Thailand</t>
        </is>
      </c>
      <c r="C988" s="19" t="n">
        <v>65826149</v>
      </c>
      <c r="D988" s="18" t="inlineStr">
        <is>
          <t>TH</t>
        </is>
      </c>
      <c r="E988" s="18" t="inlineStr">
        <is>
          <t>06</t>
        </is>
      </c>
      <c r="F988" s="20" t="n">
        <v>156139</v>
      </c>
      <c r="G988" s="18" t="n"/>
      <c r="H988" s="18" t="inlineStr">
        <is>
          <t>LPT</t>
        </is>
      </c>
      <c r="I988" s="18" t="inlineStr">
        <is>
          <t>Lampang Airport</t>
        </is>
      </c>
      <c r="J988" s="21" t="n">
        <v>2.7</v>
      </c>
      <c r="K988" s="18" t="inlineStr">
        <is>
          <t>LPT</t>
        </is>
      </c>
      <c r="L988" s="18" t="inlineStr">
        <is>
          <t>100k +  pop + airport</t>
        </is>
      </c>
      <c r="M988" s="22" t="n">
        <v>0.504</v>
      </c>
      <c r="N988" s="22" t="n">
        <v>0</v>
      </c>
      <c r="O988" s="18" t="n"/>
      <c r="P988" s="22">
        <f>IF(O988="",(About!$B$5*M988+About!$B$6*N988)/(About!$B$5+About!$B$6),About!$B$5*M988+About!$B$6*N988+About!$B$7*O988)</f>
        <v/>
      </c>
      <c r="Q988" s="23" t="n">
        <v>18.2923</v>
      </c>
      <c r="R988" s="23" t="n">
        <v>99.4928</v>
      </c>
    </row>
    <row r="989" ht="15" customHeight="1" s="12">
      <c r="A989" s="18" t="inlineStr">
        <is>
          <t>Monastir</t>
        </is>
      </c>
      <c r="B989" s="18" t="inlineStr">
        <is>
          <t>Tunisia</t>
        </is>
      </c>
      <c r="C989" s="19" t="n">
        <v>11972169</v>
      </c>
      <c r="D989" s="18" t="inlineStr">
        <is>
          <t>TN</t>
        </is>
      </c>
      <c r="E989" s="18" t="inlineStr">
        <is>
          <t>16</t>
        </is>
      </c>
      <c r="F989" s="20" t="n">
        <v>71546</v>
      </c>
      <c r="G989" s="18" t="n"/>
      <c r="H989" s="18" t="inlineStr">
        <is>
          <t>MIR</t>
        </is>
      </c>
      <c r="I989" s="18" t="inlineStr">
        <is>
          <t>Monastir Habib Bourguiba International Airport</t>
        </is>
      </c>
      <c r="J989" s="21" t="n">
        <v>6.8</v>
      </c>
      <c r="K989" s="18" t="inlineStr">
        <is>
          <t>MIR</t>
        </is>
      </c>
      <c r="L989" s="18" t="inlineStr">
        <is>
          <t>airport</t>
        </is>
      </c>
      <c r="M989" s="22" t="n">
        <v>0.505</v>
      </c>
      <c r="N989" s="22" t="n">
        <v>0</v>
      </c>
      <c r="O989" s="18" t="n"/>
      <c r="P989" s="22">
        <f>IF(O989="",(About!$B$5*M989+About!$B$6*N989)/(About!$B$5+About!$B$6),About!$B$5*M989+About!$B$6*N989+About!$B$7*O989)</f>
        <v/>
      </c>
      <c r="Q989" s="23" t="n">
        <v>35.778</v>
      </c>
      <c r="R989" s="23" t="n">
        <v>10.8262</v>
      </c>
    </row>
    <row r="990" ht="15" customHeight="1" s="12">
      <c r="A990" s="18" t="inlineStr">
        <is>
          <t>San Luis</t>
        </is>
      </c>
      <c r="B990" s="18" t="inlineStr">
        <is>
          <t>Argentina</t>
        </is>
      </c>
      <c r="C990" s="19" t="n">
        <v>46387098</v>
      </c>
      <c r="D990" s="18" t="inlineStr">
        <is>
          <t>AR</t>
        </is>
      </c>
      <c r="E990" s="18" t="inlineStr">
        <is>
          <t>19</t>
        </is>
      </c>
      <c r="F990" s="20" t="n">
        <v>183982</v>
      </c>
      <c r="G990" s="18" t="n"/>
      <c r="H990" s="18" t="inlineStr">
        <is>
          <t>LUQ</t>
        </is>
      </c>
      <c r="I990" s="18" t="inlineStr">
        <is>
          <t>Brigadier Mayor D Cesar Raul Ojeda Airport</t>
        </is>
      </c>
      <c r="J990" s="21" t="n">
        <v>3.1</v>
      </c>
      <c r="K990" s="18" t="inlineStr">
        <is>
          <t>LUQ</t>
        </is>
      </c>
      <c r="L990" s="18" t="inlineStr">
        <is>
          <t>100k +  pop + airport</t>
        </is>
      </c>
      <c r="M990" s="22" t="n">
        <v>0.503</v>
      </c>
      <c r="N990" s="22" t="n">
        <v>0</v>
      </c>
      <c r="O990" s="18" t="n"/>
      <c r="P990" s="22">
        <f>IF(O990="",(About!$B$5*M990+About!$B$6*N990)/(About!$B$5+About!$B$6),About!$B$5*M990+About!$B$6*N990+About!$B$7*O990)</f>
        <v/>
      </c>
      <c r="Q990" s="23" t="n">
        <v>-33.295</v>
      </c>
      <c r="R990" s="23" t="n">
        <v>-66.3356</v>
      </c>
    </row>
    <row r="991" ht="15" customHeight="1" s="12">
      <c r="A991" s="18" t="inlineStr">
        <is>
          <t>Manzanillo</t>
        </is>
      </c>
      <c r="B991" s="18" t="inlineStr">
        <is>
          <t>Mexico</t>
        </is>
      </c>
      <c r="C991" s="19" t="n">
        <v>131150866</v>
      </c>
      <c r="D991" s="18" t="inlineStr">
        <is>
          <t>MX</t>
        </is>
      </c>
      <c r="E991" s="18" t="inlineStr">
        <is>
          <t>08</t>
        </is>
      </c>
      <c r="F991" s="20" t="n">
        <v>130035</v>
      </c>
      <c r="G991" s="18" t="n"/>
      <c r="H991" s="18" t="inlineStr">
        <is>
          <t>ZLO</t>
        </is>
      </c>
      <c r="I991" s="18" t="inlineStr">
        <is>
          <t>Playa de Oro International Airport</t>
        </is>
      </c>
      <c r="J991" s="21" t="n">
        <v>23</v>
      </c>
      <c r="K991" s="18" t="inlineStr">
        <is>
          <t>ZLO</t>
        </is>
      </c>
      <c r="L991" s="18" t="inlineStr">
        <is>
          <t>100k +  pop + airport</t>
        </is>
      </c>
      <c r="M991" s="22" t="n">
        <v>0.502</v>
      </c>
      <c r="N991" s="22" t="n">
        <v>0</v>
      </c>
      <c r="O991" s="18" t="n"/>
      <c r="P991" s="22">
        <f>IF(O991="",(About!$B$5*M991+About!$B$6*N991)/(About!$B$5+About!$B$6),About!$B$5*M991+About!$B$6*N991+About!$B$7*O991)</f>
        <v/>
      </c>
      <c r="Q991" s="23" t="n">
        <v>19.1169</v>
      </c>
      <c r="R991" s="23" t="n">
        <v>-104.3421</v>
      </c>
    </row>
    <row r="992" ht="15" customHeight="1" s="12">
      <c r="A992" s="18" t="inlineStr">
        <is>
          <t>Şanlıurfa</t>
        </is>
      </c>
      <c r="B992" s="18" t="inlineStr">
        <is>
          <t>Türkiye</t>
        </is>
      </c>
      <c r="C992" s="19" t="n">
        <v>86092168</v>
      </c>
      <c r="D992" s="18" t="inlineStr">
        <is>
          <t>TR</t>
        </is>
      </c>
      <c r="E992" s="18" t="inlineStr">
        <is>
          <t>63</t>
        </is>
      </c>
      <c r="F992" s="20" t="n">
        <v>449549</v>
      </c>
      <c r="G992" s="18" t="n"/>
      <c r="H992" s="18" t="inlineStr">
        <is>
          <t>GNY</t>
        </is>
      </c>
      <c r="I992" s="18" t="inlineStr">
        <is>
          <t>Şanlıurfa GAP Airport</t>
        </is>
      </c>
      <c r="J992" s="21" t="n">
        <v>32.3</v>
      </c>
      <c r="K992" s="18" t="inlineStr">
        <is>
          <t>GNY</t>
        </is>
      </c>
      <c r="L992" s="18" t="inlineStr">
        <is>
          <t>100k +  pop + airport</t>
        </is>
      </c>
      <c r="M992" s="22" t="n">
        <v>0.5</v>
      </c>
      <c r="N992" s="22" t="n">
        <v>0</v>
      </c>
      <c r="O992" s="18" t="n"/>
      <c r="P992" s="22">
        <f>IF(O992="",(About!$B$5*M992+About!$B$6*N992)/(About!$B$5+About!$B$6),About!$B$5*M992+About!$B$6*N992+About!$B$7*O992)</f>
        <v/>
      </c>
      <c r="Q992" s="23" t="n">
        <v>37.1671</v>
      </c>
      <c r="R992" s="23" t="n">
        <v>38.7939</v>
      </c>
    </row>
    <row r="993" ht="15" customHeight="1" s="12">
      <c r="A993" s="18" t="inlineStr">
        <is>
          <t>Chinju</t>
        </is>
      </c>
      <c r="B993" s="18" t="inlineStr">
        <is>
          <t>South Korea</t>
        </is>
      </c>
      <c r="C993" s="19" t="n">
        <v>51111158</v>
      </c>
      <c r="D993" s="18" t="inlineStr">
        <is>
          <t>KR</t>
        </is>
      </c>
      <c r="E993" s="18" t="inlineStr">
        <is>
          <t>20</t>
        </is>
      </c>
      <c r="F993" s="20" t="n">
        <v>307242</v>
      </c>
      <c r="G993" s="18" t="n"/>
      <c r="H993" s="18" t="inlineStr">
        <is>
          <t>HIN</t>
        </is>
      </c>
      <c r="I993" s="18" t="inlineStr">
        <is>
          <t>Sacheon Airport / Sacheon Air Base</t>
        </is>
      </c>
      <c r="J993" s="21" t="n">
        <v>11.6</v>
      </c>
      <c r="K993" s="18" t="inlineStr">
        <is>
          <t>HIN</t>
        </is>
      </c>
      <c r="L993" s="18" t="inlineStr">
        <is>
          <t>100k +  pop</t>
        </is>
      </c>
      <c r="M993" s="22" t="n">
        <v>0.499</v>
      </c>
      <c r="N993" s="22" t="n">
        <v>0</v>
      </c>
      <c r="O993" s="18" t="n"/>
      <c r="P993" s="22">
        <f>IF(O993="",(About!$B$5*M993+About!$B$6*N993)/(About!$B$5+About!$B$6),About!$B$5*M993+About!$B$6*N993+About!$B$7*O993)</f>
        <v/>
      </c>
      <c r="Q993" s="23" t="n">
        <v>35.1928</v>
      </c>
      <c r="R993" s="23" t="n">
        <v>128.0847</v>
      </c>
    </row>
    <row r="994" ht="15" customHeight="1" s="12">
      <c r="A994" s="18" t="inlineStr">
        <is>
          <t>Jaffna</t>
        </is>
      </c>
      <c r="B994" s="18" t="inlineStr">
        <is>
          <t>Sri Lanka</t>
        </is>
      </c>
      <c r="C994" s="19" t="n">
        <v>21781800</v>
      </c>
      <c r="D994" s="18" t="inlineStr">
        <is>
          <t>LK</t>
        </is>
      </c>
      <c r="E994" s="18" t="inlineStr">
        <is>
          <t>38</t>
        </is>
      </c>
      <c r="F994" s="20" t="n">
        <v>169102</v>
      </c>
      <c r="G994" s="18" t="n"/>
      <c r="H994" s="18" t="inlineStr">
        <is>
          <t>JAF</t>
        </is>
      </c>
      <c r="I994" s="18" t="inlineStr">
        <is>
          <t>Jaffna International Airport</t>
        </is>
      </c>
      <c r="J994" s="21" t="n">
        <v>15.4</v>
      </c>
      <c r="K994" s="18" t="inlineStr">
        <is>
          <t>JAF</t>
        </is>
      </c>
      <c r="L994" s="18" t="inlineStr">
        <is>
          <t>100k +  pop + airport</t>
        </is>
      </c>
      <c r="M994" s="22" t="n">
        <v>0.501</v>
      </c>
      <c r="N994" s="22" t="n">
        <v>0</v>
      </c>
      <c r="O994" s="18" t="n"/>
      <c r="P994" s="22">
        <f>IF(O994="",(About!$B$5*M994+About!$B$6*N994)/(About!$B$5+About!$B$6),About!$B$5*M994+About!$B$6*N994+About!$B$7*O994)</f>
        <v/>
      </c>
      <c r="Q994" s="23" t="n">
        <v>9.6684</v>
      </c>
      <c r="R994" s="23" t="n">
        <v>80.0074</v>
      </c>
    </row>
    <row r="995" ht="15" customHeight="1" s="12">
      <c r="A995" s="18" t="inlineStr">
        <is>
          <t>Nakhon Si Thammarat</t>
        </is>
      </c>
      <c r="B995" s="18" t="inlineStr">
        <is>
          <t>Thailand</t>
        </is>
      </c>
      <c r="C995" s="19" t="n">
        <v>65826149</v>
      </c>
      <c r="D995" s="18" t="inlineStr">
        <is>
          <t>TH</t>
        </is>
      </c>
      <c r="E995" s="18" t="inlineStr">
        <is>
          <t>64</t>
        </is>
      </c>
      <c r="F995" s="20" t="n">
        <v>120836</v>
      </c>
      <c r="G995" s="18" t="n"/>
      <c r="H995" s="18" t="inlineStr">
        <is>
          <t>NST</t>
        </is>
      </c>
      <c r="I995" s="18" t="inlineStr">
        <is>
          <t>Nakhon Si Thammarat Airport</t>
        </is>
      </c>
      <c r="J995" s="21" t="n">
        <v>12.1</v>
      </c>
      <c r="K995" s="18" t="inlineStr">
        <is>
          <t>NST</t>
        </is>
      </c>
      <c r="L995" s="18" t="inlineStr">
        <is>
          <t>100k +  pop + airport</t>
        </is>
      </c>
      <c r="M995" s="22" t="n">
        <v>0.501</v>
      </c>
      <c r="N995" s="22" t="n">
        <v>0</v>
      </c>
      <c r="O995" s="18" t="n"/>
      <c r="P995" s="22">
        <f>IF(O995="",(About!$B$5*M995+About!$B$6*N995)/(About!$B$5+About!$B$6),About!$B$5*M995+About!$B$6*N995+About!$B$7*O995)</f>
        <v/>
      </c>
      <c r="Q995" s="23" t="n">
        <v>8.433299999999999</v>
      </c>
      <c r="R995" s="23" t="n">
        <v>99.9667</v>
      </c>
    </row>
    <row r="996" ht="15" customHeight="1" s="12">
      <c r="A996" s="18" t="inlineStr">
        <is>
          <t>Pula</t>
        </is>
      </c>
      <c r="B996" s="18" t="inlineStr">
        <is>
          <t>Croatia</t>
        </is>
      </c>
      <c r="C996" s="19" t="n">
        <v>3866233</v>
      </c>
      <c r="D996" s="18" t="inlineStr">
        <is>
          <t>HR</t>
        </is>
      </c>
      <c r="E996" s="18" t="inlineStr">
        <is>
          <t>04</t>
        </is>
      </c>
      <c r="F996" s="20" t="n">
        <v>59078</v>
      </c>
      <c r="G996" s="18" t="n"/>
      <c r="H996" s="18" t="inlineStr">
        <is>
          <t>PUY</t>
        </is>
      </c>
      <c r="I996" s="18" t="inlineStr">
        <is>
          <t>Pula Airport</t>
        </is>
      </c>
      <c r="J996" s="21" t="n">
        <v>6.5</v>
      </c>
      <c r="K996" s="18" t="inlineStr">
        <is>
          <t>PUY</t>
        </is>
      </c>
      <c r="L996" s="18" t="inlineStr">
        <is>
          <t>airport</t>
        </is>
      </c>
      <c r="M996" s="22" t="n">
        <v>0.5</v>
      </c>
      <c r="N996" s="22" t="n">
        <v>0</v>
      </c>
      <c r="O996" s="18" t="n"/>
      <c r="P996" s="22">
        <f>IF(O996="",(About!$B$5*M996+About!$B$6*N996)/(About!$B$5+About!$B$6),About!$B$5*M996+About!$B$6*N996+About!$B$7*O996)</f>
        <v/>
      </c>
      <c r="Q996" s="23" t="n">
        <v>44.8683</v>
      </c>
      <c r="R996" s="23" t="n">
        <v>13.8481</v>
      </c>
    </row>
    <row r="997" ht="15" customHeight="1" s="12">
      <c r="A997" s="18" t="inlineStr">
        <is>
          <t>Qionghai</t>
        </is>
      </c>
      <c r="B997" s="18" t="inlineStr">
        <is>
          <t>China</t>
        </is>
      </c>
      <c r="C997" s="19" t="n">
        <v>1404890000</v>
      </c>
      <c r="D997" s="18" t="inlineStr">
        <is>
          <t>CN</t>
        </is>
      </c>
      <c r="E997" s="18" t="inlineStr">
        <is>
          <t>31</t>
        </is>
      </c>
      <c r="F997" s="20" t="n">
        <v>480000</v>
      </c>
      <c r="G997" s="18" t="n"/>
      <c r="H997" s="18" t="inlineStr">
        <is>
          <t>BAR</t>
        </is>
      </c>
      <c r="I997" s="18" t="inlineStr">
        <is>
          <t>Qionghai Bo'ao Airport</t>
        </is>
      </c>
      <c r="J997" s="21" t="n">
        <v>11.4</v>
      </c>
      <c r="K997" s="18" t="inlineStr">
        <is>
          <t>BAR</t>
        </is>
      </c>
      <c r="L997" s="18" t="inlineStr">
        <is>
          <t>100k +  pop</t>
        </is>
      </c>
      <c r="M997" s="22" t="n">
        <v>0.498</v>
      </c>
      <c r="N997" s="22" t="n">
        <v>0</v>
      </c>
      <c r="O997" s="18" t="n"/>
      <c r="P997" s="22">
        <f>IF(O997="",(About!$B$5*M997+About!$B$6*N997)/(About!$B$5+About!$B$6),About!$B$5*M997+About!$B$6*N997+About!$B$7*O997)</f>
        <v/>
      </c>
      <c r="Q997" s="23" t="n">
        <v>19.2425</v>
      </c>
      <c r="R997" s="23" t="n">
        <v>110.4642</v>
      </c>
    </row>
    <row r="998" ht="15" customHeight="1" s="12">
      <c r="A998" s="18" t="inlineStr">
        <is>
          <t>Sialkot</t>
        </is>
      </c>
      <c r="B998" s="18" t="inlineStr">
        <is>
          <t>Pakistan</t>
        </is>
      </c>
      <c r="C998" s="19" t="n">
        <v>241499431</v>
      </c>
      <c r="D998" s="18" t="inlineStr">
        <is>
          <t>PK</t>
        </is>
      </c>
      <c r="E998" s="18" t="inlineStr">
        <is>
          <t>04</t>
        </is>
      </c>
      <c r="F998" s="20" t="n">
        <v>477396</v>
      </c>
      <c r="G998" s="18" t="n"/>
      <c r="H998" s="18" t="inlineStr">
        <is>
          <t>SKT</t>
        </is>
      </c>
      <c r="I998" s="18" t="inlineStr">
        <is>
          <t>Sialkot International Airport</t>
        </is>
      </c>
      <c r="J998" s="21" t="n">
        <v>16.4</v>
      </c>
      <c r="K998" s="18" t="inlineStr">
        <is>
          <t>SKT</t>
        </is>
      </c>
      <c r="L998" s="18" t="inlineStr">
        <is>
          <t>100k +  pop + airport</t>
        </is>
      </c>
      <c r="M998" s="22" t="n">
        <v>0.498</v>
      </c>
      <c r="N998" s="22" t="n">
        <v>0</v>
      </c>
      <c r="O998" s="18" t="n"/>
      <c r="P998" s="22">
        <f>IF(O998="",(About!$B$5*M998+About!$B$6*N998)/(About!$B$5+About!$B$6),About!$B$5*M998+About!$B$6*N998+About!$B$7*O998)</f>
        <v/>
      </c>
      <c r="Q998" s="23" t="n">
        <v>32.4927</v>
      </c>
      <c r="R998" s="23" t="n">
        <v>74.5313</v>
      </c>
    </row>
    <row r="999" ht="15" customHeight="1" s="12">
      <c r="A999" s="18" t="inlineStr">
        <is>
          <t>San Juan</t>
        </is>
      </c>
      <c r="B999" s="18" t="inlineStr">
        <is>
          <t>Argentina</t>
        </is>
      </c>
      <c r="C999" s="19" t="n">
        <v>46387098</v>
      </c>
      <c r="D999" s="18" t="inlineStr">
        <is>
          <t>AR</t>
        </is>
      </c>
      <c r="E999" s="18" t="inlineStr">
        <is>
          <t>18</t>
        </is>
      </c>
      <c r="F999" s="20" t="n">
        <v>447048</v>
      </c>
      <c r="G999" s="18" t="n"/>
      <c r="H999" s="18" t="inlineStr">
        <is>
          <t>UAQ</t>
        </is>
      </c>
      <c r="I999" s="18" t="inlineStr">
        <is>
          <t>Domingo Faustino Sarmiento Airport</t>
        </is>
      </c>
      <c r="J999" s="21" t="n">
        <v>11.8</v>
      </c>
      <c r="K999" s="18" t="inlineStr">
        <is>
          <t>UAQ</t>
        </is>
      </c>
      <c r="L999" s="18" t="inlineStr">
        <is>
          <t>100k +  pop + airport</t>
        </is>
      </c>
      <c r="M999" s="22" t="n">
        <v>0.498</v>
      </c>
      <c r="N999" s="22" t="n">
        <v>0</v>
      </c>
      <c r="O999" s="18" t="n"/>
      <c r="P999" s="22">
        <f>IF(O999="",(About!$B$5*M999+About!$B$6*N999)/(About!$B$5+About!$B$6),About!$B$5*M999+About!$B$6*N999+About!$B$7*O999)</f>
        <v/>
      </c>
      <c r="Q999" s="23" t="n">
        <v>-31.5375</v>
      </c>
      <c r="R999" s="23" t="n">
        <v>-68.5364</v>
      </c>
    </row>
    <row r="1000" ht="15" customHeight="1" s="12">
      <c r="A1000" s="18" t="inlineStr">
        <is>
          <t>Galle</t>
        </is>
      </c>
      <c r="B1000" s="18" t="inlineStr">
        <is>
          <t>Sri Lanka</t>
        </is>
      </c>
      <c r="C1000" s="19" t="n">
        <v>21781800</v>
      </c>
      <c r="D1000" s="18" t="inlineStr">
        <is>
          <t>LK</t>
        </is>
      </c>
      <c r="E1000" s="18" t="inlineStr">
        <is>
          <t>34</t>
        </is>
      </c>
      <c r="F1000" s="20" t="n">
        <v>93118</v>
      </c>
      <c r="G1000" s="18" t="n"/>
      <c r="H1000" s="18" t="inlineStr">
        <is>
          <t>KCT</t>
        </is>
      </c>
      <c r="I1000" s="18" t="inlineStr">
        <is>
          <t>Koggala Airport</t>
        </is>
      </c>
      <c r="J1000" s="21" t="n">
        <v>13.5</v>
      </c>
      <c r="K1000" s="18" t="inlineStr">
        <is>
          <t>KCT</t>
        </is>
      </c>
      <c r="L1000" s="18" t="inlineStr">
        <is>
          <t>airport</t>
        </is>
      </c>
      <c r="M1000" s="22" t="n">
        <v>0.497</v>
      </c>
      <c r="N1000" s="22" t="n">
        <v>0</v>
      </c>
      <c r="O1000" s="18" t="n"/>
      <c r="P1000" s="22">
        <f>IF(O1000="",(About!$B$5*M1000+About!$B$6*N1000)/(About!$B$5+About!$B$6),About!$B$5*M1000+About!$B$6*N1000+About!$B$7*O1000)</f>
        <v/>
      </c>
      <c r="Q1000" s="23" t="n">
        <v>6.0461</v>
      </c>
      <c r="R1000" s="23" t="n">
        <v>80.2103</v>
      </c>
    </row>
    <row r="1001" ht="15" customHeight="1" s="12">
      <c r="A1001" s="18" t="inlineStr">
        <is>
          <t>Santa Fe</t>
        </is>
      </c>
      <c r="B1001" s="18" t="inlineStr">
        <is>
          <t>Argentina</t>
        </is>
      </c>
      <c r="C1001" s="19" t="n">
        <v>46387098</v>
      </c>
      <c r="D1001" s="18" t="inlineStr">
        <is>
          <t>AR</t>
        </is>
      </c>
      <c r="E1001" s="18" t="inlineStr">
        <is>
          <t>21</t>
        </is>
      </c>
      <c r="F1001" s="20" t="n">
        <v>489505</v>
      </c>
      <c r="G1001" s="18" t="n"/>
      <c r="H1001" s="18" t="inlineStr">
        <is>
          <t>SFN</t>
        </is>
      </c>
      <c r="I1001" s="18" t="inlineStr">
        <is>
          <t>Sauce Viejo Airport</t>
        </is>
      </c>
      <c r="J1001" s="21" t="n">
        <v>12</v>
      </c>
      <c r="K1001" s="18" t="inlineStr">
        <is>
          <t>SFN</t>
        </is>
      </c>
      <c r="L1001" s="18" t="inlineStr">
        <is>
          <t>100k +  pop + airport</t>
        </is>
      </c>
      <c r="M1001" s="22" t="n">
        <v>0.497</v>
      </c>
      <c r="N1001" s="22" t="n">
        <v>0</v>
      </c>
      <c r="O1001" s="18" t="n"/>
      <c r="P1001" s="22">
        <f>IF(O1001="",(About!$B$5*M1001+About!$B$6*N1001)/(About!$B$5+About!$B$6),About!$B$5*M1001+About!$B$6*N1001+About!$B$7*O1001)</f>
        <v/>
      </c>
      <c r="Q1001" s="23" t="n">
        <v>-31.6488</v>
      </c>
      <c r="R1001" s="23" t="n">
        <v>-60.7087</v>
      </c>
    </row>
    <row r="1002" ht="15" customHeight="1" s="12">
      <c r="A1002" s="18" t="inlineStr">
        <is>
          <t>Elazığ</t>
        </is>
      </c>
      <c r="B1002" s="18" t="inlineStr">
        <is>
          <t>Türkiye</t>
        </is>
      </c>
      <c r="C1002" s="19" t="n">
        <v>86092168</v>
      </c>
      <c r="D1002" s="18" t="inlineStr">
        <is>
          <t>TR</t>
        </is>
      </c>
      <c r="E1002" s="18" t="inlineStr">
        <is>
          <t>23</t>
        </is>
      </c>
      <c r="F1002" s="20" t="n">
        <v>298004</v>
      </c>
      <c r="G1002" s="18" t="n"/>
      <c r="H1002" s="18" t="inlineStr">
        <is>
          <t>EZS</t>
        </is>
      </c>
      <c r="I1002" s="18" t="inlineStr">
        <is>
          <t>Elazığ Airport</t>
        </is>
      </c>
      <c r="J1002" s="21" t="n">
        <v>10</v>
      </c>
      <c r="K1002" s="18" t="inlineStr">
        <is>
          <t>EZS</t>
        </is>
      </c>
      <c r="L1002" s="18" t="inlineStr">
        <is>
          <t>100k +  pop + airport</t>
        </is>
      </c>
      <c r="M1002" s="22" t="n">
        <v>0.495</v>
      </c>
      <c r="N1002" s="22" t="n">
        <v>0</v>
      </c>
      <c r="O1002" s="18" t="n"/>
      <c r="P1002" s="22">
        <f>IF(O1002="",(About!$B$5*M1002+About!$B$6*N1002)/(About!$B$5+About!$B$6),About!$B$5*M1002+About!$B$6*N1002+About!$B$7*O1002)</f>
        <v/>
      </c>
      <c r="Q1002" s="23" t="n">
        <v>38.6743</v>
      </c>
      <c r="R1002" s="23" t="n">
        <v>39.2232</v>
      </c>
    </row>
    <row r="1003" ht="15" customHeight="1" s="12">
      <c r="A1003" s="18" t="inlineStr">
        <is>
          <t>Formosa</t>
        </is>
      </c>
      <c r="B1003" s="18" t="inlineStr">
        <is>
          <t>Argentina</t>
        </is>
      </c>
      <c r="C1003" s="19" t="n">
        <v>46387098</v>
      </c>
      <c r="D1003" s="18" t="inlineStr">
        <is>
          <t>AR</t>
        </is>
      </c>
      <c r="E1003" s="18" t="inlineStr">
        <is>
          <t>09</t>
        </is>
      </c>
      <c r="F1003" s="20" t="n">
        <v>221383</v>
      </c>
      <c r="G1003" s="18" t="n"/>
      <c r="H1003" s="18" t="inlineStr">
        <is>
          <t>FMA</t>
        </is>
      </c>
      <c r="I1003" s="18" t="inlineStr">
        <is>
          <t>Formosa National Airport</t>
        </is>
      </c>
      <c r="J1003" s="21" t="n">
        <v>6.3</v>
      </c>
      <c r="K1003" s="18" t="inlineStr">
        <is>
          <t>FMA</t>
        </is>
      </c>
      <c r="L1003" s="18" t="inlineStr">
        <is>
          <t>100k +  pop + airport</t>
        </is>
      </c>
      <c r="M1003" s="22" t="n">
        <v>0.496</v>
      </c>
      <c r="N1003" s="22" t="n">
        <v>0</v>
      </c>
      <c r="O1003" s="18" t="n"/>
      <c r="P1003" s="22">
        <f>IF(O1003="",(About!$B$5*M1003+About!$B$6*N1003)/(About!$B$5+About!$B$6),About!$B$5*M1003+About!$B$6*N1003+About!$B$7*O1003)</f>
        <v/>
      </c>
      <c r="Q1003" s="23" t="n">
        <v>-26.1849</v>
      </c>
      <c r="R1003" s="23" t="n">
        <v>-58.1731</v>
      </c>
    </row>
    <row r="1004" ht="15" customHeight="1" s="12">
      <c r="A1004" s="18" t="inlineStr">
        <is>
          <t>Playa del Carmen</t>
        </is>
      </c>
      <c r="B1004" s="18" t="inlineStr">
        <is>
          <t>Mexico</t>
        </is>
      </c>
      <c r="C1004" s="19" t="n">
        <v>131150866</v>
      </c>
      <c r="D1004" s="18" t="inlineStr">
        <is>
          <t>MX</t>
        </is>
      </c>
      <c r="E1004" s="18" t="inlineStr">
        <is>
          <t>23</t>
        </is>
      </c>
      <c r="F1004" s="20" t="n">
        <v>149923</v>
      </c>
      <c r="G1004" s="18" t="n"/>
      <c r="H1004" s="18" t="inlineStr">
        <is>
          <t>CZM</t>
        </is>
      </c>
      <c r="I1004" s="18" t="inlineStr">
        <is>
          <t>Cozumel International Airport</t>
        </is>
      </c>
      <c r="J1004" s="21" t="n">
        <v>20.1</v>
      </c>
      <c r="K1004" s="18" t="inlineStr">
        <is>
          <t>CZM</t>
        </is>
      </c>
      <c r="L1004" s="18" t="inlineStr">
        <is>
          <t>100k +  pop</t>
        </is>
      </c>
      <c r="M1004" s="22" t="n">
        <v>0.496</v>
      </c>
      <c r="N1004" s="22" t="n">
        <v>0</v>
      </c>
      <c r="O1004" s="18" t="n"/>
      <c r="P1004" s="22">
        <f>IF(O1004="",(About!$B$5*M1004+About!$B$6*N1004)/(About!$B$5+About!$B$6),About!$B$5*M1004+About!$B$6*N1004+About!$B$7*O1004)</f>
        <v/>
      </c>
      <c r="Q1004" s="23" t="n">
        <v>20.6274</v>
      </c>
      <c r="R1004" s="23" t="n">
        <v>-87.07989999999999</v>
      </c>
    </row>
    <row r="1005" ht="15" customHeight="1" s="12">
      <c r="A1005" s="18" t="inlineStr">
        <is>
          <t>Ordu</t>
        </is>
      </c>
      <c r="B1005" s="18" t="inlineStr">
        <is>
          <t>Türkiye</t>
        </is>
      </c>
      <c r="C1005" s="19" t="n">
        <v>86092168</v>
      </c>
      <c r="D1005" s="18" t="inlineStr">
        <is>
          <t>TR</t>
        </is>
      </c>
      <c r="E1005" s="18" t="inlineStr">
        <is>
          <t>52</t>
        </is>
      </c>
      <c r="F1005" s="20" t="n">
        <v>116788</v>
      </c>
      <c r="G1005" s="18" t="n"/>
      <c r="H1005" s="18" t="inlineStr">
        <is>
          <t>OGU</t>
        </is>
      </c>
      <c r="I1005" s="18" t="inlineStr">
        <is>
          <t>Ordu–Giresun Airport</t>
        </is>
      </c>
      <c r="J1005" s="21" t="n">
        <v>16.5</v>
      </c>
      <c r="K1005" s="18" t="inlineStr">
        <is>
          <t>OGU</t>
        </is>
      </c>
      <c r="L1005" s="18" t="inlineStr">
        <is>
          <t>100k +  pop + airport</t>
        </is>
      </c>
      <c r="M1005" s="22" t="n">
        <v>0.496</v>
      </c>
      <c r="N1005" s="22" t="n">
        <v>0</v>
      </c>
      <c r="O1005" s="18" t="n"/>
      <c r="P1005" s="22">
        <f>IF(O1005="",(About!$B$5*M1005+About!$B$6*N1005)/(About!$B$5+About!$B$6),About!$B$5*M1005+About!$B$6*N1005+About!$B$7*O1005)</f>
        <v/>
      </c>
      <c r="Q1005" s="23" t="n">
        <v>40.9778</v>
      </c>
      <c r="R1005" s="23" t="n">
        <v>37.8905</v>
      </c>
    </row>
    <row r="1006" ht="15" customHeight="1" s="12">
      <c r="A1006" s="18" t="inlineStr">
        <is>
          <t>Villahermosa</t>
        </is>
      </c>
      <c r="B1006" s="18" t="inlineStr">
        <is>
          <t>Mexico</t>
        </is>
      </c>
      <c r="C1006" s="19" t="n">
        <v>131150866</v>
      </c>
      <c r="D1006" s="18" t="inlineStr">
        <is>
          <t>MX</t>
        </is>
      </c>
      <c r="E1006" s="18" t="inlineStr">
        <is>
          <t>27</t>
        </is>
      </c>
      <c r="F1006" s="20" t="n">
        <v>353577</v>
      </c>
      <c r="G1006" s="18" t="n"/>
      <c r="H1006" s="18" t="inlineStr">
        <is>
          <t>VSA</t>
        </is>
      </c>
      <c r="I1006" s="18" t="inlineStr">
        <is>
          <t>Carlos Rovirosa Pérez International Airport</t>
        </is>
      </c>
      <c r="J1006" s="21" t="n">
        <v>11.9</v>
      </c>
      <c r="K1006" s="18" t="inlineStr">
        <is>
          <t>VSA</t>
        </is>
      </c>
      <c r="L1006" s="18" t="inlineStr">
        <is>
          <t>100k +  pop + airport</t>
        </is>
      </c>
      <c r="M1006" s="22" t="n">
        <v>0.493</v>
      </c>
      <c r="N1006" s="22" t="n">
        <v>0</v>
      </c>
      <c r="O1006" s="18" t="n"/>
      <c r="P1006" s="22">
        <f>IF(O1006="",(About!$B$5*M1006+About!$B$6*N1006)/(About!$B$5+About!$B$6),About!$B$5*M1006+About!$B$6*N1006+About!$B$7*O1006)</f>
        <v/>
      </c>
      <c r="Q1006" s="23" t="n">
        <v>17.9869</v>
      </c>
      <c r="R1006" s="23" t="n">
        <v>-92.9303</v>
      </c>
    </row>
    <row r="1007" ht="15" customHeight="1" s="12">
      <c r="A1007" s="18" t="inlineStr">
        <is>
          <t>Kingston upon Hull</t>
        </is>
      </c>
      <c r="B1007" s="18" t="inlineStr">
        <is>
          <t>United Kingdom</t>
        </is>
      </c>
      <c r="C1007" s="19" t="n">
        <v>69487000</v>
      </c>
      <c r="D1007" s="18" t="inlineStr">
        <is>
          <t>GB</t>
        </is>
      </c>
      <c r="E1007" s="18" t="inlineStr">
        <is>
          <t>ENG</t>
        </is>
      </c>
      <c r="F1007" s="20" t="n">
        <v>314018</v>
      </c>
      <c r="G1007" s="18" t="n"/>
      <c r="H1007" s="18" t="inlineStr">
        <is>
          <t>HUY</t>
        </is>
      </c>
      <c r="I1007" s="18" t="inlineStr">
        <is>
          <t>Humberside Airport</t>
        </is>
      </c>
      <c r="J1007" s="21" t="n">
        <v>18.8</v>
      </c>
      <c r="K1007" s="18" t="inlineStr">
        <is>
          <t>HUY</t>
        </is>
      </c>
      <c r="L1007" s="18" t="inlineStr">
        <is>
          <t>100k +  pop</t>
        </is>
      </c>
      <c r="M1007" s="22" t="n">
        <v>0.494</v>
      </c>
      <c r="N1007" s="22" t="n">
        <v>0</v>
      </c>
      <c r="O1007" s="18" t="n"/>
      <c r="P1007" s="22">
        <f>IF(O1007="",(About!$B$5*M1007+About!$B$6*N1007)/(About!$B$5+About!$B$6),About!$B$5*M1007+About!$B$6*N1007+About!$B$7*O1007)</f>
        <v/>
      </c>
      <c r="Q1007" s="23" t="n">
        <v>53.7446</v>
      </c>
      <c r="R1007" s="23" t="n">
        <v>-0.3352</v>
      </c>
    </row>
    <row r="1008" ht="15" customHeight="1" s="12">
      <c r="A1008" s="18" t="inlineStr">
        <is>
          <t>Okap</t>
        </is>
      </c>
      <c r="B1008" s="18" t="inlineStr">
        <is>
          <t>Haiti</t>
        </is>
      </c>
      <c r="C1008" s="19" t="n">
        <v>11867032</v>
      </c>
      <c r="D1008" s="18" t="inlineStr">
        <is>
          <t>HT</t>
        </is>
      </c>
      <c r="E1008" s="18" t="inlineStr">
        <is>
          <t>09</t>
        </is>
      </c>
      <c r="F1008" s="20" t="n">
        <v>134815</v>
      </c>
      <c r="G1008" s="18" t="n"/>
      <c r="H1008" s="18" t="inlineStr">
        <is>
          <t>CAP</t>
        </is>
      </c>
      <c r="I1008" s="18" t="inlineStr">
        <is>
          <t>Cap Haitien International Airport</t>
        </is>
      </c>
      <c r="J1008" s="21" t="n">
        <v>3.8</v>
      </c>
      <c r="K1008" s="18" t="inlineStr">
        <is>
          <t>CAP</t>
        </is>
      </c>
      <c r="L1008" s="18" t="inlineStr">
        <is>
          <t>100k +  pop + airport</t>
        </is>
      </c>
      <c r="M1008" s="22" t="n">
        <v>0.494</v>
      </c>
      <c r="N1008" s="22" t="n">
        <v>0</v>
      </c>
      <c r="O1008" s="18" t="n"/>
      <c r="P1008" s="22">
        <f>IF(O1008="",(About!$B$5*M1008+About!$B$6*N1008)/(About!$B$5+About!$B$6),About!$B$5*M1008+About!$B$6*N1008+About!$B$7*O1008)</f>
        <v/>
      </c>
      <c r="Q1008" s="23" t="n">
        <v>19.7594</v>
      </c>
      <c r="R1008" s="23" t="n">
        <v>-72.1981</v>
      </c>
    </row>
    <row r="1009" ht="15" customHeight="1" s="12">
      <c r="A1009" s="18" t="inlineStr">
        <is>
          <t>Grimsby</t>
        </is>
      </c>
      <c r="B1009" s="18" t="inlineStr">
        <is>
          <t>United Kingdom</t>
        </is>
      </c>
      <c r="C1009" s="19" t="n">
        <v>69487000</v>
      </c>
      <c r="D1009" s="18" t="inlineStr">
        <is>
          <t>GB</t>
        </is>
      </c>
      <c r="E1009" s="18" t="inlineStr">
        <is>
          <t>ENG</t>
        </is>
      </c>
      <c r="F1009" s="20" t="n">
        <v>134160</v>
      </c>
      <c r="G1009" s="18" t="n"/>
      <c r="H1009" s="18" t="inlineStr">
        <is>
          <t>HUY</t>
        </is>
      </c>
      <c r="I1009" s="18" t="inlineStr">
        <is>
          <t>Humberside Airport</t>
        </is>
      </c>
      <c r="J1009" s="21" t="n">
        <v>18.1</v>
      </c>
      <c r="K1009" s="18" t="inlineStr">
        <is>
          <t>HUY</t>
        </is>
      </c>
      <c r="L1009" s="18" t="inlineStr">
        <is>
          <t>100k +  pop</t>
        </is>
      </c>
      <c r="M1009" s="22" t="n">
        <v>0.494</v>
      </c>
      <c r="N1009" s="22" t="n">
        <v>0</v>
      </c>
      <c r="O1009" s="18" t="n"/>
      <c r="P1009" s="22">
        <f>IF(O1009="",(About!$B$5*M1009+About!$B$6*N1009)/(About!$B$5+About!$B$6),About!$B$5*M1009+About!$B$6*N1009+About!$B$7*O1009)</f>
        <v/>
      </c>
      <c r="Q1009" s="23" t="n">
        <v>53.5654</v>
      </c>
      <c r="R1009" s="23" t="n">
        <v>-0.0755</v>
      </c>
    </row>
    <row r="1010" ht="15" customHeight="1" s="12">
      <c r="A1010" s="18" t="inlineStr">
        <is>
          <t>Sydney</t>
        </is>
      </c>
      <c r="B1010" s="18" t="inlineStr">
        <is>
          <t>Canada</t>
        </is>
      </c>
      <c r="C1010" s="19" t="n">
        <v>41472081</v>
      </c>
      <c r="D1010" s="18" t="inlineStr">
        <is>
          <t>CA</t>
        </is>
      </c>
      <c r="E1010" s="18" t="inlineStr">
        <is>
          <t>07</t>
        </is>
      </c>
      <c r="F1010" s="20" t="n">
        <v>105968</v>
      </c>
      <c r="G1010" s="18" t="n"/>
      <c r="H1010" s="18" t="inlineStr">
        <is>
          <t>YQY</t>
        </is>
      </c>
      <c r="I1010" s="18" t="inlineStr">
        <is>
          <t>Sydney / J.A. Douglas McCurdy Airport</t>
        </is>
      </c>
      <c r="J1010" s="21" t="n">
        <v>10.7</v>
      </c>
      <c r="K1010" s="18" t="inlineStr">
        <is>
          <t>YQY</t>
        </is>
      </c>
      <c r="L1010" s="18" t="inlineStr">
        <is>
          <t>100k +  pop + airport</t>
        </is>
      </c>
      <c r="M1010" s="22" t="n">
        <v>0.495</v>
      </c>
      <c r="N1010" s="22" t="n">
        <v>0</v>
      </c>
      <c r="O1010" s="18" t="n"/>
      <c r="P1010" s="22">
        <f>IF(O1010="",(About!$B$5*M1010+About!$B$6*N1010)/(About!$B$5+About!$B$6),About!$B$5*M1010+About!$B$6*N1010+About!$B$7*O1010)</f>
        <v/>
      </c>
      <c r="Q1010" s="23" t="n">
        <v>46.1351</v>
      </c>
      <c r="R1010" s="23" t="n">
        <v>-60.1831</v>
      </c>
    </row>
    <row r="1011" ht="15" customHeight="1" s="12">
      <c r="A1011" s="18" t="inlineStr">
        <is>
          <t>Mytilene</t>
        </is>
      </c>
      <c r="B1011" s="18" t="inlineStr">
        <is>
          <t>Greece</t>
        </is>
      </c>
      <c r="C1011" s="19" t="n">
        <v>10372335</v>
      </c>
      <c r="D1011" s="18" t="inlineStr">
        <is>
          <t>GR</t>
        </is>
      </c>
      <c r="E1011" s="18" t="inlineStr">
        <is>
          <t>ESYE41</t>
        </is>
      </c>
      <c r="F1011" s="20" t="n">
        <v>28322</v>
      </c>
      <c r="G1011" s="18" t="n"/>
      <c r="H1011" s="18" t="inlineStr">
        <is>
          <t>MJT</t>
        </is>
      </c>
      <c r="I1011" s="18" t="inlineStr">
        <is>
          <t>Mytilene International Airport</t>
        </is>
      </c>
      <c r="J1011" s="21" t="n">
        <v>6.7</v>
      </c>
      <c r="K1011" s="18" t="inlineStr">
        <is>
          <t>MJT</t>
        </is>
      </c>
      <c r="L1011" s="18" t="inlineStr">
        <is>
          <t>airport</t>
        </is>
      </c>
      <c r="M1011" s="22" t="n">
        <v>0.495</v>
      </c>
      <c r="N1011" s="22" t="n">
        <v>0</v>
      </c>
      <c r="O1011" s="18" t="n"/>
      <c r="P1011" s="22">
        <f>IF(O1011="",(About!$B$5*M1011+About!$B$6*N1011)/(About!$B$5+About!$B$6),About!$B$5*M1011+About!$B$6*N1011+About!$B$7*O1011)</f>
        <v/>
      </c>
      <c r="Q1011" s="23" t="n">
        <v>39.1077</v>
      </c>
      <c r="R1011" s="23" t="n">
        <v>26.5553</v>
      </c>
    </row>
    <row r="1012" ht="15" customHeight="1" s="12">
      <c r="A1012" s="18" t="inlineStr">
        <is>
          <t>Taupo</t>
        </is>
      </c>
      <c r="B1012" s="18" t="inlineStr">
        <is>
          <t>New Zealand</t>
        </is>
      </c>
      <c r="C1012" s="19" t="n">
        <v>5361300</v>
      </c>
      <c r="D1012" s="18" t="inlineStr">
        <is>
          <t>NZ</t>
        </is>
      </c>
      <c r="E1012" s="18" t="inlineStr">
        <is>
          <t>G1</t>
        </is>
      </c>
      <c r="F1012" s="20" t="n">
        <v>22469</v>
      </c>
      <c r="G1012" s="18" t="n"/>
      <c r="H1012" s="18" t="inlineStr">
        <is>
          <t>TUO</t>
        </is>
      </c>
      <c r="I1012" s="18" t="inlineStr">
        <is>
          <t>Taupo Airport</t>
        </is>
      </c>
      <c r="J1012" s="21" t="n">
        <v>6.3</v>
      </c>
      <c r="K1012" s="18" t="inlineStr">
        <is>
          <t>TUO</t>
        </is>
      </c>
      <c r="L1012" s="18" t="inlineStr">
        <is>
          <t>airport</t>
        </is>
      </c>
      <c r="M1012" s="22" t="n">
        <v>0.493</v>
      </c>
      <c r="N1012" s="22" t="n">
        <v>0</v>
      </c>
      <c r="O1012" s="18" t="n"/>
      <c r="P1012" s="22">
        <f>IF(O1012="",(About!$B$5*M1012+About!$B$6*N1012)/(About!$B$5+About!$B$6),About!$B$5*M1012+About!$B$6*N1012+About!$B$7*O1012)</f>
        <v/>
      </c>
      <c r="Q1012" s="23" t="n">
        <v>-38.6833</v>
      </c>
      <c r="R1012" s="23" t="n">
        <v>176.0833</v>
      </c>
    </row>
    <row r="1013" ht="15" customHeight="1" s="12">
      <c r="A1013" s="18" t="inlineStr">
        <is>
          <t>Matsumoto</t>
        </is>
      </c>
      <c r="B1013" s="18" t="inlineStr">
        <is>
          <t>Japan</t>
        </is>
      </c>
      <c r="C1013" s="19" t="n">
        <v>122810000</v>
      </c>
      <c r="D1013" s="18" t="inlineStr">
        <is>
          <t>JP</t>
        </is>
      </c>
      <c r="E1013" s="18" t="inlineStr">
        <is>
          <t>26</t>
        </is>
      </c>
      <c r="F1013" s="20" t="n">
        <v>210667</v>
      </c>
      <c r="G1013" s="18" t="n"/>
      <c r="H1013" s="18" t="inlineStr">
        <is>
          <t>MMJ</t>
        </is>
      </c>
      <c r="I1013" s="18" t="inlineStr">
        <is>
          <t>Shinshu-Matsumoto Airport</t>
        </is>
      </c>
      <c r="J1013" s="21" t="n">
        <v>8.4</v>
      </c>
      <c r="K1013" s="18" t="inlineStr">
        <is>
          <t>MMJ</t>
        </is>
      </c>
      <c r="L1013" s="18" t="inlineStr">
        <is>
          <t>100k +  pop + airport</t>
        </is>
      </c>
      <c r="M1013" s="22" t="n">
        <v>0.492</v>
      </c>
      <c r="N1013" s="22" t="n">
        <v>0</v>
      </c>
      <c r="O1013" s="18" t="n"/>
      <c r="P1013" s="22">
        <f>IF(O1013="",(About!$B$5*M1013+About!$B$6*N1013)/(About!$B$5+About!$B$6),About!$B$5*M1013+About!$B$6*N1013+About!$B$7*O1013)</f>
        <v/>
      </c>
      <c r="Q1013" s="23" t="n">
        <v>36.2333</v>
      </c>
      <c r="R1013" s="23" t="n">
        <v>137.9667</v>
      </c>
    </row>
    <row r="1014" ht="15" customHeight="1" s="12">
      <c r="A1014" s="18" t="inlineStr">
        <is>
          <t>Antsiranana</t>
        </is>
      </c>
      <c r="B1014" s="18" t="inlineStr">
        <is>
          <t>Madagascar</t>
        </is>
      </c>
      <c r="C1014" s="19" t="n">
        <v>31727042</v>
      </c>
      <c r="D1014" s="18" t="inlineStr">
        <is>
          <t>MG</t>
        </is>
      </c>
      <c r="E1014" s="18" t="inlineStr">
        <is>
          <t>71</t>
        </is>
      </c>
      <c r="F1014" s="20" t="n">
        <v>82937</v>
      </c>
      <c r="G1014" s="18" t="n"/>
      <c r="H1014" s="18" t="inlineStr">
        <is>
          <t>DIE</t>
        </is>
      </c>
      <c r="I1014" s="18" t="inlineStr">
        <is>
          <t>Arrachart Airport</t>
        </is>
      </c>
      <c r="J1014" s="21" t="n">
        <v>3.6</v>
      </c>
      <c r="K1014" s="18" t="inlineStr">
        <is>
          <t>DIE</t>
        </is>
      </c>
      <c r="L1014" s="18" t="inlineStr">
        <is>
          <t>airport</t>
        </is>
      </c>
      <c r="M1014" s="22" t="n">
        <v>0.493</v>
      </c>
      <c r="N1014" s="22" t="n">
        <v>0</v>
      </c>
      <c r="O1014" s="18" t="n"/>
      <c r="P1014" s="22">
        <f>IF(O1014="",(About!$B$5*M1014+About!$B$6*N1014)/(About!$B$5+About!$B$6),About!$B$5*M1014+About!$B$6*N1014+About!$B$7*O1014)</f>
        <v/>
      </c>
      <c r="Q1014" s="23" t="n">
        <v>-12.3173</v>
      </c>
      <c r="R1014" s="23" t="n">
        <v>49.2919</v>
      </c>
    </row>
    <row r="1015" ht="15" customHeight="1" s="12">
      <c r="A1015" s="18" t="inlineStr">
        <is>
          <t>Zadar</t>
        </is>
      </c>
      <c r="B1015" s="18" t="inlineStr">
        <is>
          <t>Croatia</t>
        </is>
      </c>
      <c r="C1015" s="19" t="n">
        <v>3866233</v>
      </c>
      <c r="D1015" s="18" t="inlineStr">
        <is>
          <t>HR</t>
        </is>
      </c>
      <c r="E1015" s="18" t="inlineStr">
        <is>
          <t>19</t>
        </is>
      </c>
      <c r="F1015" s="20" t="n">
        <v>71258</v>
      </c>
      <c r="G1015" s="18" t="n"/>
      <c r="H1015" s="18" t="inlineStr">
        <is>
          <t>ZAD</t>
        </is>
      </c>
      <c r="I1015" s="18" t="inlineStr">
        <is>
          <t>Zadar Airport</t>
        </is>
      </c>
      <c r="J1015" s="21" t="n">
        <v>10.5</v>
      </c>
      <c r="K1015" s="18" t="inlineStr">
        <is>
          <t>ZAD</t>
        </is>
      </c>
      <c r="L1015" s="18" t="inlineStr">
        <is>
          <t>airport</t>
        </is>
      </c>
      <c r="M1015" s="22" t="n">
        <v>0.492</v>
      </c>
      <c r="N1015" s="22" t="n">
        <v>0</v>
      </c>
      <c r="O1015" s="18" t="n"/>
      <c r="P1015" s="22">
        <f>IF(O1015="",(About!$B$5*M1015+About!$B$6*N1015)/(About!$B$5+About!$B$6),About!$B$5*M1015+About!$B$6*N1015+About!$B$7*O1015)</f>
        <v/>
      </c>
      <c r="Q1015" s="23" t="n">
        <v>44.1158</v>
      </c>
      <c r="R1015" s="23" t="n">
        <v>15.2251</v>
      </c>
    </row>
    <row r="1016" ht="15" customHeight="1" s="12">
      <c r="A1016" s="18" t="inlineStr">
        <is>
          <t>Dandong</t>
        </is>
      </c>
      <c r="B1016" s="18" t="inlineStr">
        <is>
          <t>China</t>
        </is>
      </c>
      <c r="C1016" s="19" t="n">
        <v>1404890000</v>
      </c>
      <c r="D1016" s="18" t="inlineStr">
        <is>
          <t>CN</t>
        </is>
      </c>
      <c r="E1016" s="18" t="inlineStr">
        <is>
          <t>19</t>
        </is>
      </c>
      <c r="F1016" s="20" t="n">
        <v>631973</v>
      </c>
      <c r="G1016" s="18" t="n"/>
      <c r="H1016" s="18" t="inlineStr">
        <is>
          <t>DDG</t>
        </is>
      </c>
      <c r="I1016" s="18" t="inlineStr">
        <is>
          <t>Dandong Langtou International Airport</t>
        </is>
      </c>
      <c r="J1016" s="21" t="n">
        <v>14.7</v>
      </c>
      <c r="K1016" s="18" t="inlineStr">
        <is>
          <t>DDG</t>
        </is>
      </c>
      <c r="L1016" s="18" t="inlineStr">
        <is>
          <t>100k +  pop</t>
        </is>
      </c>
      <c r="M1016" s="22" t="n">
        <v>0.491</v>
      </c>
      <c r="N1016" s="22" t="n">
        <v>0</v>
      </c>
      <c r="O1016" s="18" t="n"/>
      <c r="P1016" s="22">
        <f>IF(O1016="",(About!$B$5*M1016+About!$B$6*N1016)/(About!$B$5+About!$B$6),About!$B$5*M1016+About!$B$6*N1016+About!$B$7*O1016)</f>
        <v/>
      </c>
      <c r="Q1016" s="23" t="n">
        <v>40.1292</v>
      </c>
      <c r="R1016" s="23" t="n">
        <v>124.3947</v>
      </c>
    </row>
    <row r="1017" ht="15" customHeight="1" s="12">
      <c r="A1017" s="18" t="inlineStr">
        <is>
          <t>Tamale</t>
        </is>
      </c>
      <c r="B1017" s="18" t="inlineStr">
        <is>
          <t>Ghana</t>
        </is>
      </c>
      <c r="C1017" s="19" t="n">
        <v>33742380</v>
      </c>
      <c r="D1017" s="18" t="inlineStr">
        <is>
          <t>GH</t>
        </is>
      </c>
      <c r="E1017" s="18" t="inlineStr">
        <is>
          <t>06</t>
        </is>
      </c>
      <c r="F1017" s="20" t="n">
        <v>360579</v>
      </c>
      <c r="G1017" s="18" t="n"/>
      <c r="H1017" s="18" t="inlineStr">
        <is>
          <t>TML</t>
        </is>
      </c>
      <c r="I1017" s="18" t="inlineStr">
        <is>
          <t>Yakubu Tali International Airport</t>
        </is>
      </c>
      <c r="J1017" s="21" t="n">
        <v>17.3</v>
      </c>
      <c r="K1017" s="18" t="inlineStr">
        <is>
          <t>TML</t>
        </is>
      </c>
      <c r="L1017" s="18" t="inlineStr">
        <is>
          <t>100k +  pop + airport</t>
        </is>
      </c>
      <c r="M1017" s="22" t="n">
        <v>0.489</v>
      </c>
      <c r="N1017" s="22" t="n">
        <v>0</v>
      </c>
      <c r="O1017" s="18" t="n"/>
      <c r="P1017" s="22">
        <f>IF(O1017="",(About!$B$5*M1017+About!$B$6*N1017)/(About!$B$5+About!$B$6),About!$B$5*M1017+About!$B$6*N1017+About!$B$7*O1017)</f>
        <v/>
      </c>
      <c r="Q1017" s="23" t="n">
        <v>9.4008</v>
      </c>
      <c r="R1017" s="23" t="n">
        <v>-0.8393</v>
      </c>
    </row>
    <row r="1018" ht="15" customHeight="1" s="12">
      <c r="A1018" s="18" t="inlineStr">
        <is>
          <t>Toamasina</t>
        </is>
      </c>
      <c r="B1018" s="18" t="inlineStr">
        <is>
          <t>Madagascar</t>
        </is>
      </c>
      <c r="C1018" s="19" t="n">
        <v>31727042</v>
      </c>
      <c r="D1018" s="18" t="inlineStr">
        <is>
          <t>MG</t>
        </is>
      </c>
      <c r="E1018" s="18" t="inlineStr">
        <is>
          <t>31</t>
        </is>
      </c>
      <c r="F1018" s="20" t="n">
        <v>206373</v>
      </c>
      <c r="G1018" s="18" t="n"/>
      <c r="H1018" s="18" t="inlineStr">
        <is>
          <t>TMM</t>
        </is>
      </c>
      <c r="I1018" s="18" t="inlineStr">
        <is>
          <t>Toamasina Ambalamanasy Airport</t>
        </is>
      </c>
      <c r="J1018" s="21" t="n">
        <v>4.1</v>
      </c>
      <c r="K1018" s="18" t="inlineStr">
        <is>
          <t>TMM</t>
        </is>
      </c>
      <c r="L1018" s="18" t="inlineStr">
        <is>
          <t>100k +  pop + airport</t>
        </is>
      </c>
      <c r="M1018" s="22" t="n">
        <v>0.49</v>
      </c>
      <c r="N1018" s="22" t="n">
        <v>0</v>
      </c>
      <c r="O1018" s="18" t="n"/>
      <c r="P1018" s="22">
        <f>IF(O1018="",(About!$B$5*M1018+About!$B$6*N1018)/(About!$B$5+About!$B$6),About!$B$5*M1018+About!$B$6*N1018+About!$B$7*O1018)</f>
        <v/>
      </c>
      <c r="Q1018" s="23" t="n">
        <v>-18.1492</v>
      </c>
      <c r="R1018" s="23" t="n">
        <v>49.4023</v>
      </c>
    </row>
    <row r="1019" ht="15" customHeight="1" s="12">
      <c r="A1019" s="18" t="inlineStr">
        <is>
          <t>Pakse</t>
        </is>
      </c>
      <c r="B1019" s="18" t="inlineStr">
        <is>
          <t>Laos</t>
        </is>
      </c>
      <c r="C1019" s="19" t="n">
        <v>7647000</v>
      </c>
      <c r="D1019" s="18" t="inlineStr">
        <is>
          <t>LA</t>
        </is>
      </c>
      <c r="E1019" s="18" t="inlineStr">
        <is>
          <t>02</t>
        </is>
      </c>
      <c r="F1019" s="20" t="n">
        <v>88332</v>
      </c>
      <c r="G1019" s="18" t="n"/>
      <c r="H1019" s="18" t="inlineStr">
        <is>
          <t>PKZ</t>
        </is>
      </c>
      <c r="I1019" s="18" t="inlineStr">
        <is>
          <t>Pakse International Airport</t>
        </is>
      </c>
      <c r="J1019" s="21" t="n">
        <v>2.6</v>
      </c>
      <c r="K1019" s="18" t="inlineStr">
        <is>
          <t>PKZ</t>
        </is>
      </c>
      <c r="L1019" s="18" t="inlineStr">
        <is>
          <t>airport</t>
        </is>
      </c>
      <c r="M1019" s="22" t="n">
        <v>0.489</v>
      </c>
      <c r="N1019" s="22" t="n">
        <v>0</v>
      </c>
      <c r="O1019" s="18" t="n"/>
      <c r="P1019" s="22">
        <f>IF(O1019="",(About!$B$5*M1019+About!$B$6*N1019)/(About!$B$5+About!$B$6),About!$B$5*M1019+About!$B$6*N1019+About!$B$7*O1019)</f>
        <v/>
      </c>
      <c r="Q1019" s="23" t="n">
        <v>15.1202</v>
      </c>
      <c r="R1019" s="23" t="n">
        <v>105.799</v>
      </c>
    </row>
    <row r="1020" ht="15" customHeight="1" s="12">
      <c r="A1020" s="18" t="inlineStr">
        <is>
          <t>Rabat</t>
        </is>
      </c>
      <c r="B1020" s="18" t="inlineStr">
        <is>
          <t>Morocco</t>
        </is>
      </c>
      <c r="C1020" s="19" t="n">
        <v>36828330</v>
      </c>
      <c r="D1020" s="18" t="inlineStr">
        <is>
          <t>MA</t>
        </is>
      </c>
      <c r="E1020" s="18" t="inlineStr">
        <is>
          <t>04</t>
        </is>
      </c>
      <c r="F1020" s="20" t="n">
        <v>1655753</v>
      </c>
      <c r="G1020" s="18" t="inlineStr">
        <is>
          <t>Yes</t>
        </is>
      </c>
      <c r="H1020" s="18" t="inlineStr">
        <is>
          <t>RBA</t>
        </is>
      </c>
      <c r="I1020" s="18" t="inlineStr">
        <is>
          <t>Rabat-Salé Airport</t>
        </is>
      </c>
      <c r="J1020" s="21" t="n">
        <v>8.6</v>
      </c>
      <c r="K1020" s="18" t="inlineStr">
        <is>
          <t>RBA</t>
        </is>
      </c>
      <c r="L1020" s="18" t="inlineStr">
        <is>
          <t>100k +  pop + capital + airport</t>
        </is>
      </c>
      <c r="M1020" s="22" t="n">
        <v>0.489</v>
      </c>
      <c r="N1020" s="22" t="n">
        <v>0</v>
      </c>
      <c r="O1020" s="18" t="n"/>
      <c r="P1020" s="22">
        <f>IF(O1020="",(About!$B$5*M1020+About!$B$6*N1020)/(About!$B$5+About!$B$6),About!$B$5*M1020+About!$B$6*N1020+About!$B$7*O1020)</f>
        <v/>
      </c>
      <c r="Q1020" s="23" t="n">
        <v>34.0132</v>
      </c>
      <c r="R1020" s="23" t="n">
        <v>-6.8326</v>
      </c>
    </row>
    <row r="1021" ht="15" customHeight="1" s="12">
      <c r="A1021" s="18" t="inlineStr">
        <is>
          <t>Malatya</t>
        </is>
      </c>
      <c r="B1021" s="18" t="inlineStr">
        <is>
          <t>Türkiye</t>
        </is>
      </c>
      <c r="C1021" s="19" t="n">
        <v>86092168</v>
      </c>
      <c r="D1021" s="18" t="inlineStr">
        <is>
          <t>TR</t>
        </is>
      </c>
      <c r="E1021" s="18" t="inlineStr">
        <is>
          <t>44</t>
        </is>
      </c>
      <c r="F1021" s="20" t="n">
        <v>441805</v>
      </c>
      <c r="G1021" s="18" t="n"/>
      <c r="H1021" s="18" t="inlineStr">
        <is>
          <t>MLX</t>
        </is>
      </c>
      <c r="I1021" s="18" t="inlineStr">
        <is>
          <t>Malatya Erhaç Airport</t>
        </is>
      </c>
      <c r="J1021" s="21" t="n">
        <v>21.8</v>
      </c>
      <c r="K1021" s="18" t="inlineStr">
        <is>
          <t>MLX</t>
        </is>
      </c>
      <c r="L1021" s="18" t="inlineStr">
        <is>
          <t>100k +  pop + airport</t>
        </is>
      </c>
      <c r="M1021" s="22" t="n">
        <v>0.489</v>
      </c>
      <c r="N1021" s="22" t="n">
        <v>0</v>
      </c>
      <c r="O1021" s="18" t="n"/>
      <c r="P1021" s="22">
        <f>IF(O1021="",(About!$B$5*M1021+About!$B$6*N1021)/(About!$B$5+About!$B$6),About!$B$5*M1021+About!$B$6*N1021+About!$B$7*O1021)</f>
        <v/>
      </c>
      <c r="Q1021" s="23" t="n">
        <v>38.3502</v>
      </c>
      <c r="R1021" s="23" t="n">
        <v>38.3167</v>
      </c>
    </row>
    <row r="1022" ht="15" customHeight="1" s="12">
      <c r="A1022" s="18" t="inlineStr">
        <is>
          <t>Zinder</t>
        </is>
      </c>
      <c r="B1022" s="18" t="inlineStr">
        <is>
          <t>Niger</t>
        </is>
      </c>
      <c r="C1022" s="19" t="n">
        <v>27522750</v>
      </c>
      <c r="D1022" s="18" t="inlineStr">
        <is>
          <t>NE</t>
        </is>
      </c>
      <c r="E1022" s="18" t="inlineStr">
        <is>
          <t>07</t>
        </is>
      </c>
      <c r="F1022" s="20" t="n">
        <v>191424</v>
      </c>
      <c r="G1022" s="18" t="n"/>
      <c r="H1022" s="18" t="inlineStr">
        <is>
          <t>ZND</t>
        </is>
      </c>
      <c r="I1022" s="18" t="inlineStr">
        <is>
          <t>Zinder Airport</t>
        </is>
      </c>
      <c r="J1022" s="21" t="n">
        <v>3.2</v>
      </c>
      <c r="K1022" s="18" t="inlineStr">
        <is>
          <t>ZND</t>
        </is>
      </c>
      <c r="L1022" s="18" t="inlineStr">
        <is>
          <t>100k +  pop + airport</t>
        </is>
      </c>
      <c r="M1022" s="22" t="n">
        <v>0.488</v>
      </c>
      <c r="N1022" s="22" t="n">
        <v>0</v>
      </c>
      <c r="O1022" s="18" t="n"/>
      <c r="P1022" s="22">
        <f>IF(O1022="",(About!$B$5*M1022+About!$B$6*N1022)/(About!$B$5+About!$B$6),About!$B$5*M1022+About!$B$6*N1022+About!$B$7*O1022)</f>
        <v/>
      </c>
      <c r="Q1022" s="23" t="n">
        <v>13.8072</v>
      </c>
      <c r="R1022" s="23" t="n">
        <v>8.988099999999999</v>
      </c>
    </row>
    <row r="1023" ht="15" customHeight="1" s="12">
      <c r="A1023" s="18" t="inlineStr">
        <is>
          <t>Naga</t>
        </is>
      </c>
      <c r="B1023" s="18" t="inlineStr">
        <is>
          <t>Philippines</t>
        </is>
      </c>
      <c r="C1023" s="19" t="n">
        <v>114123600</v>
      </c>
      <c r="D1023" s="18" t="inlineStr">
        <is>
          <t>PH</t>
        </is>
      </c>
      <c r="E1023" s="18" t="inlineStr">
        <is>
          <t>05</t>
        </is>
      </c>
      <c r="F1023" s="20" t="n">
        <v>174931</v>
      </c>
      <c r="G1023" s="18" t="n"/>
      <c r="H1023" s="18" t="inlineStr">
        <is>
          <t>WNP</t>
        </is>
      </c>
      <c r="I1023" s="18" t="inlineStr">
        <is>
          <t>Naga Airport</t>
        </is>
      </c>
      <c r="J1023" s="21" t="n">
        <v>10.3</v>
      </c>
      <c r="K1023" s="18" t="inlineStr">
        <is>
          <t>WNP</t>
        </is>
      </c>
      <c r="L1023" s="18" t="inlineStr">
        <is>
          <t>100k +  pop + airport</t>
        </is>
      </c>
      <c r="M1023" s="22" t="n">
        <v>0.488</v>
      </c>
      <c r="N1023" s="22" t="n">
        <v>0</v>
      </c>
      <c r="O1023" s="18" t="n"/>
      <c r="P1023" s="22">
        <f>IF(O1023="",(About!$B$5*M1023+About!$B$6*N1023)/(About!$B$5+About!$B$6),About!$B$5*M1023+About!$B$6*N1023+About!$B$7*O1023)</f>
        <v/>
      </c>
      <c r="Q1023" s="23" t="n">
        <v>13.6192</v>
      </c>
      <c r="R1023" s="23" t="n">
        <v>123.1814</v>
      </c>
    </row>
    <row r="1024" ht="15" customHeight="1" s="12">
      <c r="A1024" s="18" t="inlineStr">
        <is>
          <t>Urganch</t>
        </is>
      </c>
      <c r="B1024" s="18" t="inlineStr">
        <is>
          <t>Uzbekistan</t>
        </is>
      </c>
      <c r="C1024" s="19" t="n">
        <v>38382685</v>
      </c>
      <c r="D1024" s="18" t="inlineStr">
        <is>
          <t>UZ</t>
        </is>
      </c>
      <c r="E1024" s="18" t="inlineStr">
        <is>
          <t>05</t>
        </is>
      </c>
      <c r="F1024" s="20" t="n">
        <v>150110</v>
      </c>
      <c r="G1024" s="18" t="n"/>
      <c r="H1024" s="18" t="inlineStr">
        <is>
          <t>UGC</t>
        </is>
      </c>
      <c r="I1024" s="18" t="inlineStr">
        <is>
          <t>Urgench International Airport</t>
        </is>
      </c>
      <c r="J1024" s="21" t="n">
        <v>3.7</v>
      </c>
      <c r="K1024" s="18" t="inlineStr">
        <is>
          <t>UGC</t>
        </is>
      </c>
      <c r="L1024" s="18" t="inlineStr">
        <is>
          <t>100k +  pop + airport</t>
        </is>
      </c>
      <c r="M1024" s="22" t="n">
        <v>0.488</v>
      </c>
      <c r="N1024" s="22" t="n">
        <v>0</v>
      </c>
      <c r="O1024" s="18" t="n"/>
      <c r="P1024" s="22">
        <f>IF(O1024="",(About!$B$5*M1024+About!$B$6*N1024)/(About!$B$5+About!$B$6),About!$B$5*M1024+About!$B$6*N1024+About!$B$7*O1024)</f>
        <v/>
      </c>
      <c r="Q1024" s="23" t="n">
        <v>41.55</v>
      </c>
      <c r="R1024" s="23" t="n">
        <v>60.6333</v>
      </c>
    </row>
    <row r="1025" ht="15" customHeight="1" s="12">
      <c r="A1025" s="18" t="inlineStr">
        <is>
          <t>Kalemie</t>
        </is>
      </c>
      <c r="B1025" s="18" t="inlineStr">
        <is>
          <t>DR Congo</t>
        </is>
      </c>
      <c r="C1025" s="19" t="n">
        <v>112832000</v>
      </c>
      <c r="D1025" s="18" t="inlineStr">
        <is>
          <t>CD</t>
        </is>
      </c>
      <c r="E1025" s="18" t="inlineStr">
        <is>
          <t>29</t>
        </is>
      </c>
      <c r="F1025" s="20" t="n">
        <v>146974</v>
      </c>
      <c r="G1025" s="18" t="n"/>
      <c r="H1025" s="18" t="inlineStr">
        <is>
          <t>FMI</t>
        </is>
      </c>
      <c r="I1025" s="18" t="inlineStr">
        <is>
          <t>Kalemie Airport</t>
        </is>
      </c>
      <c r="J1025" s="21" t="n">
        <v>10.1</v>
      </c>
      <c r="K1025" s="18" t="inlineStr">
        <is>
          <t>FMI</t>
        </is>
      </c>
      <c r="L1025" s="18" t="inlineStr">
        <is>
          <t>100k +  pop + airport</t>
        </is>
      </c>
      <c r="M1025" s="22" t="n">
        <v>0.488</v>
      </c>
      <c r="N1025" s="22" t="n">
        <v>0</v>
      </c>
      <c r="O1025" s="18" t="n"/>
      <c r="P1025" s="22">
        <f>IF(O1025="",(About!$B$5*M1025+About!$B$6*N1025)/(About!$B$5+About!$B$6),About!$B$5*M1025+About!$B$6*N1025+About!$B$7*O1025)</f>
        <v/>
      </c>
      <c r="Q1025" s="23" t="n">
        <v>-5.9475</v>
      </c>
      <c r="R1025" s="23" t="n">
        <v>29.1947</v>
      </c>
    </row>
    <row r="1026" ht="15" customHeight="1" s="12">
      <c r="A1026" s="18" t="inlineStr">
        <is>
          <t>Clermont-Ferrand</t>
        </is>
      </c>
      <c r="B1026" s="18" t="inlineStr">
        <is>
          <t>France</t>
        </is>
      </c>
      <c r="C1026" s="19" t="n">
        <v>69081996</v>
      </c>
      <c r="D1026" s="18" t="inlineStr">
        <is>
          <t>FR</t>
        </is>
      </c>
      <c r="E1026" s="18" t="inlineStr">
        <is>
          <t>84</t>
        </is>
      </c>
      <c r="F1026" s="20" t="n">
        <v>138681</v>
      </c>
      <c r="G1026" s="18" t="n"/>
      <c r="H1026" s="18" t="inlineStr">
        <is>
          <t>CFE</t>
        </is>
      </c>
      <c r="I1026" s="18" t="inlineStr">
        <is>
          <t>Clermont-Ferrand Auvergne airport</t>
        </is>
      </c>
      <c r="J1026" s="21" t="n">
        <v>6.4</v>
      </c>
      <c r="K1026" s="18" t="inlineStr">
        <is>
          <t>CFE</t>
        </is>
      </c>
      <c r="L1026" s="18" t="inlineStr">
        <is>
          <t>100k +  pop + airport</t>
        </is>
      </c>
      <c r="M1026" s="22" t="n">
        <v>0.488</v>
      </c>
      <c r="N1026" s="22" t="n">
        <v>0</v>
      </c>
      <c r="O1026" s="18" t="n"/>
      <c r="P1026" s="22">
        <f>IF(O1026="",(About!$B$5*M1026+About!$B$6*N1026)/(About!$B$5+About!$B$6),About!$B$5*M1026+About!$B$6*N1026+About!$B$7*O1026)</f>
        <v/>
      </c>
      <c r="Q1026" s="23" t="n">
        <v>45.7797</v>
      </c>
      <c r="R1026" s="23" t="n">
        <v>3.0868</v>
      </c>
    </row>
    <row r="1027" ht="15" customHeight="1" s="12">
      <c r="A1027" s="18" t="inlineStr">
        <is>
          <t>Xilin Hot</t>
        </is>
      </c>
      <c r="B1027" s="18" t="inlineStr">
        <is>
          <t>China</t>
        </is>
      </c>
      <c r="C1027" s="19" t="n">
        <v>1404890000</v>
      </c>
      <c r="D1027" s="18" t="inlineStr">
        <is>
          <t>CN</t>
        </is>
      </c>
      <c r="E1027" s="18" t="inlineStr">
        <is>
          <t>20</t>
        </is>
      </c>
      <c r="F1027" s="20" t="n">
        <v>120965</v>
      </c>
      <c r="G1027" s="18" t="n"/>
      <c r="H1027" s="18" t="inlineStr">
        <is>
          <t>XIL</t>
        </is>
      </c>
      <c r="I1027" s="18" t="inlineStr">
        <is>
          <t>Xilinhot Airport</t>
        </is>
      </c>
      <c r="J1027" s="21" t="n">
        <v>7.9</v>
      </c>
      <c r="K1027" s="18" t="inlineStr">
        <is>
          <t>XIL</t>
        </is>
      </c>
      <c r="L1027" s="18" t="inlineStr">
        <is>
          <t>100k +  pop + airport</t>
        </is>
      </c>
      <c r="M1027" s="22" t="n">
        <v>0.488</v>
      </c>
      <c r="N1027" s="22" t="n">
        <v>0</v>
      </c>
      <c r="O1027" s="18" t="n"/>
      <c r="P1027" s="22">
        <f>IF(O1027="",(About!$B$5*M1027+About!$B$6*N1027)/(About!$B$5+About!$B$6),About!$B$5*M1027+About!$B$6*N1027+About!$B$7*O1027)</f>
        <v/>
      </c>
      <c r="Q1027" s="23" t="n">
        <v>43.9667</v>
      </c>
      <c r="R1027" s="23" t="n">
        <v>116.0333</v>
      </c>
    </row>
    <row r="1028" ht="15" customHeight="1" s="12">
      <c r="A1028" s="18" t="inlineStr">
        <is>
          <t>Aqaba</t>
        </is>
      </c>
      <c r="B1028" s="18" t="inlineStr">
        <is>
          <t>Jordan</t>
        </is>
      </c>
      <c r="C1028" s="19" t="n">
        <v>11937000</v>
      </c>
      <c r="D1028" s="18" t="inlineStr">
        <is>
          <t>JO</t>
        </is>
      </c>
      <c r="E1028" s="18" t="inlineStr">
        <is>
          <t>21</t>
        </is>
      </c>
      <c r="F1028" s="20" t="n">
        <v>95048</v>
      </c>
      <c r="G1028" s="18" t="n"/>
      <c r="H1028" s="18" t="inlineStr">
        <is>
          <t>AQJ</t>
        </is>
      </c>
      <c r="I1028" s="18" t="inlineStr">
        <is>
          <t>King Hussein International Airport</t>
        </is>
      </c>
      <c r="J1028" s="21" t="n">
        <v>9.5</v>
      </c>
      <c r="K1028" s="18" t="inlineStr">
        <is>
          <t>AQJ+ETM+TCP</t>
        </is>
      </c>
      <c r="L1028" s="18" t="inlineStr">
        <is>
          <t>airport</t>
        </is>
      </c>
      <c r="M1028" s="22" t="n">
        <v>0.489</v>
      </c>
      <c r="N1028" s="22" t="n">
        <v>0</v>
      </c>
      <c r="O1028" s="18" t="n"/>
      <c r="P1028" s="22">
        <f>IF(O1028="",(About!$B$5*M1028+About!$B$6*N1028)/(About!$B$5+About!$B$6),About!$B$5*M1028+About!$B$6*N1028+About!$B$7*O1028)</f>
        <v/>
      </c>
      <c r="Q1028" s="23" t="n">
        <v>29.5267</v>
      </c>
      <c r="R1028" s="23" t="n">
        <v>35.0078</v>
      </c>
    </row>
    <row r="1029" ht="15" customHeight="1" s="12">
      <c r="A1029" s="18" t="inlineStr">
        <is>
          <t>Eilat</t>
        </is>
      </c>
      <c r="B1029" s="18" t="inlineStr">
        <is>
          <t>Israel</t>
        </is>
      </c>
      <c r="C1029" s="19" t="n">
        <v>10244000</v>
      </c>
      <c r="D1029" s="18" t="inlineStr">
        <is>
          <t>IL</t>
        </is>
      </c>
      <c r="E1029" s="18" t="inlineStr">
        <is>
          <t>01</t>
        </is>
      </c>
      <c r="F1029" s="20" t="n">
        <v>45588</v>
      </c>
      <c r="G1029" s="18" t="n"/>
      <c r="H1029" s="18" t="inlineStr">
        <is>
          <t>AQJ</t>
        </is>
      </c>
      <c r="I1029" s="18" t="inlineStr">
        <is>
          <t>King Hussein International Airport</t>
        </is>
      </c>
      <c r="J1029" s="21" t="n">
        <v>9</v>
      </c>
      <c r="K1029" s="18" t="inlineStr">
        <is>
          <t>AQJ+ETM+TCP</t>
        </is>
      </c>
      <c r="L1029" s="18" t="inlineStr">
        <is>
          <t>airport</t>
        </is>
      </c>
      <c r="M1029" s="22" t="n">
        <v>0.489</v>
      </c>
      <c r="N1029" s="22" t="n">
        <v>0</v>
      </c>
      <c r="O1029" s="18" t="n"/>
      <c r="P1029" s="22">
        <f>IF(O1029="",(About!$B$5*M1029+About!$B$6*N1029)/(About!$B$5+About!$B$6),About!$B$5*M1029+About!$B$6*N1029+About!$B$7*O1029)</f>
        <v/>
      </c>
      <c r="Q1029" s="23" t="n">
        <v>29.5581</v>
      </c>
      <c r="R1029" s="23" t="n">
        <v>34.9482</v>
      </c>
    </row>
    <row r="1030" ht="15" customHeight="1" s="12">
      <c r="A1030" s="18" t="inlineStr">
        <is>
          <t>Konya</t>
        </is>
      </c>
      <c r="B1030" s="18" t="inlineStr">
        <is>
          <t>Türkiye</t>
        </is>
      </c>
      <c r="C1030" s="19" t="n">
        <v>86092168</v>
      </c>
      <c r="D1030" s="18" t="inlineStr">
        <is>
          <t>TR</t>
        </is>
      </c>
      <c r="E1030" s="18" t="inlineStr">
        <is>
          <t>71</t>
        </is>
      </c>
      <c r="F1030" s="20" t="n">
        <v>875530</v>
      </c>
      <c r="G1030" s="18" t="n"/>
      <c r="H1030" s="18" t="inlineStr">
        <is>
          <t>KYA</t>
        </is>
      </c>
      <c r="I1030" s="18" t="inlineStr">
        <is>
          <t>Konya Airport</t>
        </is>
      </c>
      <c r="J1030" s="21" t="n">
        <v>13.8</v>
      </c>
      <c r="K1030" s="18" t="inlineStr">
        <is>
          <t>KYA</t>
        </is>
      </c>
      <c r="L1030" s="18" t="inlineStr">
        <is>
          <t>100k +  pop + airport</t>
        </is>
      </c>
      <c r="M1030" s="22" t="n">
        <v>0.486</v>
      </c>
      <c r="N1030" s="22" t="n">
        <v>0</v>
      </c>
      <c r="O1030" s="18" t="n"/>
      <c r="P1030" s="22">
        <f>IF(O1030="",(About!$B$5*M1030+About!$B$6*N1030)/(About!$B$5+About!$B$6),About!$B$5*M1030+About!$B$6*N1030+About!$B$7*O1030)</f>
        <v/>
      </c>
      <c r="Q1030" s="23" t="n">
        <v>37.8713</v>
      </c>
      <c r="R1030" s="23" t="n">
        <v>32.4846</v>
      </c>
    </row>
    <row r="1031" ht="15" customHeight="1" s="12">
      <c r="A1031" s="18" t="inlineStr">
        <is>
          <t>Santiago de Cuba</t>
        </is>
      </c>
      <c r="B1031" s="18" t="inlineStr">
        <is>
          <t>Cuba</t>
        </is>
      </c>
      <c r="C1031" s="19" t="n">
        <v>9748007</v>
      </c>
      <c r="D1031" s="18" t="inlineStr">
        <is>
          <t>CU</t>
        </is>
      </c>
      <c r="E1031" s="18" t="inlineStr">
        <is>
          <t>15</t>
        </is>
      </c>
      <c r="F1031" s="20" t="n">
        <v>555865</v>
      </c>
      <c r="G1031" s="18" t="n"/>
      <c r="H1031" s="18" t="inlineStr">
        <is>
          <t>SCU</t>
        </is>
      </c>
      <c r="I1031" s="18" t="inlineStr">
        <is>
          <t>Antonio Maceo International Airport</t>
        </is>
      </c>
      <c r="J1031" s="21" t="n">
        <v>5.2</v>
      </c>
      <c r="K1031" s="18" t="inlineStr">
        <is>
          <t>SCU</t>
        </is>
      </c>
      <c r="L1031" s="18" t="inlineStr">
        <is>
          <t>100k +  pop + airport</t>
        </is>
      </c>
      <c r="M1031" s="22" t="n">
        <v>0.485</v>
      </c>
      <c r="N1031" s="22" t="n">
        <v>0</v>
      </c>
      <c r="O1031" s="18" t="n"/>
      <c r="P1031" s="22">
        <f>IF(O1031="",(About!$B$5*M1031+About!$B$6*N1031)/(About!$B$5+About!$B$6),About!$B$5*M1031+About!$B$6*N1031+About!$B$7*O1031)</f>
        <v/>
      </c>
      <c r="Q1031" s="23" t="n">
        <v>20.0208</v>
      </c>
      <c r="R1031" s="23" t="n">
        <v>-75.8267</v>
      </c>
    </row>
    <row r="1032" ht="15" customHeight="1" s="12">
      <c r="A1032" s="18" t="inlineStr">
        <is>
          <t>Karagandy</t>
        </is>
      </c>
      <c r="B1032" s="18" t="inlineStr">
        <is>
          <t>Kazakhstan</t>
        </is>
      </c>
      <c r="C1032" s="19" t="n">
        <v>20547909</v>
      </c>
      <c r="D1032" s="18" t="inlineStr">
        <is>
          <t>KZ</t>
        </is>
      </c>
      <c r="E1032" s="18" t="inlineStr">
        <is>
          <t>12</t>
        </is>
      </c>
      <c r="F1032" s="20" t="n">
        <v>451800</v>
      </c>
      <c r="G1032" s="18" t="n"/>
      <c r="H1032" s="18" t="inlineStr">
        <is>
          <t>KGF</t>
        </is>
      </c>
      <c r="I1032" s="18" t="inlineStr">
        <is>
          <t>Sary-Arka Airport</t>
        </is>
      </c>
      <c r="J1032" s="21" t="n">
        <v>22.2</v>
      </c>
      <c r="K1032" s="18" t="inlineStr">
        <is>
          <t>KGF</t>
        </is>
      </c>
      <c r="L1032" s="18" t="inlineStr">
        <is>
          <t>100k +  pop</t>
        </is>
      </c>
      <c r="M1032" s="22" t="n">
        <v>0.485</v>
      </c>
      <c r="N1032" s="22" t="n">
        <v>0</v>
      </c>
      <c r="O1032" s="18" t="n"/>
      <c r="P1032" s="22">
        <f>IF(O1032="",(About!$B$5*M1032+About!$B$6*N1032)/(About!$B$5+About!$B$6),About!$B$5*M1032+About!$B$6*N1032+About!$B$7*O1032)</f>
        <v/>
      </c>
      <c r="Q1032" s="23" t="n">
        <v>49.8019</v>
      </c>
      <c r="R1032" s="23" t="n">
        <v>73.10209999999999</v>
      </c>
    </row>
    <row r="1033" ht="15" customHeight="1" s="12">
      <c r="A1033" s="18" t="inlineStr">
        <is>
          <t>Vigo</t>
        </is>
      </c>
      <c r="B1033" s="18" t="inlineStr">
        <is>
          <t>Spain</t>
        </is>
      </c>
      <c r="C1033" s="19" t="n">
        <v>49687120</v>
      </c>
      <c r="D1033" s="18" t="inlineStr">
        <is>
          <t>ES</t>
        </is>
      </c>
      <c r="E1033" s="18" t="inlineStr">
        <is>
          <t>58</t>
        </is>
      </c>
      <c r="F1033" s="20" t="n">
        <v>297332</v>
      </c>
      <c r="G1033" s="18" t="n"/>
      <c r="H1033" s="18" t="inlineStr">
        <is>
          <t>VGO</t>
        </is>
      </c>
      <c r="I1033" s="18" t="inlineStr">
        <is>
          <t>Vigo Airport</t>
        </is>
      </c>
      <c r="J1033" s="21" t="n">
        <v>7.9</v>
      </c>
      <c r="K1033" s="18" t="inlineStr">
        <is>
          <t>VGO</t>
        </is>
      </c>
      <c r="L1033" s="18" t="inlineStr">
        <is>
          <t>100k +  pop + airport</t>
        </is>
      </c>
      <c r="M1033" s="22" t="n">
        <v>0.486</v>
      </c>
      <c r="N1033" s="22" t="n">
        <v>0</v>
      </c>
      <c r="O1033" s="18" t="n"/>
      <c r="P1033" s="22">
        <f>IF(O1033="",(About!$B$5*M1033+About!$B$6*N1033)/(About!$B$5+About!$B$6),About!$B$5*M1033+About!$B$6*N1033+About!$B$7*O1033)</f>
        <v/>
      </c>
      <c r="Q1033" s="23" t="n">
        <v>42.2328</v>
      </c>
      <c r="R1033" s="23" t="n">
        <v>-8.7226</v>
      </c>
    </row>
    <row r="1034" ht="15" customHeight="1" s="12">
      <c r="A1034" s="18" t="inlineStr">
        <is>
          <t>Annaba</t>
        </is>
      </c>
      <c r="B1034" s="18" t="inlineStr">
        <is>
          <t>Algeria</t>
        </is>
      </c>
      <c r="C1034" s="19" t="n">
        <v>47400000</v>
      </c>
      <c r="D1034" s="18" t="inlineStr">
        <is>
          <t>DZ</t>
        </is>
      </c>
      <c r="E1034" s="18" t="inlineStr">
        <is>
          <t>37</t>
        </is>
      </c>
      <c r="F1034" s="20" t="n">
        <v>206570</v>
      </c>
      <c r="G1034" s="18" t="n"/>
      <c r="H1034" s="18" t="inlineStr">
        <is>
          <t>AAE</t>
        </is>
      </c>
      <c r="I1034" s="18" t="inlineStr">
        <is>
          <t>Annaba Rabah Bitat Airport</t>
        </is>
      </c>
      <c r="J1034" s="21" t="n">
        <v>9.1</v>
      </c>
      <c r="K1034" s="18" t="inlineStr">
        <is>
          <t>AAE</t>
        </is>
      </c>
      <c r="L1034" s="18" t="inlineStr">
        <is>
          <t>100k +  pop + airport</t>
        </is>
      </c>
      <c r="M1034" s="22" t="n">
        <v>0.485</v>
      </c>
      <c r="N1034" s="22" t="n">
        <v>0</v>
      </c>
      <c r="O1034" s="18" t="n"/>
      <c r="P1034" s="22">
        <f>IF(O1034="",(About!$B$5*M1034+About!$B$6*N1034)/(About!$B$5+About!$B$6),About!$B$5*M1034+About!$B$6*N1034+About!$B$7*O1034)</f>
        <v/>
      </c>
      <c r="Q1034" s="23" t="n">
        <v>36.9</v>
      </c>
      <c r="R1034" s="23" t="n">
        <v>7.7667</v>
      </c>
    </row>
    <row r="1035" ht="15" customHeight="1" s="12">
      <c r="A1035" s="18" t="inlineStr">
        <is>
          <t>Dodoma</t>
        </is>
      </c>
      <c r="B1035" s="18" t="inlineStr">
        <is>
          <t>Tanzania</t>
        </is>
      </c>
      <c r="C1035" s="19" t="n">
        <v>68153004</v>
      </c>
      <c r="D1035" s="18" t="inlineStr">
        <is>
          <t>TZ</t>
        </is>
      </c>
      <c r="E1035" s="18" t="inlineStr">
        <is>
          <t>03</t>
        </is>
      </c>
      <c r="F1035" s="20" t="n">
        <v>180541</v>
      </c>
      <c r="G1035" s="18" t="inlineStr">
        <is>
          <t>Yes</t>
        </is>
      </c>
      <c r="H1035" s="18" t="inlineStr">
        <is>
          <t>DOD</t>
        </is>
      </c>
      <c r="I1035" s="18" t="inlineStr">
        <is>
          <t>Dodoma Airport</t>
        </is>
      </c>
      <c r="J1035" s="21" t="n">
        <v>1.8</v>
      </c>
      <c r="K1035" s="18" t="inlineStr">
        <is>
          <t>DOD</t>
        </is>
      </c>
      <c r="L1035" s="18" t="inlineStr">
        <is>
          <t>100k +  pop + capital + airport</t>
        </is>
      </c>
      <c r="M1035" s="22" t="n">
        <v>0.486</v>
      </c>
      <c r="N1035" s="22" t="n">
        <v>0</v>
      </c>
      <c r="O1035" s="18" t="n"/>
      <c r="P1035" s="22">
        <f>IF(O1035="",(About!$B$5*M1035+About!$B$6*N1035)/(About!$B$5+About!$B$6),About!$B$5*M1035+About!$B$6*N1035+About!$B$7*O1035)</f>
        <v/>
      </c>
      <c r="Q1035" s="23" t="n">
        <v>-6.1722</v>
      </c>
      <c r="R1035" s="23" t="n">
        <v>35.7395</v>
      </c>
    </row>
    <row r="1036" ht="15" customHeight="1" s="12">
      <c r="A1036" s="18" t="inlineStr">
        <is>
          <t>Kızıltepe</t>
        </is>
      </c>
      <c r="B1036" s="18" t="inlineStr">
        <is>
          <t>Türkiye</t>
        </is>
      </c>
      <c r="C1036" s="19" t="n">
        <v>86092168</v>
      </c>
      <c r="D1036" s="18" t="inlineStr">
        <is>
          <t>TR</t>
        </is>
      </c>
      <c r="E1036" s="18" t="inlineStr">
        <is>
          <t>72</t>
        </is>
      </c>
      <c r="F1036" s="20" t="n">
        <v>150174</v>
      </c>
      <c r="G1036" s="18" t="n"/>
      <c r="H1036" s="18" t="inlineStr">
        <is>
          <t>MQM</t>
        </is>
      </c>
      <c r="I1036" s="18" t="inlineStr">
        <is>
          <t>Mardin Airport</t>
        </is>
      </c>
      <c r="J1036" s="21" t="n">
        <v>6.2</v>
      </c>
      <c r="K1036" s="18" t="inlineStr">
        <is>
          <t>MQM</t>
        </is>
      </c>
      <c r="L1036" s="18" t="inlineStr">
        <is>
          <t>100k +  pop + airport</t>
        </is>
      </c>
      <c r="M1036" s="22" t="n">
        <v>0.486</v>
      </c>
      <c r="N1036" s="22" t="n">
        <v>0</v>
      </c>
      <c r="O1036" s="18" t="n"/>
      <c r="P1036" s="22">
        <f>IF(O1036="",(About!$B$5*M1036+About!$B$6*N1036)/(About!$B$5+About!$B$6),About!$B$5*M1036+About!$B$6*N1036+About!$B$7*O1036)</f>
        <v/>
      </c>
      <c r="Q1036" s="23" t="n">
        <v>37.1884</v>
      </c>
      <c r="R1036" s="23" t="n">
        <v>40.5772</v>
      </c>
    </row>
    <row r="1037" ht="15" customHeight="1" s="12">
      <c r="A1037" s="18" t="inlineStr">
        <is>
          <t>Cayenne</t>
        </is>
      </c>
      <c r="B1037" s="18" t="inlineStr">
        <is>
          <t>French Guiana</t>
        </is>
      </c>
      <c r="C1037" s="19" t="n">
        <v>292000</v>
      </c>
      <c r="D1037" s="18" t="inlineStr">
        <is>
          <t>GF</t>
        </is>
      </c>
      <c r="E1037" s="18" t="inlineStr">
        <is>
          <t>GF</t>
        </is>
      </c>
      <c r="F1037" s="20" t="n">
        <v>61550</v>
      </c>
      <c r="G1037" s="18" t="inlineStr">
        <is>
          <t>Yes</t>
        </is>
      </c>
      <c r="H1037" s="18" t="inlineStr">
        <is>
          <t>CAY</t>
        </is>
      </c>
      <c r="I1037" s="18" t="inlineStr">
        <is>
          <t>Cayenne – Félix Eboué Airport</t>
        </is>
      </c>
      <c r="J1037" s="21" t="n">
        <v>13</v>
      </c>
      <c r="K1037" s="18" t="inlineStr">
        <is>
          <t>CAY</t>
        </is>
      </c>
      <c r="L1037" s="18" t="inlineStr">
        <is>
          <t>capital</t>
        </is>
      </c>
      <c r="M1037" s="22" t="n">
        <v>0.487</v>
      </c>
      <c r="N1037" s="22" t="n">
        <v>0</v>
      </c>
      <c r="O1037" s="18" t="n"/>
      <c r="P1037" s="22">
        <f>IF(O1037="",(About!$B$5*M1037+About!$B$6*N1037)/(About!$B$5+About!$B$6),About!$B$5*M1037+About!$B$6*N1037+About!$B$7*O1037)</f>
        <v/>
      </c>
      <c r="Q1037" s="23" t="n">
        <v>4.9333</v>
      </c>
      <c r="R1037" s="23" t="n">
        <v>-52.3333</v>
      </c>
    </row>
    <row r="1038" ht="15" customHeight="1" s="12">
      <c r="A1038" s="18" t="inlineStr">
        <is>
          <t>Matoury</t>
        </is>
      </c>
      <c r="B1038" s="18" t="inlineStr">
        <is>
          <t>French Guiana</t>
        </is>
      </c>
      <c r="C1038" s="19" t="n">
        <v>292000</v>
      </c>
      <c r="D1038" s="18" t="inlineStr">
        <is>
          <t>GF</t>
        </is>
      </c>
      <c r="E1038" s="18" t="inlineStr">
        <is>
          <t>GF</t>
        </is>
      </c>
      <c r="F1038" s="20" t="n">
        <v>26350</v>
      </c>
      <c r="G1038" s="18" t="n"/>
      <c r="H1038" s="18" t="inlineStr">
        <is>
          <t>CAY</t>
        </is>
      </c>
      <c r="I1038" s="18" t="inlineStr">
        <is>
          <t>Cayenne – Félix Eboué Airport</t>
        </is>
      </c>
      <c r="J1038" s="21" t="n">
        <v>5.3</v>
      </c>
      <c r="K1038" s="18" t="inlineStr">
        <is>
          <t>CAY</t>
        </is>
      </c>
      <c r="L1038" s="18" t="inlineStr">
        <is>
          <t>airport</t>
        </is>
      </c>
      <c r="M1038" s="22" t="n">
        <v>0.487</v>
      </c>
      <c r="N1038" s="22" t="n">
        <v>0</v>
      </c>
      <c r="O1038" s="18" t="n"/>
      <c r="P1038" s="22">
        <f>IF(O1038="",(About!$B$5*M1038+About!$B$6*N1038)/(About!$B$5+About!$B$6),About!$B$5*M1038+About!$B$6*N1038+About!$B$7*O1038)</f>
        <v/>
      </c>
      <c r="Q1038" s="23" t="n">
        <v>4.8492</v>
      </c>
      <c r="R1038" s="23" t="n">
        <v>-52.3235</v>
      </c>
    </row>
    <row r="1039" ht="15" customHeight="1" s="12">
      <c r="A1039" s="18" t="inlineStr">
        <is>
          <t>Agra</t>
        </is>
      </c>
      <c r="B1039" s="18" t="inlineStr">
        <is>
          <t>India</t>
        </is>
      </c>
      <c r="C1039" s="19" t="n">
        <v>1417492000</v>
      </c>
      <c r="D1039" s="18" t="inlineStr">
        <is>
          <t>IN</t>
        </is>
      </c>
      <c r="E1039" s="18" t="inlineStr">
        <is>
          <t>36</t>
        </is>
      </c>
      <c r="F1039" s="20" t="n">
        <v>1430055</v>
      </c>
      <c r="G1039" s="18" t="n"/>
      <c r="H1039" s="18" t="inlineStr">
        <is>
          <t>AGR</t>
        </is>
      </c>
      <c r="I1039" s="18" t="inlineStr">
        <is>
          <t>Agra Airport / Agra Air Force Station</t>
        </is>
      </c>
      <c r="J1039" s="21" t="n">
        <v>6.2</v>
      </c>
      <c r="K1039" s="18" t="inlineStr">
        <is>
          <t>AGR</t>
        </is>
      </c>
      <c r="L1039" s="18" t="inlineStr">
        <is>
          <t>100k +  pop + airport</t>
        </is>
      </c>
      <c r="M1039" s="22" t="n">
        <v>0.484</v>
      </c>
      <c r="N1039" s="22" t="n">
        <v>0</v>
      </c>
      <c r="O1039" s="18" t="n"/>
      <c r="P1039" s="22">
        <f>IF(O1039="",(About!$B$5*M1039+About!$B$6*N1039)/(About!$B$5+About!$B$6),About!$B$5*M1039+About!$B$6*N1039+About!$B$7*O1039)</f>
        <v/>
      </c>
      <c r="Q1039" s="23" t="n">
        <v>27.1833</v>
      </c>
      <c r="R1039" s="23" t="n">
        <v>78.0167</v>
      </c>
    </row>
    <row r="1040" ht="15" customHeight="1" s="12">
      <c r="A1040" s="18" t="inlineStr">
        <is>
          <t>Asmara</t>
        </is>
      </c>
      <c r="B1040" s="18" t="inlineStr">
        <is>
          <t>Eritrea</t>
        </is>
      </c>
      <c r="C1040" s="19" t="n">
        <v>3607000</v>
      </c>
      <c r="D1040" s="18" t="inlineStr">
        <is>
          <t>ER</t>
        </is>
      </c>
      <c r="E1040" s="18" t="inlineStr">
        <is>
          <t>05</t>
        </is>
      </c>
      <c r="F1040" s="20" t="n">
        <v>563930</v>
      </c>
      <c r="G1040" s="18" t="inlineStr">
        <is>
          <t>Yes</t>
        </is>
      </c>
      <c r="H1040" s="18" t="inlineStr">
        <is>
          <t>ASM</t>
        </is>
      </c>
      <c r="I1040" s="18" t="inlineStr">
        <is>
          <t>Asmara International Airport</t>
        </is>
      </c>
      <c r="J1040" s="21" t="n">
        <v>5.6</v>
      </c>
      <c r="K1040" s="18" t="inlineStr">
        <is>
          <t>ASM</t>
        </is>
      </c>
      <c r="L1040" s="18" t="inlineStr">
        <is>
          <t>100k +  pop + capital + airport</t>
        </is>
      </c>
      <c r="M1040" s="22" t="n">
        <v>0.485</v>
      </c>
      <c r="N1040" s="22" t="n">
        <v>0</v>
      </c>
      <c r="O1040" s="18" t="n"/>
      <c r="P1040" s="22">
        <f>IF(O1040="",(About!$B$5*M1040+About!$B$6*N1040)/(About!$B$5+About!$B$6),About!$B$5*M1040+About!$B$6*N1040+About!$B$7*O1040)</f>
        <v/>
      </c>
      <c r="Q1040" s="23" t="n">
        <v>15.3381</v>
      </c>
      <c r="R1040" s="23" t="n">
        <v>38.9318</v>
      </c>
    </row>
    <row r="1041" ht="15" customHeight="1" s="12">
      <c r="A1041" s="18" t="inlineStr">
        <is>
          <t>Kahramanmaraş</t>
        </is>
      </c>
      <c r="B1041" s="18" t="inlineStr">
        <is>
          <t>Türkiye</t>
        </is>
      </c>
      <c r="C1041" s="19" t="n">
        <v>86092168</v>
      </c>
      <c r="D1041" s="18" t="inlineStr">
        <is>
          <t>TR</t>
        </is>
      </c>
      <c r="E1041" s="18" t="inlineStr">
        <is>
          <t>46</t>
        </is>
      </c>
      <c r="F1041" s="20" t="n">
        <v>376045</v>
      </c>
      <c r="G1041" s="18" t="n"/>
      <c r="H1041" s="18" t="inlineStr">
        <is>
          <t>KCM</t>
        </is>
      </c>
      <c r="I1041" s="18" t="inlineStr">
        <is>
          <t>Kahramanmaraş Airport</t>
        </is>
      </c>
      <c r="J1041" s="21" t="n">
        <v>5.6</v>
      </c>
      <c r="K1041" s="18" t="inlineStr">
        <is>
          <t>KCM</t>
        </is>
      </c>
      <c r="L1041" s="18" t="inlineStr">
        <is>
          <t>100k +  pop + airport</t>
        </is>
      </c>
      <c r="M1041" s="22" t="n">
        <v>0.485</v>
      </c>
      <c r="N1041" s="22" t="n">
        <v>0</v>
      </c>
      <c r="O1041" s="18" t="n"/>
      <c r="P1041" s="22">
        <f>IF(O1041="",(About!$B$5*M1041+About!$B$6*N1041)/(About!$B$5+About!$B$6),About!$B$5*M1041+About!$B$6*N1041+About!$B$7*O1041)</f>
        <v/>
      </c>
      <c r="Q1041" s="23" t="n">
        <v>37.5847</v>
      </c>
      <c r="R1041" s="23" t="n">
        <v>36.9264</v>
      </c>
    </row>
    <row r="1042" ht="15" customHeight="1" s="12">
      <c r="A1042" s="18" t="inlineStr">
        <is>
          <t>Jessore</t>
        </is>
      </c>
      <c r="B1042" s="18" t="inlineStr">
        <is>
          <t>Bangladesh</t>
        </is>
      </c>
      <c r="C1042" s="19" t="n">
        <v>169828911</v>
      </c>
      <c r="D1042" s="18" t="inlineStr">
        <is>
          <t>BD</t>
        </is>
      </c>
      <c r="E1042" s="18" t="inlineStr">
        <is>
          <t>82</t>
        </is>
      </c>
      <c r="F1042" s="20" t="n">
        <v>243987</v>
      </c>
      <c r="G1042" s="18" t="n"/>
      <c r="H1042" s="18" t="inlineStr">
        <is>
          <t>JSR</t>
        </is>
      </c>
      <c r="I1042" s="18" t="inlineStr">
        <is>
          <t>Jessore Airport</t>
        </is>
      </c>
      <c r="J1042" s="21" t="n">
        <v>5.6</v>
      </c>
      <c r="K1042" s="18" t="inlineStr">
        <is>
          <t>JSR</t>
        </is>
      </c>
      <c r="L1042" s="18" t="inlineStr">
        <is>
          <t>100k +  pop + airport</t>
        </is>
      </c>
      <c r="M1042" s="22" t="n">
        <v>0.484</v>
      </c>
      <c r="N1042" s="22" t="n">
        <v>0</v>
      </c>
      <c r="O1042" s="18" t="n"/>
      <c r="P1042" s="22">
        <f>IF(O1042="",(About!$B$5*M1042+About!$B$6*N1042)/(About!$B$5+About!$B$6),About!$B$5*M1042+About!$B$6*N1042+About!$B$7*O1042)</f>
        <v/>
      </c>
      <c r="Q1042" s="23" t="n">
        <v>23.1697</v>
      </c>
      <c r="R1042" s="23" t="n">
        <v>89.2137</v>
      </c>
    </row>
    <row r="1043" ht="15" customHeight="1" s="12">
      <c r="A1043" s="18" t="inlineStr">
        <is>
          <t>Saidpur</t>
        </is>
      </c>
      <c r="B1043" s="18" t="inlineStr">
        <is>
          <t>Bangladesh</t>
        </is>
      </c>
      <c r="C1043" s="19" t="n">
        <v>169828911</v>
      </c>
      <c r="D1043" s="18" t="inlineStr">
        <is>
          <t>BD</t>
        </is>
      </c>
      <c r="E1043" s="18" t="inlineStr">
        <is>
          <t>83</t>
        </is>
      </c>
      <c r="F1043" s="20" t="n">
        <v>199422</v>
      </c>
      <c r="G1043" s="18" t="n"/>
      <c r="H1043" s="18" t="inlineStr">
        <is>
          <t>SPD</t>
        </is>
      </c>
      <c r="I1043" s="18" t="inlineStr">
        <is>
          <t>Saidpur Airport</t>
        </is>
      </c>
      <c r="J1043" s="21" t="n">
        <v>2.7</v>
      </c>
      <c r="K1043" s="18" t="inlineStr">
        <is>
          <t>SPD</t>
        </is>
      </c>
      <c r="L1043" s="18" t="inlineStr">
        <is>
          <t>100k +  pop + airport</t>
        </is>
      </c>
      <c r="M1043" s="22" t="n">
        <v>0.484</v>
      </c>
      <c r="N1043" s="22" t="n">
        <v>0</v>
      </c>
      <c r="O1043" s="18" t="n"/>
      <c r="P1043" s="22">
        <f>IF(O1043="",(About!$B$5*M1043+About!$B$6*N1043)/(About!$B$5+About!$B$6),About!$B$5*M1043+About!$B$6*N1043+About!$B$7*O1043)</f>
        <v/>
      </c>
      <c r="Q1043" s="23" t="n">
        <v>25.7777</v>
      </c>
      <c r="R1043" s="23" t="n">
        <v>88.8917</v>
      </c>
    </row>
    <row r="1044" ht="15" customHeight="1" s="12">
      <c r="A1044" s="18" t="inlineStr">
        <is>
          <t>Santander</t>
        </is>
      </c>
      <c r="B1044" s="18" t="inlineStr">
        <is>
          <t>Spain</t>
        </is>
      </c>
      <c r="C1044" s="19" t="n">
        <v>49687120</v>
      </c>
      <c r="D1044" s="18" t="inlineStr">
        <is>
          <t>ES</t>
        </is>
      </c>
      <c r="E1044" s="18" t="inlineStr">
        <is>
          <t>39</t>
        </is>
      </c>
      <c r="F1044" s="20" t="n">
        <v>182700</v>
      </c>
      <c r="G1044" s="18" t="n"/>
      <c r="H1044" s="18" t="inlineStr">
        <is>
          <t>SDR</t>
        </is>
      </c>
      <c r="I1044" s="18" t="inlineStr">
        <is>
          <t>Seve Ballesteros-Santander Airport</t>
        </is>
      </c>
      <c r="J1044" s="21" t="n">
        <v>4.4</v>
      </c>
      <c r="K1044" s="18" t="inlineStr">
        <is>
          <t>SDR</t>
        </is>
      </c>
      <c r="L1044" s="18" t="inlineStr">
        <is>
          <t>100k +  pop + airport</t>
        </is>
      </c>
      <c r="M1044" s="22" t="n">
        <v>0.484</v>
      </c>
      <c r="N1044" s="22" t="n">
        <v>0</v>
      </c>
      <c r="O1044" s="18" t="n"/>
      <c r="P1044" s="22">
        <f>IF(O1044="",(About!$B$5*M1044+About!$B$6*N1044)/(About!$B$5+About!$B$6),About!$B$5*M1044+About!$B$6*N1044+About!$B$7*O1044)</f>
        <v/>
      </c>
      <c r="Q1044" s="23" t="n">
        <v>43.4647</v>
      </c>
      <c r="R1044" s="23" t="n">
        <v>-3.8044</v>
      </c>
    </row>
    <row r="1045" ht="15" customHeight="1" s="12">
      <c r="A1045" s="18" t="inlineStr">
        <is>
          <t>Saipan</t>
        </is>
      </c>
      <c r="B1045" s="18" t="inlineStr">
        <is>
          <t>Northern Mariana Islands</t>
        </is>
      </c>
      <c r="C1045" s="19" t="n">
        <v>47329</v>
      </c>
      <c r="D1045" s="18" t="inlineStr">
        <is>
          <t>MP</t>
        </is>
      </c>
      <c r="E1045" s="18" t="inlineStr">
        <is>
          <t>110</t>
        </is>
      </c>
      <c r="F1045" s="20" t="n">
        <v>48220</v>
      </c>
      <c r="G1045" s="18" t="inlineStr">
        <is>
          <t>Yes</t>
        </is>
      </c>
      <c r="H1045" s="18" t="inlineStr">
        <is>
          <t>SPN</t>
        </is>
      </c>
      <c r="I1045" s="18" t="inlineStr">
        <is>
          <t>Saipan International Airport</t>
        </is>
      </c>
      <c r="J1045" s="21" t="n">
        <v>10.7</v>
      </c>
      <c r="K1045" s="18" t="inlineStr">
        <is>
          <t>SPN</t>
        </is>
      </c>
      <c r="L1045" s="18" t="inlineStr">
        <is>
          <t>capital</t>
        </is>
      </c>
      <c r="M1045" s="22" t="n">
        <v>0.484</v>
      </c>
      <c r="N1045" s="22" t="n">
        <v>0</v>
      </c>
      <c r="O1045" s="18" t="n"/>
      <c r="P1045" s="22">
        <f>IF(O1045="",(About!$B$5*M1045+About!$B$6*N1045)/(About!$B$5+About!$B$6),About!$B$5*M1045+About!$B$6*N1045+About!$B$7*O1045)</f>
        <v/>
      </c>
      <c r="Q1045" s="23" t="n">
        <v>15.2123</v>
      </c>
      <c r="R1045" s="23" t="n">
        <v>145.7545</v>
      </c>
    </row>
    <row r="1046" ht="15" customHeight="1" s="12">
      <c r="A1046" s="18" t="inlineStr">
        <is>
          <t>Lucaya</t>
        </is>
      </c>
      <c r="B1046" s="18" t="inlineStr">
        <is>
          <t>Bahamas</t>
        </is>
      </c>
      <c r="C1046" s="19" t="n">
        <v>398165</v>
      </c>
      <c r="D1046" s="18" t="inlineStr">
        <is>
          <t>BS</t>
        </is>
      </c>
      <c r="E1046" s="18" t="inlineStr">
        <is>
          <t>25</t>
        </is>
      </c>
      <c r="F1046" s="20" t="n">
        <v>46525</v>
      </c>
      <c r="G1046" s="18" t="n"/>
      <c r="H1046" s="18" t="inlineStr">
        <is>
          <t>FPO</t>
        </is>
      </c>
      <c r="I1046" s="18" t="inlineStr">
        <is>
          <t>Grand Bahama International Airport</t>
        </is>
      </c>
      <c r="J1046" s="21" t="n">
        <v>4</v>
      </c>
      <c r="K1046" s="18" t="inlineStr">
        <is>
          <t>FPO</t>
        </is>
      </c>
      <c r="L1046" s="18" t="inlineStr">
        <is>
          <t>airport</t>
        </is>
      </c>
      <c r="M1046" s="22" t="n">
        <v>0.483</v>
      </c>
      <c r="N1046" s="22" t="n">
        <v>0</v>
      </c>
      <c r="O1046" s="18" t="n"/>
      <c r="P1046" s="22">
        <f>IF(O1046="",(About!$B$5*M1046+About!$B$6*N1046)/(About!$B$5+About!$B$6),About!$B$5*M1046+About!$B$6*N1046+About!$B$7*O1046)</f>
        <v/>
      </c>
      <c r="Q1046" s="23" t="n">
        <v>26.5333</v>
      </c>
      <c r="R1046" s="23" t="n">
        <v>-78.66670000000001</v>
      </c>
    </row>
    <row r="1047" ht="15" customHeight="1" s="12">
      <c r="A1047" s="18" t="inlineStr">
        <is>
          <t>Freeport</t>
        </is>
      </c>
      <c r="B1047" s="18" t="inlineStr">
        <is>
          <t>Bahamas</t>
        </is>
      </c>
      <c r="C1047" s="19" t="n">
        <v>398165</v>
      </c>
      <c r="D1047" s="18" t="inlineStr">
        <is>
          <t>BS</t>
        </is>
      </c>
      <c r="E1047" s="18" t="inlineStr">
        <is>
          <t>25</t>
        </is>
      </c>
      <c r="F1047" s="20" t="n">
        <v>26910</v>
      </c>
      <c r="G1047" s="18" t="n"/>
      <c r="H1047" s="18" t="inlineStr">
        <is>
          <t>FPO</t>
        </is>
      </c>
      <c r="I1047" s="18" t="inlineStr">
        <is>
          <t>Grand Bahama International Airport</t>
        </is>
      </c>
      <c r="J1047" s="21" t="n">
        <v>2.8</v>
      </c>
      <c r="K1047" s="18" t="inlineStr">
        <is>
          <t>FPO</t>
        </is>
      </c>
      <c r="L1047" s="18" t="inlineStr">
        <is>
          <t>airport</t>
        </is>
      </c>
      <c r="M1047" s="22" t="n">
        <v>0.483</v>
      </c>
      <c r="N1047" s="22" t="n">
        <v>0</v>
      </c>
      <c r="O1047" s="18" t="n"/>
      <c r="P1047" s="22">
        <f>IF(O1047="",(About!$B$5*M1047+About!$B$6*N1047)/(About!$B$5+About!$B$6),About!$B$5*M1047+About!$B$6*N1047+About!$B$7*O1047)</f>
        <v/>
      </c>
      <c r="Q1047" s="23" t="n">
        <v>26.5333</v>
      </c>
      <c r="R1047" s="23" t="n">
        <v>-78.7</v>
      </c>
    </row>
    <row r="1048" ht="15" customHeight="1" s="12">
      <c r="A1048" s="18" t="inlineStr">
        <is>
          <t>Visby</t>
        </is>
      </c>
      <c r="B1048" s="18" t="inlineStr">
        <is>
          <t>Sweden</t>
        </is>
      </c>
      <c r="C1048" s="19" t="n">
        <v>10604616</v>
      </c>
      <c r="D1048" s="18" t="inlineStr">
        <is>
          <t>SE</t>
        </is>
      </c>
      <c r="E1048" s="18" t="inlineStr">
        <is>
          <t>05</t>
        </is>
      </c>
      <c r="F1048" s="20" t="n">
        <v>23402</v>
      </c>
      <c r="G1048" s="18" t="n"/>
      <c r="H1048" s="18" t="inlineStr">
        <is>
          <t>VBY</t>
        </is>
      </c>
      <c r="I1048" s="18" t="inlineStr">
        <is>
          <t>Visby Airport</t>
        </is>
      </c>
      <c r="J1048" s="21" t="n">
        <v>3.9</v>
      </c>
      <c r="K1048" s="18" t="inlineStr">
        <is>
          <t>VBY</t>
        </is>
      </c>
      <c r="L1048" s="18" t="inlineStr">
        <is>
          <t>airport</t>
        </is>
      </c>
      <c r="M1048" s="22" t="n">
        <v>0.483</v>
      </c>
      <c r="N1048" s="22" t="n">
        <v>0</v>
      </c>
      <c r="O1048" s="18" t="n"/>
      <c r="P1048" s="22">
        <f>IF(O1048="",(About!$B$5*M1048+About!$B$6*N1048)/(About!$B$5+About!$B$6),About!$B$5*M1048+About!$B$6*N1048+About!$B$7*O1048)</f>
        <v/>
      </c>
      <c r="Q1048" s="23" t="n">
        <v>57.6409</v>
      </c>
      <c r="R1048" s="23" t="n">
        <v>18.296</v>
      </c>
    </row>
    <row r="1049" ht="15" customHeight="1" s="12">
      <c r="A1049" s="18" t="inlineStr">
        <is>
          <t>Bangui</t>
        </is>
      </c>
      <c r="B1049" s="18" t="inlineStr">
        <is>
          <t>Central African Republic</t>
        </is>
      </c>
      <c r="C1049" s="19" t="n">
        <v>6470307</v>
      </c>
      <c r="D1049" s="18" t="inlineStr">
        <is>
          <t>CF</t>
        </is>
      </c>
      <c r="E1049" s="18" t="inlineStr">
        <is>
          <t>18</t>
        </is>
      </c>
      <c r="F1049" s="20" t="n">
        <v>542393</v>
      </c>
      <c r="G1049" s="18" t="inlineStr">
        <is>
          <t>Yes</t>
        </is>
      </c>
      <c r="H1049" s="18" t="inlineStr">
        <is>
          <t>BGF</t>
        </is>
      </c>
      <c r="I1049" s="18" t="inlineStr">
        <is>
          <t>Bangui M'Poko International Airport</t>
        </is>
      </c>
      <c r="J1049" s="21" t="n">
        <v>5.8</v>
      </c>
      <c r="K1049" s="18" t="inlineStr">
        <is>
          <t>BGF</t>
        </is>
      </c>
      <c r="L1049" s="18" t="inlineStr">
        <is>
          <t>100k +  pop + capital + airport</t>
        </is>
      </c>
      <c r="M1049" s="22" t="n">
        <v>0.481</v>
      </c>
      <c r="N1049" s="22" t="n">
        <v>0</v>
      </c>
      <c r="O1049" s="18" t="n"/>
      <c r="P1049" s="22">
        <f>IF(O1049="",(About!$B$5*M1049+About!$B$6*N1049)/(About!$B$5+About!$B$6),About!$B$5*M1049+About!$B$6*N1049+About!$B$7*O1049)</f>
        <v/>
      </c>
      <c r="Q1049" s="23" t="n">
        <v>4.3612</v>
      </c>
      <c r="R1049" s="23" t="n">
        <v>18.555</v>
      </c>
    </row>
    <row r="1050" ht="15" customHeight="1" s="12">
      <c r="A1050" s="18" t="inlineStr">
        <is>
          <t>A Coruña</t>
        </is>
      </c>
      <c r="B1050" s="18" t="inlineStr">
        <is>
          <t>Spain</t>
        </is>
      </c>
      <c r="C1050" s="19" t="n">
        <v>49687120</v>
      </c>
      <c r="D1050" s="18" t="inlineStr">
        <is>
          <t>ES</t>
        </is>
      </c>
      <c r="E1050" s="18" t="inlineStr">
        <is>
          <t>58</t>
        </is>
      </c>
      <c r="F1050" s="20" t="n">
        <v>246056</v>
      </c>
      <c r="G1050" s="18" t="n"/>
      <c r="H1050" s="18" t="inlineStr">
        <is>
          <t>LCG</t>
        </is>
      </c>
      <c r="I1050" s="18" t="inlineStr">
        <is>
          <t>A Coruña Airport</t>
        </is>
      </c>
      <c r="J1050" s="21" t="n">
        <v>7.8</v>
      </c>
      <c r="K1050" s="18" t="inlineStr">
        <is>
          <t>LCG</t>
        </is>
      </c>
      <c r="L1050" s="18" t="inlineStr">
        <is>
          <t>100k +  pop + airport</t>
        </is>
      </c>
      <c r="M1050" s="22" t="n">
        <v>0.482</v>
      </c>
      <c r="N1050" s="22" t="n">
        <v>0</v>
      </c>
      <c r="O1050" s="18" t="n"/>
      <c r="P1050" s="22">
        <f>IF(O1050="",(About!$B$5*M1050+About!$B$6*N1050)/(About!$B$5+About!$B$6),About!$B$5*M1050+About!$B$6*N1050+About!$B$7*O1050)</f>
        <v/>
      </c>
      <c r="Q1050" s="23" t="n">
        <v>43.3713</v>
      </c>
      <c r="R1050" s="23" t="n">
        <v>-8.396000000000001</v>
      </c>
    </row>
    <row r="1051" ht="15" customHeight="1" s="12">
      <c r="A1051" s="18" t="inlineStr">
        <is>
          <t>Tabora</t>
        </is>
      </c>
      <c r="B1051" s="18" t="inlineStr">
        <is>
          <t>Tanzania</t>
        </is>
      </c>
      <c r="C1051" s="19" t="n">
        <v>68153004</v>
      </c>
      <c r="D1051" s="18" t="inlineStr">
        <is>
          <t>TZ</t>
        </is>
      </c>
      <c r="E1051" s="18" t="inlineStr">
        <is>
          <t>17</t>
        </is>
      </c>
      <c r="F1051" s="20" t="n">
        <v>145292</v>
      </c>
      <c r="G1051" s="18" t="n"/>
      <c r="H1051" s="18" t="inlineStr">
        <is>
          <t>TBO</t>
        </is>
      </c>
      <c r="I1051" s="18" t="inlineStr">
        <is>
          <t>Tabora Airport</t>
        </is>
      </c>
      <c r="J1051" s="21" t="n">
        <v>6.7</v>
      </c>
      <c r="K1051" s="18" t="inlineStr">
        <is>
          <t>TBO</t>
        </is>
      </c>
      <c r="L1051" s="18" t="inlineStr">
        <is>
          <t>100k +  pop + airport</t>
        </is>
      </c>
      <c r="M1051" s="22" t="n">
        <v>0.482</v>
      </c>
      <c r="N1051" s="22" t="n">
        <v>0</v>
      </c>
      <c r="O1051" s="18" t="n"/>
      <c r="P1051" s="22">
        <f>IF(O1051="",(About!$B$5*M1051+About!$B$6*N1051)/(About!$B$5+About!$B$6),About!$B$5*M1051+About!$B$6*N1051+About!$B$7*O1051)</f>
        <v/>
      </c>
      <c r="Q1051" s="23" t="n">
        <v>-5.0162</v>
      </c>
      <c r="R1051" s="23" t="n">
        <v>32.8266</v>
      </c>
    </row>
    <row r="1052" ht="15" customHeight="1" s="12">
      <c r="A1052" s="18" t="inlineStr">
        <is>
          <t>Bimbo</t>
        </is>
      </c>
      <c r="B1052" s="18" t="inlineStr">
        <is>
          <t>Central African Republic</t>
        </is>
      </c>
      <c r="C1052" s="19" t="n">
        <v>6470307</v>
      </c>
      <c r="D1052" s="18" t="inlineStr">
        <is>
          <t>CF</t>
        </is>
      </c>
      <c r="E1052" s="18" t="inlineStr">
        <is>
          <t>17</t>
        </is>
      </c>
      <c r="F1052" s="20" t="n">
        <v>129655</v>
      </c>
      <c r="G1052" s="18" t="n"/>
      <c r="H1052" s="18" t="inlineStr">
        <is>
          <t>BGF</t>
        </is>
      </c>
      <c r="I1052" s="18" t="inlineStr">
        <is>
          <t>Bangui M'Poko International Airport</t>
        </is>
      </c>
      <c r="J1052" s="21" t="n">
        <v>19.5</v>
      </c>
      <c r="K1052" s="18" t="inlineStr">
        <is>
          <t>BGF</t>
        </is>
      </c>
      <c r="L1052" s="18" t="inlineStr">
        <is>
          <t>100k +  pop</t>
        </is>
      </c>
      <c r="M1052" s="22" t="n">
        <v>0.481</v>
      </c>
      <c r="N1052" s="22" t="n">
        <v>0</v>
      </c>
      <c r="O1052" s="18" t="n"/>
      <c r="P1052" s="22">
        <f>IF(O1052="",(About!$B$5*M1052+About!$B$6*N1052)/(About!$B$5+About!$B$6),About!$B$5*M1052+About!$B$6*N1052+About!$B$7*O1052)</f>
        <v/>
      </c>
      <c r="Q1052" s="23" t="n">
        <v>4.2567</v>
      </c>
      <c r="R1052" s="23" t="n">
        <v>18.4158</v>
      </c>
    </row>
    <row r="1053" ht="15" customHeight="1" s="12">
      <c r="A1053" s="18" t="inlineStr">
        <is>
          <t>Ouargla</t>
        </is>
      </c>
      <c r="B1053" s="18" t="inlineStr">
        <is>
          <t>Algeria</t>
        </is>
      </c>
      <c r="C1053" s="19" t="n">
        <v>47400000</v>
      </c>
      <c r="D1053" s="18" t="inlineStr">
        <is>
          <t>DZ</t>
        </is>
      </c>
      <c r="E1053" s="18" t="inlineStr">
        <is>
          <t>50</t>
        </is>
      </c>
      <c r="F1053" s="20" t="n">
        <v>129402</v>
      </c>
      <c r="G1053" s="18" t="n"/>
      <c r="H1053" s="18" t="inlineStr">
        <is>
          <t>OGX</t>
        </is>
      </c>
      <c r="I1053" s="18" t="inlineStr">
        <is>
          <t>Ain Beida Airport</t>
        </is>
      </c>
      <c r="J1053" s="21" t="n">
        <v>9</v>
      </c>
      <c r="K1053" s="18" t="inlineStr">
        <is>
          <t>OGX</t>
        </is>
      </c>
      <c r="L1053" s="18" t="inlineStr">
        <is>
          <t>100k +  pop + airport</t>
        </is>
      </c>
      <c r="M1053" s="22" t="n">
        <v>0.482</v>
      </c>
      <c r="N1053" s="22" t="n">
        <v>0</v>
      </c>
      <c r="O1053" s="18" t="n"/>
      <c r="P1053" s="22">
        <f>IF(O1053="",(About!$B$5*M1053+About!$B$6*N1053)/(About!$B$5+About!$B$6),About!$B$5*M1053+About!$B$6*N1053+About!$B$7*O1053)</f>
        <v/>
      </c>
      <c r="Q1053" s="23" t="n">
        <v>31.9493</v>
      </c>
      <c r="R1053" s="23" t="n">
        <v>5.325</v>
      </c>
    </row>
    <row r="1054" ht="15" customHeight="1" s="12">
      <c r="A1054" s="18" t="inlineStr">
        <is>
          <t>Nuku‘alofa</t>
        </is>
      </c>
      <c r="B1054" s="18" t="inlineStr">
        <is>
          <t>Tonga</t>
        </is>
      </c>
      <c r="C1054" s="19" t="n">
        <v>100179</v>
      </c>
      <c r="D1054" s="18" t="inlineStr">
        <is>
          <t>TO</t>
        </is>
      </c>
      <c r="E1054" s="18" t="inlineStr">
        <is>
          <t>02</t>
        </is>
      </c>
      <c r="F1054" s="20" t="n">
        <v>22400</v>
      </c>
      <c r="G1054" s="18" t="inlineStr">
        <is>
          <t>Yes</t>
        </is>
      </c>
      <c r="H1054" s="18" t="inlineStr">
        <is>
          <t>TBU</t>
        </is>
      </c>
      <c r="I1054" s="18" t="inlineStr">
        <is>
          <t>Fua'amotu International Airport</t>
        </is>
      </c>
      <c r="J1054" s="21" t="n">
        <v>12.6</v>
      </c>
      <c r="K1054" s="18" t="inlineStr">
        <is>
          <t>TBU</t>
        </is>
      </c>
      <c r="L1054" s="18" t="inlineStr">
        <is>
          <t>capital</t>
        </is>
      </c>
      <c r="M1054" s="22" t="n">
        <v>0.483</v>
      </c>
      <c r="N1054" s="22" t="n">
        <v>0</v>
      </c>
      <c r="O1054" s="18" t="n"/>
      <c r="P1054" s="22">
        <f>IF(O1054="",(About!$B$5*M1054+About!$B$6*N1054)/(About!$B$5+About!$B$6),About!$B$5*M1054+About!$B$6*N1054+About!$B$7*O1054)</f>
        <v/>
      </c>
      <c r="Q1054" s="23" t="n">
        <v>-21.1394</v>
      </c>
      <c r="R1054" s="23" t="n">
        <v>-175.2018</v>
      </c>
    </row>
    <row r="1055" ht="15" customHeight="1" s="12">
      <c r="A1055" s="18" t="inlineStr">
        <is>
          <t>Ibadan</t>
        </is>
      </c>
      <c r="B1055" s="18" t="inlineStr">
        <is>
          <t>Nigeria</t>
        </is>
      </c>
      <c r="C1055" s="19" t="n">
        <v>223800000</v>
      </c>
      <c r="D1055" s="18" t="inlineStr">
        <is>
          <t>NG</t>
        </is>
      </c>
      <c r="E1055" s="18" t="inlineStr">
        <is>
          <t>32</t>
        </is>
      </c>
      <c r="F1055" s="20" t="n">
        <v>3565108</v>
      </c>
      <c r="G1055" s="18" t="n"/>
      <c r="H1055" s="18" t="inlineStr">
        <is>
          <t>IBA</t>
        </is>
      </c>
      <c r="I1055" s="18" t="inlineStr">
        <is>
          <t>Ibadan Airport</t>
        </is>
      </c>
      <c r="J1055" s="21" t="n">
        <v>8.199999999999999</v>
      </c>
      <c r="K1055" s="18" t="inlineStr">
        <is>
          <t>IBA</t>
        </is>
      </c>
      <c r="L1055" s="18" t="inlineStr">
        <is>
          <t>100k +  pop + airport</t>
        </is>
      </c>
      <c r="M1055" s="22" t="n">
        <v>0.481</v>
      </c>
      <c r="N1055" s="22" t="n">
        <v>0</v>
      </c>
      <c r="O1055" s="18" t="n"/>
      <c r="P1055" s="22">
        <f>IF(O1055="",(About!$B$5*M1055+About!$B$6*N1055)/(About!$B$5+About!$B$6),About!$B$5*M1055+About!$B$6*N1055+About!$B$7*O1055)</f>
        <v/>
      </c>
      <c r="Q1055" s="23" t="n">
        <v>7.3776</v>
      </c>
      <c r="R1055" s="23" t="n">
        <v>3.9059</v>
      </c>
    </row>
    <row r="1056" ht="15" customHeight="1" s="12">
      <c r="A1056" s="18" t="inlineStr">
        <is>
          <t>Dushanbe</t>
        </is>
      </c>
      <c r="B1056" s="18" t="inlineStr">
        <is>
          <t>Tajikistan</t>
        </is>
      </c>
      <c r="C1056" s="19" t="n">
        <v>10721000</v>
      </c>
      <c r="D1056" s="18" t="inlineStr">
        <is>
          <t>TJ</t>
        </is>
      </c>
      <c r="E1056" s="18" t="inlineStr">
        <is>
          <t>04</t>
        </is>
      </c>
      <c r="F1056" s="20" t="n">
        <v>679400</v>
      </c>
      <c r="G1056" s="18" t="inlineStr">
        <is>
          <t>Yes</t>
        </is>
      </c>
      <c r="H1056" s="18" t="inlineStr">
        <is>
          <t>DYU</t>
        </is>
      </c>
      <c r="I1056" s="18" t="inlineStr">
        <is>
          <t>Dushanbe International Airport</t>
        </is>
      </c>
      <c r="J1056" s="21" t="n">
        <v>3.9</v>
      </c>
      <c r="K1056" s="18" t="inlineStr">
        <is>
          <t>DYU</t>
        </is>
      </c>
      <c r="L1056" s="18" t="inlineStr">
        <is>
          <t>100k +  pop + capital + airport</t>
        </is>
      </c>
      <c r="M1056" s="22" t="n">
        <v>0.479</v>
      </c>
      <c r="N1056" s="22" t="n">
        <v>0</v>
      </c>
      <c r="O1056" s="18" t="n"/>
      <c r="P1056" s="22">
        <f>IF(O1056="",(About!$B$5*M1056+About!$B$6*N1056)/(About!$B$5+About!$B$6),About!$B$5*M1056+About!$B$6*N1056+About!$B$7*O1056)</f>
        <v/>
      </c>
      <c r="Q1056" s="23" t="n">
        <v>38.5358</v>
      </c>
      <c r="R1056" s="23" t="n">
        <v>68.779</v>
      </c>
    </row>
    <row r="1057" ht="15" customHeight="1" s="12">
      <c r="A1057" s="18" t="inlineStr">
        <is>
          <t>Kandahār</t>
        </is>
      </c>
      <c r="B1057" s="18" t="inlineStr">
        <is>
          <t>Afghanistan</t>
        </is>
      </c>
      <c r="C1057" s="19" t="n">
        <v>43844000</v>
      </c>
      <c r="D1057" s="18" t="inlineStr">
        <is>
          <t>AF</t>
        </is>
      </c>
      <c r="E1057" s="18" t="inlineStr">
        <is>
          <t>23</t>
        </is>
      </c>
      <c r="F1057" s="20" t="n">
        <v>391190</v>
      </c>
      <c r="G1057" s="18" t="n"/>
      <c r="H1057" s="18" t="inlineStr">
        <is>
          <t>KDH</t>
        </is>
      </c>
      <c r="I1057" s="18" t="inlineStr">
        <is>
          <t>Ahmad Shah Baba International Airport</t>
        </is>
      </c>
      <c r="J1057" s="21" t="n">
        <v>17.7</v>
      </c>
      <c r="K1057" s="18" t="inlineStr">
        <is>
          <t>KDH</t>
        </is>
      </c>
      <c r="L1057" s="18" t="inlineStr">
        <is>
          <t>100k +  pop + airport</t>
        </is>
      </c>
      <c r="M1057" s="22" t="n">
        <v>0.481</v>
      </c>
      <c r="N1057" s="22" t="n">
        <v>0</v>
      </c>
      <c r="O1057" s="18" t="n"/>
      <c r="P1057" s="22">
        <f>IF(O1057="",(About!$B$5*M1057+About!$B$6*N1057)/(About!$B$5+About!$B$6),About!$B$5*M1057+About!$B$6*N1057+About!$B$7*O1057)</f>
        <v/>
      </c>
      <c r="Q1057" s="23" t="n">
        <v>31.6133</v>
      </c>
      <c r="R1057" s="23" t="n">
        <v>65.7101</v>
      </c>
    </row>
    <row r="1058" ht="15" customHeight="1" s="12">
      <c r="A1058" s="18" t="inlineStr">
        <is>
          <t>Kitchener</t>
        </is>
      </c>
      <c r="B1058" s="18" t="inlineStr">
        <is>
          <t>Canada</t>
        </is>
      </c>
      <c r="C1058" s="19" t="n">
        <v>41472081</v>
      </c>
      <c r="D1058" s="18" t="inlineStr">
        <is>
          <t>CA</t>
        </is>
      </c>
      <c r="E1058" s="18" t="inlineStr">
        <is>
          <t>08</t>
        </is>
      </c>
      <c r="F1058" s="20" t="n">
        <v>233700</v>
      </c>
      <c r="G1058" s="18" t="n"/>
      <c r="H1058" s="18" t="inlineStr">
        <is>
          <t>YKF</t>
        </is>
      </c>
      <c r="I1058" s="18" t="inlineStr">
        <is>
          <t>Region of Waterloo International Airport</t>
        </is>
      </c>
      <c r="J1058" s="21" t="n">
        <v>11.4</v>
      </c>
      <c r="K1058" s="18" t="inlineStr">
        <is>
          <t>YKF</t>
        </is>
      </c>
      <c r="L1058" s="18" t="inlineStr">
        <is>
          <t>100k +  pop</t>
        </is>
      </c>
      <c r="M1058" s="22" t="n">
        <v>0.48</v>
      </c>
      <c r="N1058" s="22" t="n">
        <v>0</v>
      </c>
      <c r="O1058" s="18" t="n"/>
      <c r="P1058" s="22">
        <f>IF(O1058="",(About!$B$5*M1058+About!$B$6*N1058)/(About!$B$5+About!$B$6),About!$B$5*M1058+About!$B$6*N1058+About!$B$7*O1058)</f>
        <v/>
      </c>
      <c r="Q1058" s="23" t="n">
        <v>43.4254</v>
      </c>
      <c r="R1058" s="23" t="n">
        <v>-80.5112</v>
      </c>
    </row>
    <row r="1059" ht="15" customHeight="1" s="12">
      <c r="A1059" s="18" t="inlineStr">
        <is>
          <t>San Fernando del Valle de Catamarca</t>
        </is>
      </c>
      <c r="B1059" s="18" t="inlineStr">
        <is>
          <t>Argentina</t>
        </is>
      </c>
      <c r="C1059" s="19" t="n">
        <v>46387098</v>
      </c>
      <c r="D1059" s="18" t="inlineStr">
        <is>
          <t>AR</t>
        </is>
      </c>
      <c r="E1059" s="18" t="inlineStr">
        <is>
          <t>02</t>
        </is>
      </c>
      <c r="F1059" s="20" t="n">
        <v>188812</v>
      </c>
      <c r="G1059" s="18" t="n"/>
      <c r="H1059" s="18" t="inlineStr">
        <is>
          <t>CTC</t>
        </is>
      </c>
      <c r="I1059" s="18" t="inlineStr">
        <is>
          <t>Coronel Felipe Varela International Airport</t>
        </is>
      </c>
      <c r="J1059" s="21" t="n">
        <v>14.1</v>
      </c>
      <c r="K1059" s="18" t="inlineStr">
        <is>
          <t>CTC</t>
        </is>
      </c>
      <c r="L1059" s="18" t="inlineStr">
        <is>
          <t>100k +  pop</t>
        </is>
      </c>
      <c r="M1059" s="22" t="n">
        <v>0.479</v>
      </c>
      <c r="N1059" s="22" t="n">
        <v>0</v>
      </c>
      <c r="O1059" s="18" t="n"/>
      <c r="P1059" s="22">
        <f>IF(O1059="",(About!$B$5*M1059+About!$B$6*N1059)/(About!$B$5+About!$B$6),About!$B$5*M1059+About!$B$6*N1059+About!$B$7*O1059)</f>
        <v/>
      </c>
      <c r="Q1059" s="23" t="n">
        <v>-28.4696</v>
      </c>
      <c r="R1059" s="23" t="n">
        <v>-65.7852</v>
      </c>
    </row>
    <row r="1060" ht="15" customHeight="1" s="12">
      <c r="A1060" s="18" t="inlineStr">
        <is>
          <t>La Rioja</t>
        </is>
      </c>
      <c r="B1060" s="18" t="inlineStr">
        <is>
          <t>Argentina</t>
        </is>
      </c>
      <c r="C1060" s="19" t="n">
        <v>46387098</v>
      </c>
      <c r="D1060" s="18" t="inlineStr">
        <is>
          <t>AR</t>
        </is>
      </c>
      <c r="E1060" s="18" t="inlineStr">
        <is>
          <t>12</t>
        </is>
      </c>
      <c r="F1060" s="20" t="n">
        <v>162620</v>
      </c>
      <c r="G1060" s="18" t="n"/>
      <c r="H1060" s="18" t="inlineStr">
        <is>
          <t>IRJ</t>
        </is>
      </c>
      <c r="I1060" s="18" t="inlineStr">
        <is>
          <t>Capitan V A Almonacid Airport</t>
        </is>
      </c>
      <c r="J1060" s="21" t="n">
        <v>6.2</v>
      </c>
      <c r="K1060" s="18" t="inlineStr">
        <is>
          <t>IRJ</t>
        </is>
      </c>
      <c r="L1060" s="18" t="inlineStr">
        <is>
          <t>100k +  pop + airport</t>
        </is>
      </c>
      <c r="M1060" s="22" t="n">
        <v>0.48</v>
      </c>
      <c r="N1060" s="22" t="n">
        <v>0</v>
      </c>
      <c r="O1060" s="18" t="n"/>
      <c r="P1060" s="22">
        <f>IF(O1060="",(About!$B$5*M1060+About!$B$6*N1060)/(About!$B$5+About!$B$6),About!$B$5*M1060+About!$B$6*N1060+About!$B$7*O1060)</f>
        <v/>
      </c>
      <c r="Q1060" s="23" t="n">
        <v>-29.411</v>
      </c>
      <c r="R1060" s="23" t="n">
        <v>-66.8507</v>
      </c>
    </row>
    <row r="1061" ht="15" customHeight="1" s="12">
      <c r="A1061" s="18" t="inlineStr">
        <is>
          <t>Florencia</t>
        </is>
      </c>
      <c r="B1061" s="18" t="inlineStr">
        <is>
          <t>Colombia</t>
        </is>
      </c>
      <c r="C1061" s="19" t="n">
        <v>53057212</v>
      </c>
      <c r="D1061" s="18" t="inlineStr">
        <is>
          <t>CO</t>
        </is>
      </c>
      <c r="E1061" s="18" t="inlineStr">
        <is>
          <t>08</t>
        </is>
      </c>
      <c r="F1061" s="20" t="n">
        <v>130337</v>
      </c>
      <c r="G1061" s="18" t="n"/>
      <c r="H1061" s="18" t="inlineStr">
        <is>
          <t>FLA</t>
        </is>
      </c>
      <c r="I1061" s="18" t="inlineStr">
        <is>
          <t>Gustavo Artunduaga Paredes Airport</t>
        </is>
      </c>
      <c r="J1061" s="21" t="n">
        <v>5.4</v>
      </c>
      <c r="K1061" s="18" t="inlineStr">
        <is>
          <t>FLA</t>
        </is>
      </c>
      <c r="L1061" s="18" t="inlineStr">
        <is>
          <t>100k +  pop + airport</t>
        </is>
      </c>
      <c r="M1061" s="22" t="n">
        <v>0.481</v>
      </c>
      <c r="N1061" s="22" t="n">
        <v>0</v>
      </c>
      <c r="O1061" s="18" t="n"/>
      <c r="P1061" s="22">
        <f>IF(O1061="",(About!$B$5*M1061+About!$B$6*N1061)/(About!$B$5+About!$B$6),About!$B$5*M1061+About!$B$6*N1061+About!$B$7*O1061)</f>
        <v/>
      </c>
      <c r="Q1061" s="23" t="n">
        <v>1.6144</v>
      </c>
      <c r="R1061" s="23" t="n">
        <v>-75.6062</v>
      </c>
    </row>
    <row r="1062" ht="15" customHeight="1" s="12">
      <c r="A1062" s="18" t="inlineStr">
        <is>
          <t>Cambridge</t>
        </is>
      </c>
      <c r="B1062" s="18" t="inlineStr">
        <is>
          <t>Canada</t>
        </is>
      </c>
      <c r="C1062" s="19" t="n">
        <v>41472081</v>
      </c>
      <c r="D1062" s="18" t="inlineStr">
        <is>
          <t>CA</t>
        </is>
      </c>
      <c r="E1062" s="18" t="inlineStr">
        <is>
          <t>08</t>
        </is>
      </c>
      <c r="F1062" s="20" t="n">
        <v>120372</v>
      </c>
      <c r="G1062" s="18" t="n"/>
      <c r="H1062" s="18" t="inlineStr">
        <is>
          <t>YKF</t>
        </is>
      </c>
      <c r="I1062" s="18" t="inlineStr">
        <is>
          <t>Region of Waterloo International Airport</t>
        </is>
      </c>
      <c r="J1062" s="21" t="n">
        <v>12.4</v>
      </c>
      <c r="K1062" s="18" t="inlineStr">
        <is>
          <t>YKF</t>
        </is>
      </c>
      <c r="L1062" s="18" t="inlineStr">
        <is>
          <t>100k +  pop</t>
        </is>
      </c>
      <c r="M1062" s="22" t="n">
        <v>0.48</v>
      </c>
      <c r="N1062" s="22" t="n">
        <v>0</v>
      </c>
      <c r="O1062" s="18" t="n"/>
      <c r="P1062" s="22">
        <f>IF(O1062="",(About!$B$5*M1062+About!$B$6*N1062)/(About!$B$5+About!$B$6),About!$B$5*M1062+About!$B$6*N1062+About!$B$7*O1062)</f>
        <v/>
      </c>
      <c r="Q1062" s="23" t="n">
        <v>43.3601</v>
      </c>
      <c r="R1062" s="23" t="n">
        <v>-80.31270000000001</v>
      </c>
    </row>
    <row r="1063" ht="15" customHeight="1" s="12">
      <c r="A1063" s="18" t="inlineStr">
        <is>
          <t>Guelph</t>
        </is>
      </c>
      <c r="B1063" s="18" t="inlineStr">
        <is>
          <t>Canada</t>
        </is>
      </c>
      <c r="C1063" s="19" t="n">
        <v>41472081</v>
      </c>
      <c r="D1063" s="18" t="inlineStr">
        <is>
          <t>CA</t>
        </is>
      </c>
      <c r="E1063" s="18" t="inlineStr">
        <is>
          <t>08</t>
        </is>
      </c>
      <c r="F1063" s="20" t="n">
        <v>115760</v>
      </c>
      <c r="G1063" s="18" t="n"/>
      <c r="H1063" s="18" t="inlineStr">
        <is>
          <t>YKF</t>
        </is>
      </c>
      <c r="I1063" s="18" t="inlineStr">
        <is>
          <t>Region of Waterloo International Airport</t>
        </is>
      </c>
      <c r="J1063" s="21" t="n">
        <v>13.7</v>
      </c>
      <c r="K1063" s="18" t="inlineStr">
        <is>
          <t>YKF</t>
        </is>
      </c>
      <c r="L1063" s="18" t="inlineStr">
        <is>
          <t>100k +  pop</t>
        </is>
      </c>
      <c r="M1063" s="22" t="n">
        <v>0.48</v>
      </c>
      <c r="N1063" s="22" t="n">
        <v>0</v>
      </c>
      <c r="O1063" s="18" t="n"/>
      <c r="P1063" s="22">
        <f>IF(O1063="",(About!$B$5*M1063+About!$B$6*N1063)/(About!$B$5+About!$B$6),About!$B$5*M1063+About!$B$6*N1063+About!$B$7*O1063)</f>
        <v/>
      </c>
      <c r="Q1063" s="23" t="n">
        <v>43.5459</v>
      </c>
      <c r="R1063" s="23" t="n">
        <v>-80.256</v>
      </c>
    </row>
    <row r="1064" ht="15" customHeight="1" s="12">
      <c r="A1064" s="18" t="inlineStr">
        <is>
          <t>Caen</t>
        </is>
      </c>
      <c r="B1064" s="18" t="inlineStr">
        <is>
          <t>France</t>
        </is>
      </c>
      <c r="C1064" s="19" t="n">
        <v>69081996</v>
      </c>
      <c r="D1064" s="18" t="inlineStr">
        <is>
          <t>FR</t>
        </is>
      </c>
      <c r="E1064" s="18" t="inlineStr">
        <is>
          <t>28</t>
        </is>
      </c>
      <c r="F1064" s="20" t="n">
        <v>110624</v>
      </c>
      <c r="G1064" s="18" t="n"/>
      <c r="H1064" s="18" t="inlineStr">
        <is>
          <t>CFR</t>
        </is>
      </c>
      <c r="I1064" s="18" t="inlineStr">
        <is>
          <t>Caen Carpiquet airport</t>
        </is>
      </c>
      <c r="J1064" s="21" t="n">
        <v>7</v>
      </c>
      <c r="K1064" s="18" t="inlineStr">
        <is>
          <t>CFR</t>
        </is>
      </c>
      <c r="L1064" s="18" t="inlineStr">
        <is>
          <t>100k +  pop + airport</t>
        </is>
      </c>
      <c r="M1064" s="22" t="n">
        <v>0.48</v>
      </c>
      <c r="N1064" s="22" t="n">
        <v>0</v>
      </c>
      <c r="O1064" s="18" t="n"/>
      <c r="P1064" s="22">
        <f>IF(O1064="",(About!$B$5*M1064+About!$B$6*N1064)/(About!$B$5+About!$B$6),About!$B$5*M1064+About!$B$6*N1064+About!$B$7*O1064)</f>
        <v/>
      </c>
      <c r="Q1064" s="23" t="n">
        <v>49.1859</v>
      </c>
      <c r="R1064" s="23" t="n">
        <v>-0.3591</v>
      </c>
    </row>
    <row r="1065" ht="15" customHeight="1" s="12">
      <c r="A1065" s="18" t="inlineStr">
        <is>
          <t>Murcia</t>
        </is>
      </c>
      <c r="B1065" s="18" t="inlineStr">
        <is>
          <t>Spain</t>
        </is>
      </c>
      <c r="C1065" s="19" t="n">
        <v>49687120</v>
      </c>
      <c r="D1065" s="18" t="inlineStr">
        <is>
          <t>ES</t>
        </is>
      </c>
      <c r="E1065" s="18" t="inlineStr">
        <is>
          <t>31</t>
        </is>
      </c>
      <c r="F1065" s="20" t="n">
        <v>436870</v>
      </c>
      <c r="G1065" s="18" t="n"/>
      <c r="H1065" s="18" t="inlineStr">
        <is>
          <t>RMU</t>
        </is>
      </c>
      <c r="I1065" s="18" t="inlineStr">
        <is>
          <t>Region of Murcia International Airport</t>
        </is>
      </c>
      <c r="J1065" s="21" t="n">
        <v>20.5</v>
      </c>
      <c r="K1065" s="18" t="inlineStr">
        <is>
          <t>RMU</t>
        </is>
      </c>
      <c r="L1065" s="18" t="inlineStr">
        <is>
          <t>100k +  pop</t>
        </is>
      </c>
      <c r="M1065" s="22" t="n">
        <v>0.477</v>
      </c>
      <c r="N1065" s="22" t="n">
        <v>0</v>
      </c>
      <c r="O1065" s="18" t="n"/>
      <c r="P1065" s="22">
        <f>IF(O1065="",(About!$B$5*M1065+About!$B$6*N1065)/(About!$B$5+About!$B$6),About!$B$5*M1065+About!$B$6*N1065+About!$B$7*O1065)</f>
        <v/>
      </c>
      <c r="Q1065" s="23" t="n">
        <v>37.987</v>
      </c>
      <c r="R1065" s="23" t="n">
        <v>-1.13</v>
      </c>
    </row>
    <row r="1066" ht="15" customHeight="1" s="12">
      <c r="A1066" s="18" t="inlineStr">
        <is>
          <t>Bissau</t>
        </is>
      </c>
      <c r="B1066" s="18" t="inlineStr">
        <is>
          <t>Guinea-Bissau</t>
        </is>
      </c>
      <c r="C1066" s="19" t="n">
        <v>1852784</v>
      </c>
      <c r="D1066" s="18" t="inlineStr">
        <is>
          <t>GW</t>
        </is>
      </c>
      <c r="E1066" s="18" t="inlineStr">
        <is>
          <t>11</t>
        </is>
      </c>
      <c r="F1066" s="20" t="n">
        <v>388028</v>
      </c>
      <c r="G1066" s="18" t="inlineStr">
        <is>
          <t>Yes</t>
        </is>
      </c>
      <c r="H1066" s="18" t="inlineStr">
        <is>
          <t>OXB</t>
        </is>
      </c>
      <c r="I1066" s="18" t="inlineStr">
        <is>
          <t>Osvaldo Vieira International Airport</t>
        </is>
      </c>
      <c r="J1066" s="21" t="n">
        <v>7</v>
      </c>
      <c r="K1066" s="18" t="inlineStr">
        <is>
          <t>OXB</t>
        </is>
      </c>
      <c r="L1066" s="18" t="inlineStr">
        <is>
          <t>100k +  pop + capital + airport</t>
        </is>
      </c>
      <c r="M1066" s="22" t="n">
        <v>0.478</v>
      </c>
      <c r="N1066" s="22" t="n">
        <v>0</v>
      </c>
      <c r="O1066" s="18" t="n"/>
      <c r="P1066" s="22">
        <f>IF(O1066="",(About!$B$5*M1066+About!$B$6*N1066)/(About!$B$5+About!$B$6),About!$B$5*M1066+About!$B$6*N1066+About!$B$7*O1066)</f>
        <v/>
      </c>
      <c r="Q1066" s="23" t="n">
        <v>11.8636</v>
      </c>
      <c r="R1066" s="23" t="n">
        <v>-15.5977</v>
      </c>
    </row>
    <row r="1067" ht="15" customHeight="1" s="12">
      <c r="A1067" s="18" t="inlineStr">
        <is>
          <t>Batman</t>
        </is>
      </c>
      <c r="B1067" s="18" t="inlineStr">
        <is>
          <t>Türkiye</t>
        </is>
      </c>
      <c r="C1067" s="19" t="n">
        <v>86092168</v>
      </c>
      <c r="D1067" s="18" t="inlineStr">
        <is>
          <t>TR</t>
        </is>
      </c>
      <c r="E1067" s="18" t="inlineStr">
        <is>
          <t>76</t>
        </is>
      </c>
      <c r="F1067" s="20" t="n">
        <v>381990</v>
      </c>
      <c r="G1067" s="18" t="n"/>
      <c r="H1067" s="18" t="inlineStr">
        <is>
          <t>BAL</t>
        </is>
      </c>
      <c r="I1067" s="18" t="inlineStr">
        <is>
          <t>Batman Airport</t>
        </is>
      </c>
      <c r="J1067" s="21" t="n">
        <v>4.8</v>
      </c>
      <c r="K1067" s="18" t="inlineStr">
        <is>
          <t>BAL</t>
        </is>
      </c>
      <c r="L1067" s="18" t="inlineStr">
        <is>
          <t>100k +  pop + airport</t>
        </is>
      </c>
      <c r="M1067" s="22" t="n">
        <v>0.479</v>
      </c>
      <c r="N1067" s="22" t="n">
        <v>0</v>
      </c>
      <c r="O1067" s="18" t="n"/>
      <c r="P1067" s="22">
        <f>IF(O1067="",(About!$B$5*M1067+About!$B$6*N1067)/(About!$B$5+About!$B$6),About!$B$5*M1067+About!$B$6*N1067+About!$B$7*O1067)</f>
        <v/>
      </c>
      <c r="Q1067" s="23" t="n">
        <v>37.8874</v>
      </c>
      <c r="R1067" s="23" t="n">
        <v>41.1322</v>
      </c>
    </row>
    <row r="1068" ht="15" customHeight="1" s="12">
      <c r="A1068" s="18" t="inlineStr">
        <is>
          <t>Paraná</t>
        </is>
      </c>
      <c r="B1068" s="18" t="inlineStr">
        <is>
          <t>Argentina</t>
        </is>
      </c>
      <c r="C1068" s="19" t="n">
        <v>46387098</v>
      </c>
      <c r="D1068" s="18" t="inlineStr">
        <is>
          <t>AR</t>
        </is>
      </c>
      <c r="E1068" s="18" t="inlineStr">
        <is>
          <t>08</t>
        </is>
      </c>
      <c r="F1068" s="20" t="n">
        <v>262295</v>
      </c>
      <c r="G1068" s="18" t="n"/>
      <c r="H1068" s="18" t="inlineStr">
        <is>
          <t>PRA</t>
        </is>
      </c>
      <c r="I1068" s="18" t="inlineStr">
        <is>
          <t>General Urquiza Airport</t>
        </is>
      </c>
      <c r="J1068" s="21" t="n">
        <v>8.300000000000001</v>
      </c>
      <c r="K1068" s="18" t="inlineStr">
        <is>
          <t>PRA</t>
        </is>
      </c>
      <c r="L1068" s="18" t="inlineStr">
        <is>
          <t>100k +  pop + airport</t>
        </is>
      </c>
      <c r="M1068" s="22" t="n">
        <v>0.479</v>
      </c>
      <c r="N1068" s="22" t="n">
        <v>0</v>
      </c>
      <c r="O1068" s="18" t="n"/>
      <c r="P1068" s="22">
        <f>IF(O1068="",(About!$B$5*M1068+About!$B$6*N1068)/(About!$B$5+About!$B$6),About!$B$5*M1068+About!$B$6*N1068+About!$B$7*O1068)</f>
        <v/>
      </c>
      <c r="Q1068" s="23" t="n">
        <v>-31.7327</v>
      </c>
      <c r="R1068" s="23" t="n">
        <v>-60.529</v>
      </c>
    </row>
    <row r="1069" ht="15" customHeight="1" s="12">
      <c r="A1069" s="18" t="inlineStr">
        <is>
          <t>Dakhla</t>
        </is>
      </c>
      <c r="B1069" s="18" t="inlineStr">
        <is>
          <t>Western Sahara</t>
        </is>
      </c>
      <c r="C1069" s="19" t="n">
        <v>600904</v>
      </c>
      <c r="D1069" s="18" t="inlineStr">
        <is>
          <t>EH</t>
        </is>
      </c>
      <c r="E1069" s="18" t="inlineStr">
        <is>
          <t>CE</t>
        </is>
      </c>
      <c r="F1069" s="20" t="n">
        <v>75000</v>
      </c>
      <c r="G1069" s="18" t="n"/>
      <c r="H1069" s="18" t="inlineStr">
        <is>
          <t>VIL</t>
        </is>
      </c>
      <c r="I1069" s="18" t="inlineStr">
        <is>
          <t>Dakhla Airport</t>
        </is>
      </c>
      <c r="J1069" s="21" t="n">
        <v>4.6</v>
      </c>
      <c r="K1069" s="18" t="inlineStr">
        <is>
          <t>VIL</t>
        </is>
      </c>
      <c r="L1069" s="18" t="inlineStr">
        <is>
          <t>airport</t>
        </is>
      </c>
      <c r="M1069" s="22" t="n">
        <v>0.479</v>
      </c>
      <c r="N1069" s="22" t="n">
        <v>0</v>
      </c>
      <c r="O1069" s="18" t="n"/>
      <c r="P1069" s="22">
        <f>IF(O1069="",(About!$B$5*M1069+About!$B$6*N1069)/(About!$B$5+About!$B$6),About!$B$5*M1069+About!$B$6*N1069+About!$B$7*O1069)</f>
        <v/>
      </c>
      <c r="Q1069" s="23" t="n">
        <v>23.6848</v>
      </c>
      <c r="R1069" s="23" t="n">
        <v>-15.958</v>
      </c>
    </row>
    <row r="1070" ht="15" customHeight="1" s="12">
      <c r="A1070" s="18" t="inlineStr">
        <is>
          <t>São Tomé</t>
        </is>
      </c>
      <c r="B1070" s="18" t="inlineStr">
        <is>
          <t>Sao Tome and Principe</t>
        </is>
      </c>
      <c r="C1070" s="19" t="n">
        <v>209607</v>
      </c>
      <c r="D1070" s="18" t="inlineStr">
        <is>
          <t>ST</t>
        </is>
      </c>
      <c r="E1070" s="18" t="inlineStr">
        <is>
          <t>02</t>
        </is>
      </c>
      <c r="F1070" s="20" t="n">
        <v>53300</v>
      </c>
      <c r="G1070" s="18" t="inlineStr">
        <is>
          <t>Yes</t>
        </is>
      </c>
      <c r="H1070" s="18" t="inlineStr">
        <is>
          <t>TMS</t>
        </is>
      </c>
      <c r="I1070" s="18" t="inlineStr">
        <is>
          <t>São Tomé International Airport</t>
        </is>
      </c>
      <c r="J1070" s="21" t="n">
        <v>4.9</v>
      </c>
      <c r="K1070" s="18" t="inlineStr">
        <is>
          <t>TMS</t>
        </is>
      </c>
      <c r="L1070" s="18" t="inlineStr">
        <is>
          <t>capital + airport</t>
        </is>
      </c>
      <c r="M1070" s="22" t="n">
        <v>0.477</v>
      </c>
      <c r="N1070" s="22" t="n">
        <v>0</v>
      </c>
      <c r="O1070" s="18" t="n"/>
      <c r="P1070" s="22">
        <f>IF(O1070="",(About!$B$5*M1070+About!$B$6*N1070)/(About!$B$5+About!$B$6),About!$B$5*M1070+About!$B$6*N1070+About!$B$7*O1070)</f>
        <v/>
      </c>
      <c r="Q1070" s="23" t="n">
        <v>0.3365</v>
      </c>
      <c r="R1070" s="23" t="n">
        <v>6.7273</v>
      </c>
    </row>
    <row r="1071" ht="15" customHeight="1" s="12">
      <c r="A1071" s="18" t="inlineStr">
        <is>
          <t>Kingstown</t>
        </is>
      </c>
      <c r="B1071" s="18" t="inlineStr">
        <is>
          <t>Saint Vincent and the Grenadines</t>
        </is>
      </c>
      <c r="C1071" s="19" t="n">
        <v>110872</v>
      </c>
      <c r="D1071" s="18" t="inlineStr">
        <is>
          <t>VC</t>
        </is>
      </c>
      <c r="E1071" s="18" t="inlineStr">
        <is>
          <t>04</t>
        </is>
      </c>
      <c r="F1071" s="20" t="n">
        <v>24518</v>
      </c>
      <c r="G1071" s="18" t="inlineStr">
        <is>
          <t>Yes</t>
        </is>
      </c>
      <c r="H1071" s="18" t="inlineStr">
        <is>
          <t>SVD</t>
        </is>
      </c>
      <c r="I1071" s="18" t="inlineStr">
        <is>
          <t>Argyle International Airport</t>
        </is>
      </c>
      <c r="J1071" s="21" t="n">
        <v>8.5</v>
      </c>
      <c r="K1071" s="18" t="inlineStr">
        <is>
          <t>BQU+SVD</t>
        </is>
      </c>
      <c r="L1071" s="18" t="inlineStr">
        <is>
          <t>capital + airport</t>
        </is>
      </c>
      <c r="M1071" s="22" t="n">
        <v>0.478</v>
      </c>
      <c r="N1071" s="22" t="n">
        <v>0</v>
      </c>
      <c r="O1071" s="18" t="n"/>
      <c r="P1071" s="22">
        <f>IF(O1071="",(About!$B$5*M1071+About!$B$6*N1071)/(About!$B$5+About!$B$6),About!$B$5*M1071+About!$B$6*N1071+About!$B$7*O1071)</f>
        <v/>
      </c>
      <c r="Q1071" s="23" t="n">
        <v>13.1553</v>
      </c>
      <c r="R1071" s="23" t="n">
        <v>-61.2274</v>
      </c>
    </row>
    <row r="1072" ht="15" customHeight="1" s="12">
      <c r="A1072" s="18" t="inlineStr">
        <is>
          <t>Basseterre</t>
        </is>
      </c>
      <c r="B1072" s="18" t="inlineStr">
        <is>
          <t>Saint Kitts and Nevis</t>
        </is>
      </c>
      <c r="C1072" s="19" t="n">
        <v>51320</v>
      </c>
      <c r="D1072" s="18" t="inlineStr">
        <is>
          <t>KN</t>
        </is>
      </c>
      <c r="E1072" s="18" t="inlineStr">
        <is>
          <t>03</t>
        </is>
      </c>
      <c r="F1072" s="20" t="n">
        <v>12920</v>
      </c>
      <c r="G1072" s="18" t="inlineStr">
        <is>
          <t>Yes</t>
        </is>
      </c>
      <c r="H1072" s="18" t="inlineStr">
        <is>
          <t>SKB</t>
        </is>
      </c>
      <c r="I1072" s="18" t="inlineStr">
        <is>
          <t>Robert L. Bradshaw International Airport</t>
        </is>
      </c>
      <c r="J1072" s="21" t="n">
        <v>1.8</v>
      </c>
      <c r="K1072" s="18" t="inlineStr">
        <is>
          <t>NEV+SKB</t>
        </is>
      </c>
      <c r="L1072" s="18" t="inlineStr">
        <is>
          <t>capital</t>
        </is>
      </c>
      <c r="M1072" s="22" t="n">
        <v>0.478</v>
      </c>
      <c r="N1072" s="22" t="n">
        <v>0</v>
      </c>
      <c r="O1072" s="18" t="n"/>
      <c r="P1072" s="22">
        <f>IF(O1072="",(About!$B$5*M1072+About!$B$6*N1072)/(About!$B$5+About!$B$6),About!$B$5*M1072+About!$B$6*N1072+About!$B$7*O1072)</f>
        <v/>
      </c>
      <c r="Q1072" s="23" t="n">
        <v>17.2955</v>
      </c>
      <c r="R1072" s="23" t="n">
        <v>-62.725</v>
      </c>
    </row>
    <row r="1073" ht="15" customHeight="1" s="12">
      <c r="A1073" s="18" t="inlineStr">
        <is>
          <t>Bīrjand</t>
        </is>
      </c>
      <c r="B1073" s="18" t="inlineStr">
        <is>
          <t>Iran</t>
        </is>
      </c>
      <c r="C1073" s="19" t="n">
        <v>87134000</v>
      </c>
      <c r="D1073" s="18" t="inlineStr">
        <is>
          <t>IR</t>
        </is>
      </c>
      <c r="E1073" s="18" t="inlineStr">
        <is>
          <t>41</t>
        </is>
      </c>
      <c r="F1073" s="20" t="n">
        <v>196982</v>
      </c>
      <c r="G1073" s="18" t="n"/>
      <c r="H1073" s="18" t="inlineStr">
        <is>
          <t>XBJ</t>
        </is>
      </c>
      <c r="I1073" s="18" t="inlineStr">
        <is>
          <t>Birjand International Airport</t>
        </is>
      </c>
      <c r="J1073" s="21" t="n">
        <v>6.5</v>
      </c>
      <c r="K1073" s="18" t="inlineStr">
        <is>
          <t>XBJ</t>
        </is>
      </c>
      <c r="L1073" s="18" t="inlineStr">
        <is>
          <t>100k +  pop + airport</t>
        </is>
      </c>
      <c r="M1073" s="22" t="n">
        <v>0.475</v>
      </c>
      <c r="N1073" s="22" t="n">
        <v>0</v>
      </c>
      <c r="O1073" s="18" t="n"/>
      <c r="P1073" s="22">
        <f>IF(O1073="",(About!$B$5*M1073+About!$B$6*N1073)/(About!$B$5+About!$B$6),About!$B$5*M1073+About!$B$6*N1073+About!$B$7*O1073)</f>
        <v/>
      </c>
      <c r="Q1073" s="23" t="n">
        <v>32.8663</v>
      </c>
      <c r="R1073" s="23" t="n">
        <v>59.2211</v>
      </c>
    </row>
    <row r="1074" ht="15" customHeight="1" s="12">
      <c r="A1074" s="18" t="inlineStr">
        <is>
          <t>Paderborn</t>
        </is>
      </c>
      <c r="B1074" s="18" t="inlineStr">
        <is>
          <t>Germany</t>
        </is>
      </c>
      <c r="C1074" s="19" t="n">
        <v>83497147</v>
      </c>
      <c r="D1074" s="18" t="inlineStr">
        <is>
          <t>DE</t>
        </is>
      </c>
      <c r="E1074" s="18" t="inlineStr">
        <is>
          <t>07</t>
        </is>
      </c>
      <c r="F1074" s="20" t="n">
        <v>142161</v>
      </c>
      <c r="G1074" s="18" t="n"/>
      <c r="H1074" s="18" t="inlineStr">
        <is>
          <t>PAD</t>
        </is>
      </c>
      <c r="I1074" s="18" t="inlineStr">
        <is>
          <t>Paderborn Lippstadt Airport</t>
        </is>
      </c>
      <c r="J1074" s="21" t="n">
        <v>15.1</v>
      </c>
      <c r="K1074" s="18" t="inlineStr">
        <is>
          <t>PAD</t>
        </is>
      </c>
      <c r="L1074" s="18" t="inlineStr">
        <is>
          <t>100k +  pop</t>
        </is>
      </c>
      <c r="M1074" s="22" t="n">
        <v>0.477</v>
      </c>
      <c r="N1074" s="22" t="n">
        <v>0</v>
      </c>
      <c r="O1074" s="18" t="n"/>
      <c r="P1074" s="22">
        <f>IF(O1074="",(About!$B$5*M1074+About!$B$6*N1074)/(About!$B$5+About!$B$6),About!$B$5*M1074+About!$B$6*N1074+About!$B$7*O1074)</f>
        <v/>
      </c>
      <c r="Q1074" s="23" t="n">
        <v>51.7191</v>
      </c>
      <c r="R1074" s="23" t="n">
        <v>8.7544</v>
      </c>
    </row>
    <row r="1075" ht="15" customHeight="1" s="12">
      <c r="A1075" s="18" t="inlineStr">
        <is>
          <t>Algeciras</t>
        </is>
      </c>
      <c r="B1075" s="18" t="inlineStr">
        <is>
          <t>Spain</t>
        </is>
      </c>
      <c r="C1075" s="19" t="n">
        <v>49687120</v>
      </c>
      <c r="D1075" s="18" t="inlineStr">
        <is>
          <t>ES</t>
        </is>
      </c>
      <c r="E1075" s="18" t="inlineStr">
        <is>
          <t>51</t>
        </is>
      </c>
      <c r="F1075" s="20" t="n">
        <v>116209</v>
      </c>
      <c r="G1075" s="18" t="n"/>
      <c r="H1075" s="18" t="inlineStr">
        <is>
          <t>GIB</t>
        </is>
      </c>
      <c r="I1075" s="18" t="inlineStr">
        <is>
          <t>Gibraltar Airport</t>
        </is>
      </c>
      <c r="J1075" s="21" t="n">
        <v>9.300000000000001</v>
      </c>
      <c r="K1075" s="18" t="inlineStr">
        <is>
          <t>GIB</t>
        </is>
      </c>
      <c r="L1075" s="18" t="inlineStr">
        <is>
          <t>100k +  pop + airport</t>
        </is>
      </c>
      <c r="M1075" s="22" t="n">
        <v>0.476</v>
      </c>
      <c r="N1075" s="22" t="n">
        <v>0</v>
      </c>
      <c r="O1075" s="18" t="n"/>
      <c r="P1075" s="22">
        <f>IF(O1075="",(About!$B$5*M1075+About!$B$6*N1075)/(About!$B$5+About!$B$6),About!$B$5*M1075+About!$B$6*N1075+About!$B$7*O1075)</f>
        <v/>
      </c>
      <c r="Q1075" s="23" t="n">
        <v>36.1333</v>
      </c>
      <c r="R1075" s="23" t="n">
        <v>-5.4505</v>
      </c>
    </row>
    <row r="1076" ht="15" customHeight="1" s="12">
      <c r="A1076" s="18" t="inlineStr">
        <is>
          <t>Apia</t>
        </is>
      </c>
      <c r="B1076" s="18" t="inlineStr">
        <is>
          <t>Samoa</t>
        </is>
      </c>
      <c r="C1076" s="19" t="n">
        <v>205557</v>
      </c>
      <c r="D1076" s="18" t="inlineStr">
        <is>
          <t>WS</t>
        </is>
      </c>
      <c r="E1076" s="18" t="inlineStr">
        <is>
          <t>10</t>
        </is>
      </c>
      <c r="F1076" s="20" t="n">
        <v>40407</v>
      </c>
      <c r="G1076" s="18" t="inlineStr">
        <is>
          <t>Yes</t>
        </is>
      </c>
      <c r="H1076" s="18" t="inlineStr">
        <is>
          <t>APW</t>
        </is>
      </c>
      <c r="I1076" s="18" t="inlineStr">
        <is>
          <t>Faleolo International Airport</t>
        </is>
      </c>
      <c r="J1076" s="21" t="n">
        <v>26.1</v>
      </c>
      <c r="K1076" s="18" t="inlineStr">
        <is>
          <t>APW</t>
        </is>
      </c>
      <c r="L1076" s="18" t="inlineStr">
        <is>
          <t>capital + airport</t>
        </is>
      </c>
      <c r="M1076" s="22" t="n">
        <v>0.475</v>
      </c>
      <c r="N1076" s="22" t="n">
        <v>0</v>
      </c>
      <c r="O1076" s="18" t="n"/>
      <c r="P1076" s="22">
        <f>IF(O1076="",(About!$B$5*M1076+About!$B$6*N1076)/(About!$B$5+About!$B$6),About!$B$5*M1076+About!$B$6*N1076+About!$B$7*O1076)</f>
        <v/>
      </c>
      <c r="Q1076" s="23" t="n">
        <v>-13.8333</v>
      </c>
      <c r="R1076" s="23" t="n">
        <v>-171.7667</v>
      </c>
    </row>
    <row r="1077" ht="15" customHeight="1" s="12">
      <c r="A1077" s="18" t="inlineStr">
        <is>
          <t>Gibraltar</t>
        </is>
      </c>
      <c r="B1077" s="18" t="inlineStr">
        <is>
          <t>Gibraltar</t>
        </is>
      </c>
      <c r="C1077" s="19" t="n">
        <v>38196</v>
      </c>
      <c r="D1077" s="18" t="inlineStr">
        <is>
          <t>GI</t>
        </is>
      </c>
      <c r="E1077" s="18" t="inlineStr">
        <is>
          <t>00</t>
        </is>
      </c>
      <c r="F1077" s="20" t="n">
        <v>26544</v>
      </c>
      <c r="G1077" s="18" t="inlineStr">
        <is>
          <t>Yes</t>
        </is>
      </c>
      <c r="H1077" s="18" t="inlineStr">
        <is>
          <t>GIB</t>
        </is>
      </c>
      <c r="I1077" s="18" t="inlineStr">
        <is>
          <t>Gibraltar Airport</t>
        </is>
      </c>
      <c r="J1077" s="21" t="n">
        <v>0.8</v>
      </c>
      <c r="K1077" s="18" t="inlineStr">
        <is>
          <t>GIB</t>
        </is>
      </c>
      <c r="L1077" s="18" t="inlineStr">
        <is>
          <t>capital + airport</t>
        </is>
      </c>
      <c r="M1077" s="22" t="n">
        <v>0.476</v>
      </c>
      <c r="N1077" s="22" t="n">
        <v>0</v>
      </c>
      <c r="O1077" s="18" t="n"/>
      <c r="P1077" s="22">
        <f>IF(O1077="",(About!$B$5*M1077+About!$B$6*N1077)/(About!$B$5+About!$B$6),About!$B$5*M1077+About!$B$6*N1077+About!$B$7*O1077)</f>
        <v/>
      </c>
      <c r="Q1077" s="23" t="n">
        <v>36.1447</v>
      </c>
      <c r="R1077" s="23" t="n">
        <v>-5.3526</v>
      </c>
    </row>
    <row r="1078" ht="15" customHeight="1" s="12">
      <c r="A1078" s="18" t="inlineStr">
        <is>
          <t>Flying Fish Cove</t>
        </is>
      </c>
      <c r="B1078" s="18" t="inlineStr">
        <is>
          <t>Christmas Island</t>
        </is>
      </c>
      <c r="C1078" s="19" t="n">
        <v>1692</v>
      </c>
      <c r="D1078" s="18" t="inlineStr">
        <is>
          <t>CX</t>
        </is>
      </c>
      <c r="E1078" s="18" t="inlineStr">
        <is>
          <t>00</t>
        </is>
      </c>
      <c r="F1078" s="20" t="n">
        <v>500</v>
      </c>
      <c r="G1078" s="18" t="inlineStr">
        <is>
          <t>Yes</t>
        </is>
      </c>
      <c r="H1078" s="18" t="inlineStr">
        <is>
          <t>XCH</t>
        </is>
      </c>
      <c r="I1078" s="18" t="inlineStr">
        <is>
          <t>Christmas Island International Airport</t>
        </is>
      </c>
      <c r="J1078" s="21" t="n">
        <v>3.4</v>
      </c>
      <c r="K1078" s="18" t="inlineStr">
        <is>
          <t>XCH</t>
        </is>
      </c>
      <c r="L1078" s="18" t="inlineStr">
        <is>
          <t>capital</t>
        </is>
      </c>
      <c r="M1078" s="22" t="n">
        <v>0.476</v>
      </c>
      <c r="N1078" s="22" t="n">
        <v>0</v>
      </c>
      <c r="O1078" s="18" t="n"/>
      <c r="P1078" s="22">
        <f>IF(O1078="",(About!$B$5*M1078+About!$B$6*N1078)/(About!$B$5+About!$B$6),About!$B$5*M1078+About!$B$6*N1078+About!$B$7*O1078)</f>
        <v/>
      </c>
      <c r="Q1078" s="23" t="n">
        <v>-10.4217</v>
      </c>
      <c r="R1078" s="23" t="n">
        <v>105.6791</v>
      </c>
    </row>
    <row r="1079" ht="15" customHeight="1" s="12">
      <c r="A1079" s="18" t="inlineStr">
        <is>
          <t>Ngerulmud</t>
        </is>
      </c>
      <c r="B1079" s="18" t="inlineStr">
        <is>
          <t>Palau</t>
        </is>
      </c>
      <c r="C1079" s="19" t="n">
        <v>16733</v>
      </c>
      <c r="D1079" s="18" t="inlineStr">
        <is>
          <t>PW</t>
        </is>
      </c>
      <c r="E1079" s="18" t="inlineStr">
        <is>
          <t>07</t>
        </is>
      </c>
      <c r="F1079" s="20" t="n">
        <v>0</v>
      </c>
      <c r="G1079" s="18" t="inlineStr">
        <is>
          <t>Yes</t>
        </is>
      </c>
      <c r="H1079" s="18" t="inlineStr">
        <is>
          <t>ROR</t>
        </is>
      </c>
      <c r="I1079" s="18" t="inlineStr">
        <is>
          <t>Roman Tmetuchl International Airport</t>
        </is>
      </c>
      <c r="J1079" s="21" t="n">
        <v>17.3</v>
      </c>
      <c r="K1079" s="18" t="inlineStr">
        <is>
          <t>ROR</t>
        </is>
      </c>
      <c r="L1079" s="18" t="inlineStr">
        <is>
          <t>capital</t>
        </is>
      </c>
      <c r="M1079" s="22" t="n">
        <v>0.476</v>
      </c>
      <c r="N1079" s="22" t="n">
        <v>0</v>
      </c>
      <c r="O1079" s="18" t="n"/>
      <c r="P1079" s="22">
        <f>IF(O1079="",(About!$B$5*M1079+About!$B$6*N1079)/(About!$B$5+About!$B$6),About!$B$5*M1079+About!$B$6*N1079+About!$B$7*O1079)</f>
        <v/>
      </c>
      <c r="Q1079" s="23" t="n">
        <v>7.5008</v>
      </c>
      <c r="R1079" s="23" t="n">
        <v>134.6238</v>
      </c>
    </row>
    <row r="1080" ht="15" customHeight="1" s="12">
      <c r="A1080" s="18" t="inlineStr">
        <is>
          <t>Sincelejo</t>
        </is>
      </c>
      <c r="B1080" s="18" t="inlineStr">
        <is>
          <t>Colombia</t>
        </is>
      </c>
      <c r="C1080" s="19" t="n">
        <v>53057212</v>
      </c>
      <c r="D1080" s="18" t="inlineStr">
        <is>
          <t>CO</t>
        </is>
      </c>
      <c r="E1080" s="18" t="inlineStr">
        <is>
          <t>27</t>
        </is>
      </c>
      <c r="F1080" s="20" t="n">
        <v>261187</v>
      </c>
      <c r="G1080" s="18" t="n"/>
      <c r="H1080" s="18" t="inlineStr">
        <is>
          <t>CZU</t>
        </is>
      </c>
      <c r="I1080" s="18" t="inlineStr">
        <is>
          <t>Las Brujas Airport</t>
        </is>
      </c>
      <c r="J1080" s="21" t="n">
        <v>12.7</v>
      </c>
      <c r="K1080" s="18" t="inlineStr">
        <is>
          <t>CZU</t>
        </is>
      </c>
      <c r="L1080" s="18" t="inlineStr">
        <is>
          <t>100k +  pop</t>
        </is>
      </c>
      <c r="M1080" s="22" t="n">
        <v>0.475</v>
      </c>
      <c r="N1080" s="22" t="n">
        <v>0</v>
      </c>
      <c r="O1080" s="18" t="n"/>
      <c r="P1080" s="22">
        <f>IF(O1080="",(About!$B$5*M1080+About!$B$6*N1080)/(About!$B$5+About!$B$6),About!$B$5*M1080+About!$B$6*N1080+About!$B$7*O1080)</f>
        <v/>
      </c>
      <c r="Q1080" s="23" t="n">
        <v>9.3047</v>
      </c>
      <c r="R1080" s="23" t="n">
        <v>-75.3978</v>
      </c>
    </row>
    <row r="1081" ht="15" customHeight="1" s="12">
      <c r="A1081" s="18" t="inlineStr">
        <is>
          <t>Laayoune</t>
        </is>
      </c>
      <c r="B1081" s="18" t="inlineStr">
        <is>
          <t>Western Sahara</t>
        </is>
      </c>
      <c r="C1081" s="19" t="n">
        <v>600904</v>
      </c>
      <c r="D1081" s="18" t="inlineStr">
        <is>
          <t>EH</t>
        </is>
      </c>
      <c r="E1081" s="18" t="n"/>
      <c r="F1081" s="20" t="n">
        <v>196331</v>
      </c>
      <c r="G1081" s="18" t="n"/>
      <c r="H1081" s="18" t="inlineStr">
        <is>
          <t>EUN</t>
        </is>
      </c>
      <c r="I1081" s="18" t="inlineStr">
        <is>
          <t>Laayoune Hassan I International Airport</t>
        </is>
      </c>
      <c r="J1081" s="21" t="n">
        <v>3.7</v>
      </c>
      <c r="K1081" s="18" t="inlineStr">
        <is>
          <t>EUN</t>
        </is>
      </c>
      <c r="L1081" s="18" t="inlineStr">
        <is>
          <t>100k +  pop + airport</t>
        </is>
      </c>
      <c r="M1081" s="22" t="n">
        <v>0.475</v>
      </c>
      <c r="N1081" s="22" t="n">
        <v>0</v>
      </c>
      <c r="O1081" s="18" t="n"/>
      <c r="P1081" s="22">
        <f>IF(O1081="",(About!$B$5*M1081+About!$B$6*N1081)/(About!$B$5+About!$B$6),About!$B$5*M1081+About!$B$6*N1081+About!$B$7*O1081)</f>
        <v/>
      </c>
      <c r="Q1081" s="23" t="n">
        <v>27.1418</v>
      </c>
      <c r="R1081" s="23" t="n">
        <v>-13.188</v>
      </c>
    </row>
    <row r="1082" ht="15" customHeight="1" s="12">
      <c r="A1082" s="18" t="inlineStr">
        <is>
          <t>Dili</t>
        </is>
      </c>
      <c r="B1082" s="18" t="inlineStr">
        <is>
          <t>Timor-Leste</t>
        </is>
      </c>
      <c r="C1082" s="19" t="n">
        <v>1391221</v>
      </c>
      <c r="D1082" s="18" t="inlineStr">
        <is>
          <t>TL</t>
        </is>
      </c>
      <c r="E1082" s="18" t="inlineStr">
        <is>
          <t>DI</t>
        </is>
      </c>
      <c r="F1082" s="20" t="n">
        <v>150000</v>
      </c>
      <c r="G1082" s="18" t="inlineStr">
        <is>
          <t>Yes</t>
        </is>
      </c>
      <c r="H1082" s="18" t="inlineStr">
        <is>
          <t>DIL</t>
        </is>
      </c>
      <c r="I1082" s="18" t="inlineStr">
        <is>
          <t>Presidente Nicolau Lobato International Airport</t>
        </is>
      </c>
      <c r="J1082" s="21" t="n">
        <v>5.6</v>
      </c>
      <c r="K1082" s="18" t="inlineStr">
        <is>
          <t>DIL</t>
        </is>
      </c>
      <c r="L1082" s="18" t="inlineStr">
        <is>
          <t>100k +  pop + capital + airport</t>
        </is>
      </c>
      <c r="M1082" s="22" t="n">
        <v>0.474</v>
      </c>
      <c r="N1082" s="22" t="n">
        <v>0</v>
      </c>
      <c r="O1082" s="18" t="n"/>
      <c r="P1082" s="22">
        <f>IF(O1082="",(About!$B$5*M1082+About!$B$6*N1082)/(About!$B$5+About!$B$6),About!$B$5*M1082+About!$B$6*N1082+About!$B$7*O1082)</f>
        <v/>
      </c>
      <c r="Q1082" s="23" t="n">
        <v>-8.5586</v>
      </c>
      <c r="R1082" s="23" t="n">
        <v>125.5736</v>
      </c>
    </row>
    <row r="1083" ht="15" customHeight="1" s="12">
      <c r="A1083" s="18" t="inlineStr">
        <is>
          <t>West Island</t>
        </is>
      </c>
      <c r="B1083" s="18" t="inlineStr">
        <is>
          <t>Cocos (Keeling) Islands</t>
        </is>
      </c>
      <c r="C1083" s="19" t="n">
        <v>593</v>
      </c>
      <c r="D1083" s="18" t="inlineStr">
        <is>
          <t>CC</t>
        </is>
      </c>
      <c r="E1083" s="18" t="n"/>
      <c r="F1083" s="20" t="n">
        <v>120</v>
      </c>
      <c r="G1083" s="18" t="inlineStr">
        <is>
          <t>Yes</t>
        </is>
      </c>
      <c r="H1083" s="18" t="inlineStr">
        <is>
          <t>CCK</t>
        </is>
      </c>
      <c r="I1083" s="18" t="inlineStr">
        <is>
          <t>Cocos (Keeling) Islands Airport</t>
        </is>
      </c>
      <c r="J1083" s="21" t="n">
        <v>4.1</v>
      </c>
      <c r="K1083" s="18" t="inlineStr">
        <is>
          <t>CCK</t>
        </is>
      </c>
      <c r="L1083" s="18" t="inlineStr">
        <is>
          <t>capital</t>
        </is>
      </c>
      <c r="M1083" s="22" t="n">
        <v>0.473</v>
      </c>
      <c r="N1083" s="22" t="n">
        <v>0</v>
      </c>
      <c r="O1083" s="18" t="n"/>
      <c r="P1083" s="22">
        <f>IF(O1083="",(About!$B$5*M1083+About!$B$6*N1083)/(About!$B$5+About!$B$6),About!$B$5*M1083+About!$B$6*N1083+About!$B$7*O1083)</f>
        <v/>
      </c>
      <c r="Q1083" s="23" t="n">
        <v>-12.1568</v>
      </c>
      <c r="R1083" s="23" t="n">
        <v>96.82250000000001</v>
      </c>
    </row>
    <row r="1084" ht="15" customHeight="1" s="12">
      <c r="A1084" s="18" t="inlineStr">
        <is>
          <t>Mbeya</t>
        </is>
      </c>
      <c r="B1084" s="18" t="inlineStr">
        <is>
          <t>Tanzania</t>
        </is>
      </c>
      <c r="C1084" s="19" t="n">
        <v>68153004</v>
      </c>
      <c r="D1084" s="18" t="inlineStr">
        <is>
          <t>TZ</t>
        </is>
      </c>
      <c r="E1084" s="18" t="inlineStr">
        <is>
          <t>09</t>
        </is>
      </c>
      <c r="F1084" s="20" t="n">
        <v>291649</v>
      </c>
      <c r="G1084" s="18" t="n"/>
      <c r="H1084" s="18" t="inlineStr">
        <is>
          <t>MBI</t>
        </is>
      </c>
      <c r="I1084" s="18" t="inlineStr">
        <is>
          <t>Songwe Airport</t>
        </is>
      </c>
      <c r="J1084" s="21" t="n">
        <v>19.5</v>
      </c>
      <c r="K1084" s="18" t="inlineStr">
        <is>
          <t>MBI</t>
        </is>
      </c>
      <c r="L1084" s="18" t="inlineStr">
        <is>
          <t>100k +  pop + airport</t>
        </is>
      </c>
      <c r="M1084" s="22" t="n">
        <v>0.472</v>
      </c>
      <c r="N1084" s="22" t="n">
        <v>0</v>
      </c>
      <c r="O1084" s="18" t="n"/>
      <c r="P1084" s="22">
        <f>IF(O1084="",(About!$B$5*M1084+About!$B$6*N1084)/(About!$B$5+About!$B$6),About!$B$5*M1084+About!$B$6*N1084+About!$B$7*O1084)</f>
        <v/>
      </c>
      <c r="Q1084" s="23" t="n">
        <v>-8.9</v>
      </c>
      <c r="R1084" s="23" t="n">
        <v>33.45</v>
      </c>
    </row>
    <row r="1085" ht="15" customHeight="1" s="12">
      <c r="A1085" s="18" t="inlineStr">
        <is>
          <t>Košice</t>
        </is>
      </c>
      <c r="B1085" s="18" t="inlineStr">
        <is>
          <t>Slovakia</t>
        </is>
      </c>
      <c r="C1085" s="19" t="n">
        <v>5405368</v>
      </c>
      <c r="D1085" s="18" t="inlineStr">
        <is>
          <t>SK</t>
        </is>
      </c>
      <c r="E1085" s="18" t="inlineStr">
        <is>
          <t>03</t>
        </is>
      </c>
      <c r="F1085" s="20" t="n">
        <v>236563</v>
      </c>
      <c r="G1085" s="18" t="n"/>
      <c r="H1085" s="18" t="inlineStr">
        <is>
          <t>KSC</t>
        </is>
      </c>
      <c r="I1085" s="18" t="inlineStr">
        <is>
          <t>Košice International Airport</t>
        </is>
      </c>
      <c r="J1085" s="21" t="n">
        <v>5.8</v>
      </c>
      <c r="K1085" s="18" t="inlineStr">
        <is>
          <t>KSC</t>
        </is>
      </c>
      <c r="L1085" s="18" t="inlineStr">
        <is>
          <t>100k +  pop + airport</t>
        </is>
      </c>
      <c r="M1085" s="22" t="n">
        <v>0.472</v>
      </c>
      <c r="N1085" s="22" t="n">
        <v>0</v>
      </c>
      <c r="O1085" s="18" t="n"/>
      <c r="P1085" s="22">
        <f>IF(O1085="",(About!$B$5*M1085+About!$B$6*N1085)/(About!$B$5+About!$B$6),About!$B$5*M1085+About!$B$6*N1085+About!$B$7*O1085)</f>
        <v/>
      </c>
      <c r="Q1085" s="23" t="n">
        <v>48.7139</v>
      </c>
      <c r="R1085" s="23" t="n">
        <v>21.2581</v>
      </c>
    </row>
    <row r="1086" ht="15" customHeight="1" s="12">
      <c r="A1086" s="18" t="inlineStr">
        <is>
          <t>Sohag</t>
        </is>
      </c>
      <c r="B1086" s="18" t="inlineStr">
        <is>
          <t>Egypt</t>
        </is>
      </c>
      <c r="C1086" s="19" t="n">
        <v>108613296</v>
      </c>
      <c r="D1086" s="18" t="inlineStr">
        <is>
          <t>EG</t>
        </is>
      </c>
      <c r="E1086" s="18" t="inlineStr">
        <is>
          <t>24</t>
        </is>
      </c>
      <c r="F1086" s="20" t="n">
        <v>209419</v>
      </c>
      <c r="G1086" s="18" t="n"/>
      <c r="H1086" s="18" t="inlineStr">
        <is>
          <t>HMB</t>
        </is>
      </c>
      <c r="I1086" s="18" t="inlineStr">
        <is>
          <t>Suhaj International Airport</t>
        </is>
      </c>
      <c r="J1086" s="21" t="n">
        <v>24.3</v>
      </c>
      <c r="K1086" s="18" t="inlineStr">
        <is>
          <t>HMB</t>
        </is>
      </c>
      <c r="L1086" s="18" t="inlineStr">
        <is>
          <t>100k +  pop</t>
        </is>
      </c>
      <c r="M1086" s="22" t="n">
        <v>0.472</v>
      </c>
      <c r="N1086" s="22" t="n">
        <v>0</v>
      </c>
      <c r="O1086" s="18" t="n"/>
      <c r="P1086" s="22">
        <f>IF(O1086="",(About!$B$5*M1086+About!$B$6*N1086)/(About!$B$5+About!$B$6),About!$B$5*M1086+About!$B$6*N1086+About!$B$7*O1086)</f>
        <v/>
      </c>
      <c r="Q1086" s="23" t="n">
        <v>26.557</v>
      </c>
      <c r="R1086" s="23" t="n">
        <v>31.6948</v>
      </c>
    </row>
    <row r="1087" ht="15" customHeight="1" s="12">
      <c r="A1087" s="18" t="inlineStr">
        <is>
          <t>Pagadian</t>
        </is>
      </c>
      <c r="B1087" s="18" t="inlineStr">
        <is>
          <t>Philippines</t>
        </is>
      </c>
      <c r="C1087" s="19" t="n">
        <v>114123600</v>
      </c>
      <c r="D1087" s="18" t="inlineStr">
        <is>
          <t>PH</t>
        </is>
      </c>
      <c r="E1087" s="18" t="inlineStr">
        <is>
          <t>09</t>
        </is>
      </c>
      <c r="F1087" s="20" t="n">
        <v>186852</v>
      </c>
      <c r="G1087" s="18" t="n"/>
      <c r="H1087" s="18" t="inlineStr">
        <is>
          <t>PAG</t>
        </is>
      </c>
      <c r="I1087" s="18" t="inlineStr">
        <is>
          <t>Pagadian Airport</t>
        </is>
      </c>
      <c r="J1087" s="21" t="n">
        <v>2.5</v>
      </c>
      <c r="K1087" s="18" t="inlineStr">
        <is>
          <t>PAG</t>
        </is>
      </c>
      <c r="L1087" s="18" t="inlineStr">
        <is>
          <t>100k +  pop + airport</t>
        </is>
      </c>
      <c r="M1087" s="22" t="n">
        <v>0.473</v>
      </c>
      <c r="N1087" s="22" t="n">
        <v>0</v>
      </c>
      <c r="O1087" s="18" t="n"/>
      <c r="P1087" s="22">
        <f>IF(O1087="",(About!$B$5*M1087+About!$B$6*N1087)/(About!$B$5+About!$B$6),About!$B$5*M1087+About!$B$6*N1087+About!$B$7*O1087)</f>
        <v/>
      </c>
      <c r="Q1087" s="23" t="n">
        <v>7.8257</v>
      </c>
      <c r="R1087" s="23" t="n">
        <v>123.437</v>
      </c>
    </row>
    <row r="1088" ht="15" customHeight="1" s="12">
      <c r="A1088" s="18" t="inlineStr">
        <is>
          <t>Donostia / San Sebastián</t>
        </is>
      </c>
      <c r="B1088" s="18" t="inlineStr">
        <is>
          <t>Spain</t>
        </is>
      </c>
      <c r="C1088" s="19" t="n">
        <v>49687120</v>
      </c>
      <c r="D1088" s="18" t="inlineStr">
        <is>
          <t>ES</t>
        </is>
      </c>
      <c r="E1088" s="18" t="inlineStr">
        <is>
          <t>59</t>
        </is>
      </c>
      <c r="F1088" s="20" t="n">
        <v>185357</v>
      </c>
      <c r="G1088" s="18" t="n"/>
      <c r="H1088" s="18" t="inlineStr">
        <is>
          <t>EAS</t>
        </is>
      </c>
      <c r="I1088" s="18" t="inlineStr">
        <is>
          <t>San Sebastián Airport</t>
        </is>
      </c>
      <c r="J1088" s="21" t="n">
        <v>15.7</v>
      </c>
      <c r="K1088" s="18" t="inlineStr">
        <is>
          <t>EAS</t>
        </is>
      </c>
      <c r="L1088" s="18" t="inlineStr">
        <is>
          <t>100k +  pop</t>
        </is>
      </c>
      <c r="M1088" s="22" t="n">
        <v>0.473</v>
      </c>
      <c r="N1088" s="22" t="n">
        <v>0</v>
      </c>
      <c r="O1088" s="18" t="n"/>
      <c r="P1088" s="22">
        <f>IF(O1088="",(About!$B$5*M1088+About!$B$6*N1088)/(About!$B$5+About!$B$6),About!$B$5*M1088+About!$B$6*N1088+About!$B$7*O1088)</f>
        <v/>
      </c>
      <c r="Q1088" s="23" t="n">
        <v>43.3128</v>
      </c>
      <c r="R1088" s="23" t="n">
        <v>-1.975</v>
      </c>
    </row>
    <row r="1089" ht="15" customHeight="1" s="12">
      <c r="A1089" s="18" t="inlineStr">
        <is>
          <t>Nîmes</t>
        </is>
      </c>
      <c r="B1089" s="18" t="inlineStr">
        <is>
          <t>France</t>
        </is>
      </c>
      <c r="C1089" s="19" t="n">
        <v>69081996</v>
      </c>
      <c r="D1089" s="18" t="inlineStr">
        <is>
          <t>FR</t>
        </is>
      </c>
      <c r="E1089" s="18" t="inlineStr">
        <is>
          <t>76</t>
        </is>
      </c>
      <c r="F1089" s="20" t="n">
        <v>148236</v>
      </c>
      <c r="G1089" s="18" t="n"/>
      <c r="H1089" s="18" t="inlineStr">
        <is>
          <t>FNI</t>
        </is>
      </c>
      <c r="I1089" s="18" t="inlineStr">
        <is>
          <t>Nîmes-Arles-Camargue Airport</t>
        </is>
      </c>
      <c r="J1089" s="21" t="n">
        <v>9.6</v>
      </c>
      <c r="K1089" s="18" t="inlineStr">
        <is>
          <t>FNI</t>
        </is>
      </c>
      <c r="L1089" s="18" t="inlineStr">
        <is>
          <t>100k +  pop + airport</t>
        </is>
      </c>
      <c r="M1089" s="22" t="n">
        <v>0.472</v>
      </c>
      <c r="N1089" s="22" t="n">
        <v>0</v>
      </c>
      <c r="O1089" s="18" t="n"/>
      <c r="P1089" s="22">
        <f>IF(O1089="",(About!$B$5*M1089+About!$B$6*N1089)/(About!$B$5+About!$B$6),About!$B$5*M1089+About!$B$6*N1089+About!$B$7*O1089)</f>
        <v/>
      </c>
      <c r="Q1089" s="23" t="n">
        <v>43.8338</v>
      </c>
      <c r="R1089" s="23" t="n">
        <v>4.3596</v>
      </c>
    </row>
    <row r="1090" ht="15" customHeight="1" s="12">
      <c r="A1090" s="18" t="inlineStr">
        <is>
          <t>Muricay</t>
        </is>
      </c>
      <c r="B1090" s="18" t="inlineStr">
        <is>
          <t>Philippines</t>
        </is>
      </c>
      <c r="C1090" s="19" t="n">
        <v>114123600</v>
      </c>
      <c r="D1090" s="18" t="inlineStr">
        <is>
          <t>PH</t>
        </is>
      </c>
      <c r="E1090" s="18" t="inlineStr">
        <is>
          <t>09</t>
        </is>
      </c>
      <c r="F1090" s="20" t="n">
        <v>132094</v>
      </c>
      <c r="G1090" s="18" t="n"/>
      <c r="H1090" s="18" t="inlineStr">
        <is>
          <t>PAG</t>
        </is>
      </c>
      <c r="I1090" s="18" t="inlineStr">
        <is>
          <t>Pagadian Airport</t>
        </is>
      </c>
      <c r="J1090" s="21" t="n">
        <v>2.1</v>
      </c>
      <c r="K1090" s="18" t="inlineStr">
        <is>
          <t>PAG</t>
        </is>
      </c>
      <c r="L1090" s="18" t="inlineStr">
        <is>
          <t>100k +  pop + airport</t>
        </is>
      </c>
      <c r="M1090" s="22" t="n">
        <v>0.473</v>
      </c>
      <c r="N1090" s="22" t="n">
        <v>0</v>
      </c>
      <c r="O1090" s="18" t="n"/>
      <c r="P1090" s="22">
        <f>IF(O1090="",(About!$B$5*M1090+About!$B$6*N1090)/(About!$B$5+About!$B$6),About!$B$5*M1090+About!$B$6*N1090+About!$B$7*O1090)</f>
        <v/>
      </c>
      <c r="Q1090" s="23" t="n">
        <v>7.8275</v>
      </c>
      <c r="R1090" s="23" t="n">
        <v>123.4782</v>
      </c>
    </row>
    <row r="1091" ht="15" customHeight="1" s="12">
      <c r="A1091" s="18" t="inlineStr">
        <is>
          <t>Jirjā</t>
        </is>
      </c>
      <c r="B1091" s="18" t="inlineStr">
        <is>
          <t>Egypt</t>
        </is>
      </c>
      <c r="C1091" s="19" t="n">
        <v>108613296</v>
      </c>
      <c r="D1091" s="18" t="inlineStr">
        <is>
          <t>EG</t>
        </is>
      </c>
      <c r="E1091" s="18" t="inlineStr">
        <is>
          <t>24</t>
        </is>
      </c>
      <c r="F1091" s="20" t="n">
        <v>128250</v>
      </c>
      <c r="G1091" s="18" t="n"/>
      <c r="H1091" s="18" t="inlineStr">
        <is>
          <t>HMB</t>
        </is>
      </c>
      <c r="I1091" s="18" t="inlineStr">
        <is>
          <t>Suhaj International Airport</t>
        </is>
      </c>
      <c r="J1091" s="21" t="n">
        <v>14.8</v>
      </c>
      <c r="K1091" s="18" t="inlineStr">
        <is>
          <t>HMB</t>
        </is>
      </c>
      <c r="L1091" s="18" t="inlineStr">
        <is>
          <t>100k +  pop</t>
        </is>
      </c>
      <c r="M1091" s="22" t="n">
        <v>0.472</v>
      </c>
      <c r="N1091" s="22" t="n">
        <v>0</v>
      </c>
      <c r="O1091" s="18" t="n"/>
      <c r="P1091" s="22">
        <f>IF(O1091="",(About!$B$5*M1091+About!$B$6*N1091)/(About!$B$5+About!$B$6),About!$B$5*M1091+About!$B$6*N1091+About!$B$7*O1091)</f>
        <v/>
      </c>
      <c r="Q1091" s="23" t="n">
        <v>26.3383</v>
      </c>
      <c r="R1091" s="23" t="n">
        <v>31.8916</v>
      </c>
    </row>
    <row r="1092" ht="15" customHeight="1" s="12">
      <c r="A1092" s="18" t="inlineStr">
        <is>
          <t>Santa Rosa</t>
        </is>
      </c>
      <c r="B1092" s="18" t="inlineStr">
        <is>
          <t>Argentina</t>
        </is>
      </c>
      <c r="C1092" s="19" t="n">
        <v>46387098</v>
      </c>
      <c r="D1092" s="18" t="inlineStr">
        <is>
          <t>AR</t>
        </is>
      </c>
      <c r="E1092" s="18" t="inlineStr">
        <is>
          <t>11</t>
        </is>
      </c>
      <c r="F1092" s="20" t="n">
        <v>111424</v>
      </c>
      <c r="G1092" s="18" t="n"/>
      <c r="H1092" s="18" t="inlineStr">
        <is>
          <t>RSA</t>
        </is>
      </c>
      <c r="I1092" s="18" t="inlineStr">
        <is>
          <t>Santa Rosa Airport</t>
        </is>
      </c>
      <c r="J1092" s="21" t="n">
        <v>3.2</v>
      </c>
      <c r="K1092" s="18" t="inlineStr">
        <is>
          <t>RSA</t>
        </is>
      </c>
      <c r="L1092" s="18" t="inlineStr">
        <is>
          <t>100k +  pop + airport</t>
        </is>
      </c>
      <c r="M1092" s="22" t="n">
        <v>0.472</v>
      </c>
      <c r="N1092" s="22" t="n">
        <v>0</v>
      </c>
      <c r="O1092" s="18" t="n"/>
      <c r="P1092" s="22">
        <f>IF(O1092="",(About!$B$5*M1092+About!$B$6*N1092)/(About!$B$5+About!$B$6),About!$B$5*M1092+About!$B$6*N1092+About!$B$7*O1092)</f>
        <v/>
      </c>
      <c r="Q1092" s="23" t="n">
        <v>-36.6167</v>
      </c>
      <c r="R1092" s="23" t="n">
        <v>-64.2833</v>
      </c>
    </row>
    <row r="1093" ht="15" customHeight="1" s="12">
      <c r="A1093" s="18" t="inlineStr">
        <is>
          <t>Phitsanulok</t>
        </is>
      </c>
      <c r="B1093" s="18" t="inlineStr">
        <is>
          <t>Thailand</t>
        </is>
      </c>
      <c r="C1093" s="19" t="n">
        <v>65826149</v>
      </c>
      <c r="D1093" s="18" t="inlineStr">
        <is>
          <t>TH</t>
        </is>
      </c>
      <c r="E1093" s="18" t="inlineStr">
        <is>
          <t>12</t>
        </is>
      </c>
      <c r="F1093" s="20" t="n">
        <v>103427</v>
      </c>
      <c r="G1093" s="18" t="n"/>
      <c r="H1093" s="18" t="inlineStr">
        <is>
          <t>PHS</t>
        </is>
      </c>
      <c r="I1093" s="18" t="inlineStr">
        <is>
          <t>Phitsanulok Airport</t>
        </is>
      </c>
      <c r="J1093" s="21" t="n">
        <v>5.1</v>
      </c>
      <c r="K1093" s="18" t="inlineStr">
        <is>
          <t>PHS</t>
        </is>
      </c>
      <c r="L1093" s="18" t="inlineStr">
        <is>
          <t>100k +  pop + airport</t>
        </is>
      </c>
      <c r="M1093" s="22" t="n">
        <v>0.471</v>
      </c>
      <c r="N1093" s="22" t="n">
        <v>0</v>
      </c>
      <c r="O1093" s="18" t="n"/>
      <c r="P1093" s="22">
        <f>IF(O1093="",(About!$B$5*M1093+About!$B$6*N1093)/(About!$B$5+About!$B$6),About!$B$5*M1093+About!$B$6*N1093+About!$B$7*O1093)</f>
        <v/>
      </c>
      <c r="Q1093" s="23" t="n">
        <v>16.8248</v>
      </c>
      <c r="R1093" s="23" t="n">
        <v>100.2586</v>
      </c>
    </row>
    <row r="1094" ht="15" customHeight="1" s="12">
      <c r="A1094" s="18" t="inlineStr">
        <is>
          <t>Inhambane</t>
        </is>
      </c>
      <c r="B1094" s="18" t="inlineStr">
        <is>
          <t>Mozambique</t>
        </is>
      </c>
      <c r="C1094" s="19" t="n">
        <v>34090466</v>
      </c>
      <c r="D1094" s="18" t="inlineStr">
        <is>
          <t>MZ</t>
        </is>
      </c>
      <c r="E1094" s="18" t="inlineStr">
        <is>
          <t>03</t>
        </is>
      </c>
      <c r="F1094" s="20" t="n">
        <v>73884</v>
      </c>
      <c r="G1094" s="18" t="n"/>
      <c r="H1094" s="18" t="inlineStr">
        <is>
          <t>INH</t>
        </is>
      </c>
      <c r="I1094" s="18" t="inlineStr">
        <is>
          <t>Inhambane Airport</t>
        </is>
      </c>
      <c r="J1094" s="21" t="n">
        <v>2.9</v>
      </c>
      <c r="K1094" s="18" t="inlineStr">
        <is>
          <t>INH</t>
        </is>
      </c>
      <c r="L1094" s="18" t="inlineStr">
        <is>
          <t>airport</t>
        </is>
      </c>
      <c r="M1094" s="22" t="n">
        <v>0.473</v>
      </c>
      <c r="N1094" s="22" t="n">
        <v>0</v>
      </c>
      <c r="O1094" s="18" t="n"/>
      <c r="P1094" s="22">
        <f>IF(O1094="",(About!$B$5*M1094+About!$B$6*N1094)/(About!$B$5+About!$B$6),About!$B$5*M1094+About!$B$6*N1094+About!$B$7*O1094)</f>
        <v/>
      </c>
      <c r="Q1094" s="23" t="n">
        <v>-23.865</v>
      </c>
      <c r="R1094" s="23" t="n">
        <v>35.3833</v>
      </c>
    </row>
    <row r="1095" ht="15" customHeight="1" s="12">
      <c r="A1095" s="18" t="inlineStr">
        <is>
          <t>Santo Domingo Oeste</t>
        </is>
      </c>
      <c r="B1095" s="18" t="inlineStr">
        <is>
          <t>Dominican Republic</t>
        </is>
      </c>
      <c r="C1095" s="19" t="n">
        <v>10771504</v>
      </c>
      <c r="D1095" s="18" t="inlineStr">
        <is>
          <t>DO</t>
        </is>
      </c>
      <c r="E1095" s="18" t="inlineStr">
        <is>
          <t>37</t>
        </is>
      </c>
      <c r="F1095" s="20" t="n">
        <v>701269</v>
      </c>
      <c r="G1095" s="18" t="n"/>
      <c r="H1095" s="18" t="inlineStr">
        <is>
          <t>JBQ</t>
        </is>
      </c>
      <c r="I1095" s="18" t="inlineStr">
        <is>
          <t>La Isabela International Airport</t>
        </is>
      </c>
      <c r="J1095" s="21" t="n">
        <v>8.199999999999999</v>
      </c>
      <c r="K1095" s="18" t="inlineStr">
        <is>
          <t>JBQ</t>
        </is>
      </c>
      <c r="L1095" s="18" t="inlineStr">
        <is>
          <t>100k +  pop + airport</t>
        </is>
      </c>
      <c r="M1095" s="22" t="n">
        <v>0.469</v>
      </c>
      <c r="N1095" s="22" t="n">
        <v>0</v>
      </c>
      <c r="O1095" s="18" t="n"/>
      <c r="P1095" s="22">
        <f>IF(O1095="",(About!$B$5*M1095+About!$B$6*N1095)/(About!$B$5+About!$B$6),About!$B$5*M1095+About!$B$6*N1095+About!$B$7*O1095)</f>
        <v/>
      </c>
      <c r="Q1095" s="23" t="n">
        <v>18.5</v>
      </c>
      <c r="R1095" s="23" t="n">
        <v>-70</v>
      </c>
    </row>
    <row r="1096" ht="15" customHeight="1" s="12">
      <c r="A1096" s="18" t="inlineStr">
        <is>
          <t>Bulawayo</t>
        </is>
      </c>
      <c r="B1096" s="18" t="inlineStr">
        <is>
          <t>Zimbabwe</t>
        </is>
      </c>
      <c r="C1096" s="19" t="n">
        <v>17073087</v>
      </c>
      <c r="D1096" s="18" t="inlineStr">
        <is>
          <t>ZW</t>
        </is>
      </c>
      <c r="E1096" s="18" t="inlineStr">
        <is>
          <t>09</t>
        </is>
      </c>
      <c r="F1096" s="20" t="n">
        <v>699385</v>
      </c>
      <c r="G1096" s="18" t="n"/>
      <c r="H1096" s="18" t="inlineStr">
        <is>
          <t>BUQ</t>
        </is>
      </c>
      <c r="I1096" s="18" t="inlineStr">
        <is>
          <t>Joshua Mqabuko Nkomo International Airport</t>
        </is>
      </c>
      <c r="J1096" s="21" t="n">
        <v>15.4</v>
      </c>
      <c r="K1096" s="18" t="inlineStr">
        <is>
          <t>BUQ</t>
        </is>
      </c>
      <c r="L1096" s="18" t="inlineStr">
        <is>
          <t>100k +  pop + airport</t>
        </is>
      </c>
      <c r="M1096" s="22" t="n">
        <v>0.471</v>
      </c>
      <c r="N1096" s="22" t="n">
        <v>0</v>
      </c>
      <c r="O1096" s="18" t="n"/>
      <c r="P1096" s="22">
        <f>IF(O1096="",(About!$B$5*M1096+About!$B$6*N1096)/(About!$B$5+About!$B$6),About!$B$5*M1096+About!$B$6*N1096+About!$B$7*O1096)</f>
        <v/>
      </c>
      <c r="Q1096" s="23" t="n">
        <v>-20.15</v>
      </c>
      <c r="R1096" s="23" t="n">
        <v>28.5833</v>
      </c>
    </row>
    <row r="1097" ht="15" customHeight="1" s="12">
      <c r="A1097" s="18" t="inlineStr">
        <is>
          <t>Kaunas</t>
        </is>
      </c>
      <c r="B1097" s="18" t="inlineStr">
        <is>
          <t>Lithuania</t>
        </is>
      </c>
      <c r="C1097" s="19" t="n">
        <v>2884324</v>
      </c>
      <c r="D1097" s="18" t="inlineStr">
        <is>
          <t>LT</t>
        </is>
      </c>
      <c r="E1097" s="18" t="inlineStr">
        <is>
          <t>57</t>
        </is>
      </c>
      <c r="F1097" s="20" t="n">
        <v>374643</v>
      </c>
      <c r="G1097" s="18" t="n"/>
      <c r="H1097" s="18" t="inlineStr">
        <is>
          <t>KUN</t>
        </is>
      </c>
      <c r="I1097" s="18" t="inlineStr">
        <is>
          <t>Kaunas International Airport</t>
        </is>
      </c>
      <c r="J1097" s="21" t="n">
        <v>13.2</v>
      </c>
      <c r="K1097" s="18" t="inlineStr">
        <is>
          <t>KUN</t>
        </is>
      </c>
      <c r="L1097" s="18" t="inlineStr">
        <is>
          <t>100k +  pop + airport</t>
        </is>
      </c>
      <c r="M1097" s="22" t="n">
        <v>0.47</v>
      </c>
      <c r="N1097" s="22" t="n">
        <v>0</v>
      </c>
      <c r="O1097" s="18" t="n"/>
      <c r="P1097" s="22">
        <f>IF(O1097="",(About!$B$5*M1097+About!$B$6*N1097)/(About!$B$5+About!$B$6),About!$B$5*M1097+About!$B$6*N1097+About!$B$7*O1097)</f>
        <v/>
      </c>
      <c r="Q1097" s="23" t="n">
        <v>54.9027</v>
      </c>
      <c r="R1097" s="23" t="n">
        <v>23.9096</v>
      </c>
    </row>
    <row r="1098" ht="15" customHeight="1" s="12">
      <c r="A1098" s="18" t="inlineStr">
        <is>
          <t>Hualien City</t>
        </is>
      </c>
      <c r="B1098" s="18" t="inlineStr">
        <is>
          <t>Taiwan</t>
        </is>
      </c>
      <c r="C1098" s="19" t="n">
        <v>23262544</v>
      </c>
      <c r="D1098" s="18" t="inlineStr">
        <is>
          <t>TW</t>
        </is>
      </c>
      <c r="E1098" s="18" t="inlineStr">
        <is>
          <t>04</t>
        </is>
      </c>
      <c r="F1098" s="20" t="n">
        <v>350468</v>
      </c>
      <c r="G1098" s="18" t="n"/>
      <c r="H1098" s="18" t="inlineStr">
        <is>
          <t>HUN</t>
        </is>
      </c>
      <c r="I1098" s="18" t="inlineStr">
        <is>
          <t>Hualien Chiashan Airport</t>
        </is>
      </c>
      <c r="J1098" s="21" t="n">
        <v>5.3</v>
      </c>
      <c r="K1098" s="18" t="inlineStr">
        <is>
          <t>HUN</t>
        </is>
      </c>
      <c r="L1098" s="18" t="inlineStr">
        <is>
          <t>100k +  pop + airport</t>
        </is>
      </c>
      <c r="M1098" s="22" t="n">
        <v>0.47</v>
      </c>
      <c r="N1098" s="22" t="n">
        <v>0</v>
      </c>
      <c r="O1098" s="18" t="n"/>
      <c r="P1098" s="22">
        <f>IF(O1098="",(About!$B$5*M1098+About!$B$6*N1098)/(About!$B$5+About!$B$6),About!$B$5*M1098+About!$B$6*N1098+About!$B$7*O1098)</f>
        <v/>
      </c>
      <c r="Q1098" s="23" t="n">
        <v>23.9769</v>
      </c>
      <c r="R1098" s="23" t="n">
        <v>121.6044</v>
      </c>
    </row>
    <row r="1099" ht="15" customHeight="1" s="12">
      <c r="A1099" s="18" t="inlineStr">
        <is>
          <t>Khorramabad</t>
        </is>
      </c>
      <c r="B1099" s="18" t="inlineStr">
        <is>
          <t>Iran</t>
        </is>
      </c>
      <c r="C1099" s="19" t="n">
        <v>87134000</v>
      </c>
      <c r="D1099" s="18" t="inlineStr">
        <is>
          <t>IR</t>
        </is>
      </c>
      <c r="E1099" s="18" t="inlineStr">
        <is>
          <t>23</t>
        </is>
      </c>
      <c r="F1099" s="20" t="n">
        <v>329825</v>
      </c>
      <c r="G1099" s="18" t="n"/>
      <c r="H1099" s="18" t="inlineStr">
        <is>
          <t>KHD</t>
        </is>
      </c>
      <c r="I1099" s="18" t="inlineStr">
        <is>
          <t>Khoram Abad Airport</t>
        </is>
      </c>
      <c r="J1099" s="21" t="n">
        <v>8.9</v>
      </c>
      <c r="K1099" s="18" t="inlineStr">
        <is>
          <t>KHD</t>
        </is>
      </c>
      <c r="L1099" s="18" t="inlineStr">
        <is>
          <t>100k +  pop + airport</t>
        </is>
      </c>
      <c r="M1099" s="22" t="n">
        <v>0.469</v>
      </c>
      <c r="N1099" s="22" t="n">
        <v>0</v>
      </c>
      <c r="O1099" s="18" t="n"/>
      <c r="P1099" s="22">
        <f>IF(O1099="",(About!$B$5*M1099+About!$B$6*N1099)/(About!$B$5+About!$B$6),About!$B$5*M1099+About!$B$6*N1099+About!$B$7*O1099)</f>
        <v/>
      </c>
      <c r="Q1099" s="23" t="n">
        <v>33.4878</v>
      </c>
      <c r="R1099" s="23" t="n">
        <v>48.3558</v>
      </c>
    </row>
    <row r="1100" ht="15" customHeight="1" s="12">
      <c r="A1100" s="18" t="inlineStr">
        <is>
          <t>San Salvador de Jujuy</t>
        </is>
      </c>
      <c r="B1100" s="18" t="inlineStr">
        <is>
          <t>Argentina</t>
        </is>
      </c>
      <c r="C1100" s="19" t="n">
        <v>46387098</v>
      </c>
      <c r="D1100" s="18" t="inlineStr">
        <is>
          <t>AR</t>
        </is>
      </c>
      <c r="E1100" s="18" t="inlineStr">
        <is>
          <t>10</t>
        </is>
      </c>
      <c r="F1100" s="20" t="n">
        <v>305891</v>
      </c>
      <c r="G1100" s="18" t="n"/>
      <c r="H1100" s="18" t="inlineStr">
        <is>
          <t>JUJ</t>
        </is>
      </c>
      <c r="I1100" s="18" t="inlineStr">
        <is>
          <t>Gobernador Horacio Guzman International Airport</t>
        </is>
      </c>
      <c r="J1100" s="21" t="n">
        <v>29.9</v>
      </c>
      <c r="K1100" s="18" t="inlineStr">
        <is>
          <t>JUJ</t>
        </is>
      </c>
      <c r="L1100" s="18" t="inlineStr">
        <is>
          <t>100k +  pop + airport</t>
        </is>
      </c>
      <c r="M1100" s="22" t="n">
        <v>0.469</v>
      </c>
      <c r="N1100" s="22" t="n">
        <v>0</v>
      </c>
      <c r="O1100" s="18" t="n"/>
      <c r="P1100" s="22">
        <f>IF(O1100="",(About!$B$5*M1100+About!$B$6*N1100)/(About!$B$5+About!$B$6),About!$B$5*M1100+About!$B$6*N1100+About!$B$7*O1100)</f>
        <v/>
      </c>
      <c r="Q1100" s="23" t="n">
        <v>-24.1946</v>
      </c>
      <c r="R1100" s="23" t="n">
        <v>-65.2971</v>
      </c>
    </row>
    <row r="1101" ht="15" customHeight="1" s="12">
      <c r="A1101" s="18" t="inlineStr">
        <is>
          <t>Türkmenabat</t>
        </is>
      </c>
      <c r="B1101" s="18" t="inlineStr">
        <is>
          <t>Turkmenistan</t>
        </is>
      </c>
      <c r="C1101" s="19" t="n">
        <v>7057841</v>
      </c>
      <c r="D1101" s="18" t="inlineStr">
        <is>
          <t>TM</t>
        </is>
      </c>
      <c r="E1101" s="18" t="inlineStr">
        <is>
          <t>04</t>
        </is>
      </c>
      <c r="F1101" s="20" t="n">
        <v>234817</v>
      </c>
      <c r="G1101" s="18" t="n"/>
      <c r="H1101" s="18" t="inlineStr">
        <is>
          <t>CRZ</t>
        </is>
      </c>
      <c r="I1101" s="18" t="inlineStr">
        <is>
          <t>Türkmenabat International Airport</t>
        </is>
      </c>
      <c r="J1101" s="21" t="n">
        <v>15.9</v>
      </c>
      <c r="K1101" s="18" t="inlineStr">
        <is>
          <t>CRZ</t>
        </is>
      </c>
      <c r="L1101" s="18" t="inlineStr">
        <is>
          <t>100k +  pop + airport</t>
        </is>
      </c>
      <c r="M1101" s="22" t="n">
        <v>0.47</v>
      </c>
      <c r="N1101" s="22" t="n">
        <v>0</v>
      </c>
      <c r="O1101" s="18" t="n"/>
      <c r="P1101" s="22">
        <f>IF(O1101="",(About!$B$5*M1101+About!$B$6*N1101)/(About!$B$5+About!$B$6),About!$B$5*M1101+About!$B$6*N1101+About!$B$7*O1101)</f>
        <v/>
      </c>
      <c r="Q1101" s="23" t="n">
        <v>39.0733</v>
      </c>
      <c r="R1101" s="23" t="n">
        <v>63.5786</v>
      </c>
    </row>
    <row r="1102" ht="15" customHeight="1" s="12">
      <c r="A1102" s="18" t="inlineStr">
        <is>
          <t>Saguenay</t>
        </is>
      </c>
      <c r="B1102" s="18" t="inlineStr">
        <is>
          <t>Canada</t>
        </is>
      </c>
      <c r="C1102" s="19" t="n">
        <v>41472081</v>
      </c>
      <c r="D1102" s="18" t="inlineStr">
        <is>
          <t>CA</t>
        </is>
      </c>
      <c r="E1102" s="18" t="inlineStr">
        <is>
          <t>10</t>
        </is>
      </c>
      <c r="F1102" s="20" t="n">
        <v>143692</v>
      </c>
      <c r="G1102" s="18" t="n"/>
      <c r="H1102" s="18" t="inlineStr">
        <is>
          <t>YBG</t>
        </is>
      </c>
      <c r="I1102" s="18" t="inlineStr">
        <is>
          <t>Saguenay-Bagotville Airport</t>
        </is>
      </c>
      <c r="J1102" s="21" t="n">
        <v>11.1</v>
      </c>
      <c r="K1102" s="18" t="inlineStr">
        <is>
          <t>YBG</t>
        </is>
      </c>
      <c r="L1102" s="18" t="inlineStr">
        <is>
          <t>100k +  pop + airport</t>
        </is>
      </c>
      <c r="M1102" s="22" t="n">
        <v>0.47</v>
      </c>
      <c r="N1102" s="22" t="n">
        <v>0</v>
      </c>
      <c r="O1102" s="18" t="n"/>
      <c r="P1102" s="22">
        <f>IF(O1102="",(About!$B$5*M1102+About!$B$6*N1102)/(About!$B$5+About!$B$6),About!$B$5*M1102+About!$B$6*N1102+About!$B$7*O1102)</f>
        <v/>
      </c>
      <c r="Q1102" s="23" t="n">
        <v>48.4168</v>
      </c>
      <c r="R1102" s="23" t="n">
        <v>-71.06570000000001</v>
      </c>
    </row>
    <row r="1103" ht="15" customHeight="1" s="12">
      <c r="A1103" s="18" t="inlineStr">
        <is>
          <t>Ouarzazat</t>
        </is>
      </c>
      <c r="B1103" s="18" t="inlineStr">
        <is>
          <t>Morocco</t>
        </is>
      </c>
      <c r="C1103" s="19" t="n">
        <v>36828330</v>
      </c>
      <c r="D1103" s="18" t="inlineStr">
        <is>
          <t>MA</t>
        </is>
      </c>
      <c r="E1103" s="18" t="inlineStr">
        <is>
          <t>08</t>
        </is>
      </c>
      <c r="F1103" s="20" t="n">
        <v>57245</v>
      </c>
      <c r="G1103" s="18" t="n"/>
      <c r="H1103" s="18" t="inlineStr">
        <is>
          <t>OZZ</t>
        </is>
      </c>
      <c r="I1103" s="18" t="inlineStr">
        <is>
          <t>Ouarzazate International Airport</t>
        </is>
      </c>
      <c r="J1103" s="21" t="n">
        <v>2.7</v>
      </c>
      <c r="K1103" s="18" t="inlineStr">
        <is>
          <t>OZZ</t>
        </is>
      </c>
      <c r="L1103" s="18" t="inlineStr">
        <is>
          <t>airport</t>
        </is>
      </c>
      <c r="M1103" s="22" t="n">
        <v>0.47</v>
      </c>
      <c r="N1103" s="22" t="n">
        <v>0</v>
      </c>
      <c r="O1103" s="18" t="n"/>
      <c r="P1103" s="22">
        <f>IF(O1103="",(About!$B$5*M1103+About!$B$6*N1103)/(About!$B$5+About!$B$6),About!$B$5*M1103+About!$B$6*N1103+About!$B$7*O1103)</f>
        <v/>
      </c>
      <c r="Q1103" s="23" t="n">
        <v>30.9189</v>
      </c>
      <c r="R1103" s="23" t="n">
        <v>-6.8934</v>
      </c>
    </row>
    <row r="1104" ht="15" customHeight="1" s="12">
      <c r="A1104" s="18" t="inlineStr">
        <is>
          <t>Paramaribo</t>
        </is>
      </c>
      <c r="B1104" s="18" t="inlineStr">
        <is>
          <t>Suriname</t>
        </is>
      </c>
      <c r="C1104" s="19" t="n">
        <v>616500</v>
      </c>
      <c r="D1104" s="18" t="inlineStr">
        <is>
          <t>SR</t>
        </is>
      </c>
      <c r="E1104" s="18" t="inlineStr">
        <is>
          <t>16</t>
        </is>
      </c>
      <c r="F1104" s="20" t="n">
        <v>223757</v>
      </c>
      <c r="G1104" s="18" t="inlineStr">
        <is>
          <t>Yes</t>
        </is>
      </c>
      <c r="H1104" s="18" t="inlineStr">
        <is>
          <t>PBM</t>
        </is>
      </c>
      <c r="I1104" s="18" t="inlineStr">
        <is>
          <t>Johan Adolf Pengel International Airport</t>
        </is>
      </c>
      <c r="J1104" s="21" t="n">
        <v>46</v>
      </c>
      <c r="K1104" s="18" t="inlineStr">
        <is>
          <t>EAX+ORG+PBM</t>
        </is>
      </c>
      <c r="L1104" s="18" t="inlineStr">
        <is>
          <t>100k +  pop + capital + airport</t>
        </is>
      </c>
      <c r="M1104" s="22" t="n">
        <v>0.468</v>
      </c>
      <c r="N1104" s="22" t="n">
        <v>0</v>
      </c>
      <c r="O1104" s="18" t="n"/>
      <c r="P1104" s="22">
        <f>IF(O1104="",(About!$B$5*M1104+About!$B$6*N1104)/(About!$B$5+About!$B$6),About!$B$5*M1104+About!$B$6*N1104+About!$B$7*O1104)</f>
        <v/>
      </c>
      <c r="Q1104" s="23" t="n">
        <v>5.8664</v>
      </c>
      <c r="R1104" s="23" t="n">
        <v>-55.1668</v>
      </c>
    </row>
    <row r="1105" ht="15" customHeight="1" s="12">
      <c r="A1105" s="18" t="inlineStr">
        <is>
          <t>Laoag</t>
        </is>
      </c>
      <c r="B1105" s="18" t="inlineStr">
        <is>
          <t>Philippines</t>
        </is>
      </c>
      <c r="C1105" s="19" t="n">
        <v>114123600</v>
      </c>
      <c r="D1105" s="18" t="inlineStr">
        <is>
          <t>PH</t>
        </is>
      </c>
      <c r="E1105" s="18" t="inlineStr">
        <is>
          <t>01</t>
        </is>
      </c>
      <c r="F1105" s="20" t="n">
        <v>102105</v>
      </c>
      <c r="G1105" s="18" t="n"/>
      <c r="H1105" s="18" t="inlineStr">
        <is>
          <t>LAO</t>
        </is>
      </c>
      <c r="I1105" s="18" t="inlineStr">
        <is>
          <t>Laoag International Airport</t>
        </is>
      </c>
      <c r="J1105" s="21" t="n">
        <v>7.3</v>
      </c>
      <c r="K1105" s="18" t="inlineStr">
        <is>
          <t>LAO</t>
        </is>
      </c>
      <c r="L1105" s="18" t="inlineStr">
        <is>
          <t>100k +  pop + airport</t>
        </is>
      </c>
      <c r="M1105" s="22" t="n">
        <v>0.468</v>
      </c>
      <c r="N1105" s="22" t="n">
        <v>0</v>
      </c>
      <c r="O1105" s="18" t="n"/>
      <c r="P1105" s="22">
        <f>IF(O1105="",(About!$B$5*M1105+About!$B$6*N1105)/(About!$B$5+About!$B$6),About!$B$5*M1105+About!$B$6*N1105+About!$B$7*O1105)</f>
        <v/>
      </c>
      <c r="Q1105" s="23" t="n">
        <v>18.1978</v>
      </c>
      <c r="R1105" s="23" t="n">
        <v>120.5957</v>
      </c>
    </row>
    <row r="1106" ht="15" customHeight="1" s="12">
      <c r="A1106" s="18" t="inlineStr">
        <is>
          <t>Port Sudan</t>
        </is>
      </c>
      <c r="B1106" s="18" t="inlineStr">
        <is>
          <t>Sudan</t>
        </is>
      </c>
      <c r="C1106" s="19" t="n">
        <v>51662000</v>
      </c>
      <c r="D1106" s="18" t="inlineStr">
        <is>
          <t>SD</t>
        </is>
      </c>
      <c r="E1106" s="18" t="inlineStr">
        <is>
          <t>36</t>
        </is>
      </c>
      <c r="F1106" s="20" t="n">
        <v>489725</v>
      </c>
      <c r="G1106" s="18" t="n"/>
      <c r="H1106" s="18" t="inlineStr">
        <is>
          <t>PZU</t>
        </is>
      </c>
      <c r="I1106" s="18" t="inlineStr">
        <is>
          <t>Port Sudan New International Airport</t>
        </is>
      </c>
      <c r="J1106" s="21" t="n">
        <v>20.4</v>
      </c>
      <c r="K1106" s="18" t="inlineStr">
        <is>
          <t>PZU</t>
        </is>
      </c>
      <c r="L1106" s="18" t="inlineStr">
        <is>
          <t>100k +  pop + airport</t>
        </is>
      </c>
      <c r="M1106" s="22" t="n">
        <v>0.466</v>
      </c>
      <c r="N1106" s="22" t="n">
        <v>0</v>
      </c>
      <c r="O1106" s="18" t="n"/>
      <c r="P1106" s="22">
        <f>IF(O1106="",(About!$B$5*M1106+About!$B$6*N1106)/(About!$B$5+About!$B$6),About!$B$5*M1106+About!$B$6*N1106+About!$B$7*O1106)</f>
        <v/>
      </c>
      <c r="Q1106" s="23" t="n">
        <v>19.6175</v>
      </c>
      <c r="R1106" s="23" t="n">
        <v>37.2164</v>
      </c>
    </row>
    <row r="1107" ht="15" customHeight="1" s="12">
      <c r="A1107" s="18" t="inlineStr">
        <is>
          <t>Toulon</t>
        </is>
      </c>
      <c r="B1107" s="18" t="inlineStr">
        <is>
          <t>France</t>
        </is>
      </c>
      <c r="C1107" s="19" t="n">
        <v>69081996</v>
      </c>
      <c r="D1107" s="18" t="inlineStr">
        <is>
          <t>FR</t>
        </is>
      </c>
      <c r="E1107" s="18" t="inlineStr">
        <is>
          <t>93</t>
        </is>
      </c>
      <c r="F1107" s="20" t="n">
        <v>168701</v>
      </c>
      <c r="G1107" s="18" t="n"/>
      <c r="H1107" s="18" t="inlineStr">
        <is>
          <t>TLN</t>
        </is>
      </c>
      <c r="I1107" s="18" t="inlineStr">
        <is>
          <t>Toulon-Hyères Airport</t>
        </is>
      </c>
      <c r="J1107" s="21" t="n">
        <v>17.9</v>
      </c>
      <c r="K1107" s="18" t="inlineStr">
        <is>
          <t>TLN</t>
        </is>
      </c>
      <c r="L1107" s="18" t="inlineStr">
        <is>
          <t>100k +  pop</t>
        </is>
      </c>
      <c r="M1107" s="22" t="n">
        <v>0.467</v>
      </c>
      <c r="N1107" s="22" t="n">
        <v>0</v>
      </c>
      <c r="O1107" s="18" t="n"/>
      <c r="P1107" s="22">
        <f>IF(O1107="",(About!$B$5*M1107+About!$B$6*N1107)/(About!$B$5+About!$B$6),About!$B$5*M1107+About!$B$6*N1107+About!$B$7*O1107)</f>
        <v/>
      </c>
      <c r="Q1107" s="23" t="n">
        <v>43.1244</v>
      </c>
      <c r="R1107" s="23" t="n">
        <v>5.9284</v>
      </c>
    </row>
    <row r="1108" ht="15" customHeight="1" s="12">
      <c r="A1108" s="18" t="inlineStr">
        <is>
          <t>Daşoguz</t>
        </is>
      </c>
      <c r="B1108" s="18" t="inlineStr">
        <is>
          <t>Turkmenistan</t>
        </is>
      </c>
      <c r="C1108" s="19" t="n">
        <v>7057841</v>
      </c>
      <c r="D1108" s="18" t="inlineStr">
        <is>
          <t>TM</t>
        </is>
      </c>
      <c r="E1108" s="18" t="inlineStr">
        <is>
          <t>03</t>
        </is>
      </c>
      <c r="F1108" s="20" t="n">
        <v>166500</v>
      </c>
      <c r="G1108" s="18" t="n"/>
      <c r="H1108" s="18" t="inlineStr">
        <is>
          <t>TAZ</t>
        </is>
      </c>
      <c r="I1108" s="18" t="inlineStr">
        <is>
          <t>Dashoguz International Airport</t>
        </is>
      </c>
      <c r="J1108" s="21" t="n">
        <v>13.8</v>
      </c>
      <c r="K1108" s="18" t="inlineStr">
        <is>
          <t>TAZ</t>
        </is>
      </c>
      <c r="L1108" s="18" t="inlineStr">
        <is>
          <t>100k +  pop + airport</t>
        </is>
      </c>
      <c r="M1108" s="22" t="n">
        <v>0.465</v>
      </c>
      <c r="N1108" s="22" t="n">
        <v>0</v>
      </c>
      <c r="O1108" s="18" t="n"/>
      <c r="P1108" s="22">
        <f>IF(O1108="",(About!$B$5*M1108+About!$B$6*N1108)/(About!$B$5+About!$B$6),About!$B$5*M1108+About!$B$6*N1108+About!$B$7*O1108)</f>
        <v/>
      </c>
      <c r="Q1108" s="23" t="n">
        <v>41.8362</v>
      </c>
      <c r="R1108" s="23" t="n">
        <v>59.9666</v>
      </c>
    </row>
    <row r="1109" ht="15" customHeight="1" s="12">
      <c r="A1109" s="18" t="inlineStr">
        <is>
          <t>Zouerate</t>
        </is>
      </c>
      <c r="B1109" s="18" t="inlineStr">
        <is>
          <t>Mauritania</t>
        </is>
      </c>
      <c r="C1109" s="19" t="n">
        <v>4927532</v>
      </c>
      <c r="D1109" s="18" t="inlineStr">
        <is>
          <t>MR</t>
        </is>
      </c>
      <c r="E1109" s="18" t="inlineStr">
        <is>
          <t>11</t>
        </is>
      </c>
      <c r="F1109" s="20" t="n">
        <v>38000</v>
      </c>
      <c r="G1109" s="18" t="n"/>
      <c r="H1109" s="18" t="inlineStr">
        <is>
          <t>OUZ</t>
        </is>
      </c>
      <c r="I1109" s="18" t="inlineStr">
        <is>
          <t>Tazadit Airport</t>
        </is>
      </c>
      <c r="J1109" s="21" t="n">
        <v>2.7</v>
      </c>
      <c r="K1109" s="18" t="inlineStr">
        <is>
          <t>OUZ</t>
        </is>
      </c>
      <c r="L1109" s="18" t="inlineStr">
        <is>
          <t>airport</t>
        </is>
      </c>
      <c r="M1109" s="22" t="n">
        <v>0.467</v>
      </c>
      <c r="N1109" s="22" t="n">
        <v>0</v>
      </c>
      <c r="O1109" s="18" t="n"/>
      <c r="P1109" s="22">
        <f>IF(O1109="",(About!$B$5*M1109+About!$B$6*N1109)/(About!$B$5+About!$B$6),About!$B$5*M1109+About!$B$6*N1109+About!$B$7*O1109)</f>
        <v/>
      </c>
      <c r="Q1109" s="23" t="n">
        <v>22.7354</v>
      </c>
      <c r="R1109" s="23" t="n">
        <v>-12.4713</v>
      </c>
    </row>
    <row r="1110" ht="15" customHeight="1" s="12">
      <c r="A1110" s="18" t="inlineStr">
        <is>
          <t>Bouaké</t>
        </is>
      </c>
      <c r="B1110" s="18" t="inlineStr">
        <is>
          <t>Côte d'Ivoire</t>
        </is>
      </c>
      <c r="C1110" s="19" t="n">
        <v>31719275</v>
      </c>
      <c r="D1110" s="18" t="inlineStr">
        <is>
          <t>CI</t>
        </is>
      </c>
      <c r="E1110" s="18" t="inlineStr">
        <is>
          <t>90</t>
        </is>
      </c>
      <c r="F1110" s="20" t="n">
        <v>567481</v>
      </c>
      <c r="G1110" s="18" t="n"/>
      <c r="H1110" s="18" t="inlineStr">
        <is>
          <t>BYK</t>
        </is>
      </c>
      <c r="I1110" s="18" t="inlineStr">
        <is>
          <t>Bouaké Airport</t>
        </is>
      </c>
      <c r="J1110" s="21" t="n">
        <v>6.9</v>
      </c>
      <c r="K1110" s="18" t="inlineStr">
        <is>
          <t>BYK</t>
        </is>
      </c>
      <c r="L1110" s="18" t="inlineStr">
        <is>
          <t>100k +  pop + airport</t>
        </is>
      </c>
      <c r="M1110" s="22" t="n">
        <v>0.465</v>
      </c>
      <c r="N1110" s="22" t="n">
        <v>0</v>
      </c>
      <c r="O1110" s="18" t="n"/>
      <c r="P1110" s="22">
        <f>IF(O1110="",(About!$B$5*M1110+About!$B$6*N1110)/(About!$B$5+About!$B$6),About!$B$5*M1110+About!$B$6*N1110+About!$B$7*O1110)</f>
        <v/>
      </c>
      <c r="Q1110" s="23" t="n">
        <v>7.6939</v>
      </c>
      <c r="R1110" s="23" t="n">
        <v>-5.0303</v>
      </c>
    </row>
    <row r="1111" ht="15" customHeight="1" s="12">
      <c r="A1111" s="18" t="inlineStr">
        <is>
          <t>Calabar</t>
        </is>
      </c>
      <c r="B1111" s="18" t="inlineStr">
        <is>
          <t>Nigeria</t>
        </is>
      </c>
      <c r="C1111" s="19" t="n">
        <v>223800000</v>
      </c>
      <c r="D1111" s="18" t="inlineStr">
        <is>
          <t>NG</t>
        </is>
      </c>
      <c r="E1111" s="18" t="inlineStr">
        <is>
          <t>22</t>
        </is>
      </c>
      <c r="F1111" s="20" t="n">
        <v>461796</v>
      </c>
      <c r="G1111" s="18" t="n"/>
      <c r="H1111" s="18" t="inlineStr">
        <is>
          <t>CBQ</t>
        </is>
      </c>
      <c r="I1111" s="18" t="inlineStr">
        <is>
          <t>Margaret Ekpo International Airport</t>
        </is>
      </c>
      <c r="J1111" s="21" t="n">
        <v>2.9</v>
      </c>
      <c r="K1111" s="18" t="inlineStr">
        <is>
          <t>CBQ</t>
        </is>
      </c>
      <c r="L1111" s="18" t="inlineStr">
        <is>
          <t>100k +  pop + airport</t>
        </is>
      </c>
      <c r="M1111" s="22" t="n">
        <v>0.463</v>
      </c>
      <c r="N1111" s="22" t="n">
        <v>0</v>
      </c>
      <c r="O1111" s="18" t="n"/>
      <c r="P1111" s="22">
        <f>IF(O1111="",(About!$B$5*M1111+About!$B$6*N1111)/(About!$B$5+About!$B$6),About!$B$5*M1111+About!$B$6*N1111+About!$B$7*O1111)</f>
        <v/>
      </c>
      <c r="Q1111" s="23" t="n">
        <v>4.9589</v>
      </c>
      <c r="R1111" s="23" t="n">
        <v>8.327</v>
      </c>
    </row>
    <row r="1112" ht="15" customHeight="1" s="12">
      <c r="A1112" s="18" t="inlineStr">
        <is>
          <t>Chengde</t>
        </is>
      </c>
      <c r="B1112" s="18" t="inlineStr">
        <is>
          <t>China</t>
        </is>
      </c>
      <c r="C1112" s="19" t="n">
        <v>1404890000</v>
      </c>
      <c r="D1112" s="18" t="inlineStr">
        <is>
          <t>CN</t>
        </is>
      </c>
      <c r="E1112" s="18" t="inlineStr">
        <is>
          <t>10</t>
        </is>
      </c>
      <c r="F1112" s="20" t="n">
        <v>449325</v>
      </c>
      <c r="G1112" s="18" t="n"/>
      <c r="H1112" s="18" t="inlineStr">
        <is>
          <t>CDE</t>
        </is>
      </c>
      <c r="I1112" s="18" t="inlineStr">
        <is>
          <t>Chengde Puning Airport</t>
        </is>
      </c>
      <c r="J1112" s="21" t="n">
        <v>21.3</v>
      </c>
      <c r="K1112" s="18" t="inlineStr">
        <is>
          <t>CDE</t>
        </is>
      </c>
      <c r="L1112" s="18" t="inlineStr">
        <is>
          <t>100k +  pop + airport</t>
        </is>
      </c>
      <c r="M1112" s="22" t="n">
        <v>0.465</v>
      </c>
      <c r="N1112" s="22" t="n">
        <v>0</v>
      </c>
      <c r="O1112" s="18" t="n"/>
      <c r="P1112" s="22">
        <f>IF(O1112="",(About!$B$5*M1112+About!$B$6*N1112)/(About!$B$5+About!$B$6),About!$B$5*M1112+About!$B$6*N1112+About!$B$7*O1112)</f>
        <v/>
      </c>
      <c r="Q1112" s="23" t="n">
        <v>40.9519</v>
      </c>
      <c r="R1112" s="23" t="n">
        <v>117.9588</v>
      </c>
    </row>
    <row r="1113" ht="15" customHeight="1" s="12">
      <c r="A1113" s="18" t="inlineStr">
        <is>
          <t>Ziguinchor</t>
        </is>
      </c>
      <c r="B1113" s="18" t="inlineStr">
        <is>
          <t>Senegal</t>
        </is>
      </c>
      <c r="C1113" s="19" t="n">
        <v>19075959</v>
      </c>
      <c r="D1113" s="18" t="inlineStr">
        <is>
          <t>SN</t>
        </is>
      </c>
      <c r="E1113" s="18" t="inlineStr">
        <is>
          <t>12</t>
        </is>
      </c>
      <c r="F1113" s="20" t="n">
        <v>159778</v>
      </c>
      <c r="G1113" s="18" t="n"/>
      <c r="H1113" s="18" t="inlineStr">
        <is>
          <t>ZIG</t>
        </is>
      </c>
      <c r="I1113" s="18" t="inlineStr">
        <is>
          <t>Ziguinchor Airport</t>
        </is>
      </c>
      <c r="J1113" s="21" t="n">
        <v>1.8</v>
      </c>
      <c r="K1113" s="18" t="inlineStr">
        <is>
          <t>ZIG</t>
        </is>
      </c>
      <c r="L1113" s="18" t="inlineStr">
        <is>
          <t>100k +  pop + airport</t>
        </is>
      </c>
      <c r="M1113" s="22" t="n">
        <v>0.464</v>
      </c>
      <c r="N1113" s="22" t="n">
        <v>0</v>
      </c>
      <c r="O1113" s="18" t="n"/>
      <c r="P1113" s="22">
        <f>IF(O1113="",(About!$B$5*M1113+About!$B$6*N1113)/(About!$B$5+About!$B$6),About!$B$5*M1113+About!$B$6*N1113+About!$B$7*O1113)</f>
        <v/>
      </c>
      <c r="Q1113" s="23" t="n">
        <v>12.568</v>
      </c>
      <c r="R1113" s="23" t="n">
        <v>-16.2733</v>
      </c>
    </row>
    <row r="1114" ht="15" customHeight="1" s="12">
      <c r="A1114" s="18" t="inlineStr">
        <is>
          <t>Ponce</t>
        </is>
      </c>
      <c r="B1114" s="18" t="inlineStr">
        <is>
          <t>Puerto Rico</t>
        </is>
      </c>
      <c r="C1114" s="19" t="n">
        <v>3184195</v>
      </c>
      <c r="D1114" s="18" t="inlineStr">
        <is>
          <t>PR</t>
        </is>
      </c>
      <c r="E1114" s="18" t="inlineStr">
        <is>
          <t>113</t>
        </is>
      </c>
      <c r="F1114" s="20" t="n">
        <v>152634</v>
      </c>
      <c r="G1114" s="18" t="n"/>
      <c r="H1114" s="18" t="inlineStr">
        <is>
          <t>PSE</t>
        </is>
      </c>
      <c r="I1114" s="18" t="inlineStr">
        <is>
          <t>Mercedita International Airport</t>
        </is>
      </c>
      <c r="J1114" s="21" t="n">
        <v>6.5</v>
      </c>
      <c r="K1114" s="18" t="inlineStr">
        <is>
          <t>PSE</t>
        </is>
      </c>
      <c r="L1114" s="18" t="inlineStr">
        <is>
          <t>100k +  pop + airport</t>
        </is>
      </c>
      <c r="M1114" s="22" t="n">
        <v>0.463</v>
      </c>
      <c r="N1114" s="22" t="n">
        <v>0</v>
      </c>
      <c r="O1114" s="18" t="n"/>
      <c r="P1114" s="22">
        <f>IF(O1114="",(About!$B$5*M1114+About!$B$6*N1114)/(About!$B$5+About!$B$6),About!$B$5*M1114+About!$B$6*N1114+About!$B$7*O1114)</f>
        <v/>
      </c>
      <c r="Q1114" s="23" t="n">
        <v>18.0103</v>
      </c>
      <c r="R1114" s="23" t="n">
        <v>-66.624</v>
      </c>
    </row>
    <row r="1115" ht="15" customHeight="1" s="12">
      <c r="A1115" s="18" t="inlineStr">
        <is>
          <t>Erzincan</t>
        </is>
      </c>
      <c r="B1115" s="18" t="inlineStr">
        <is>
          <t>Türkiye</t>
        </is>
      </c>
      <c r="C1115" s="19" t="n">
        <v>86092168</v>
      </c>
      <c r="D1115" s="18" t="inlineStr">
        <is>
          <t>TR</t>
        </is>
      </c>
      <c r="E1115" s="18" t="inlineStr">
        <is>
          <t>24</t>
        </is>
      </c>
      <c r="F1115" s="20" t="n">
        <v>114027</v>
      </c>
      <c r="G1115" s="18" t="n"/>
      <c r="H1115" s="18" t="inlineStr">
        <is>
          <t>ERC</t>
        </is>
      </c>
      <c r="I1115" s="18" t="inlineStr">
        <is>
          <t>Erzincan Airport</t>
        </is>
      </c>
      <c r="J1115" s="21" t="n">
        <v>4.5</v>
      </c>
      <c r="K1115" s="18" t="inlineStr">
        <is>
          <t>ERC</t>
        </is>
      </c>
      <c r="L1115" s="18" t="inlineStr">
        <is>
          <t>100k +  pop + airport</t>
        </is>
      </c>
      <c r="M1115" s="22" t="n">
        <v>0.463</v>
      </c>
      <c r="N1115" s="22" t="n">
        <v>0</v>
      </c>
      <c r="O1115" s="18" t="n"/>
      <c r="P1115" s="22">
        <f>IF(O1115="",(About!$B$5*M1115+About!$B$6*N1115)/(About!$B$5+About!$B$6),About!$B$5*M1115+About!$B$6*N1115+About!$B$7*O1115)</f>
        <v/>
      </c>
      <c r="Q1115" s="23" t="n">
        <v>39.7392</v>
      </c>
      <c r="R1115" s="23" t="n">
        <v>39.4901</v>
      </c>
    </row>
    <row r="1116" ht="15" customHeight="1" s="12">
      <c r="A1116" s="18" t="inlineStr">
        <is>
          <t>Francistown</t>
        </is>
      </c>
      <c r="B1116" s="18" t="inlineStr">
        <is>
          <t>Botswana</t>
        </is>
      </c>
      <c r="C1116" s="19" t="n">
        <v>2359609</v>
      </c>
      <c r="D1116" s="18" t="inlineStr">
        <is>
          <t>BW</t>
        </is>
      </c>
      <c r="E1116" s="18" t="inlineStr">
        <is>
          <t>13</t>
        </is>
      </c>
      <c r="F1116" s="20" t="n">
        <v>89979</v>
      </c>
      <c r="G1116" s="18" t="n"/>
      <c r="H1116" s="18" t="inlineStr">
        <is>
          <t>FRW</t>
        </is>
      </c>
      <c r="I1116" s="18" t="inlineStr">
        <is>
          <t>Phillip Gaonwe Matante International Airport</t>
        </is>
      </c>
      <c r="J1116" s="21" t="n">
        <v>4.2</v>
      </c>
      <c r="K1116" s="18" t="inlineStr">
        <is>
          <t>FRW</t>
        </is>
      </c>
      <c r="L1116" s="18" t="inlineStr">
        <is>
          <t>airport</t>
        </is>
      </c>
      <c r="M1116" s="22" t="n">
        <v>0.464</v>
      </c>
      <c r="N1116" s="22" t="n">
        <v>0</v>
      </c>
      <c r="O1116" s="18" t="n"/>
      <c r="P1116" s="22">
        <f>IF(O1116="",(About!$B$5*M1116+About!$B$6*N1116)/(About!$B$5+About!$B$6),About!$B$5*M1116+About!$B$6*N1116+About!$B$7*O1116)</f>
        <v/>
      </c>
      <c r="Q1116" s="23" t="n">
        <v>-21.17</v>
      </c>
      <c r="R1116" s="23" t="n">
        <v>27.5078</v>
      </c>
    </row>
    <row r="1117" ht="15" customHeight="1" s="12">
      <c r="A1117" s="18" t="inlineStr">
        <is>
          <t>Ohrid</t>
        </is>
      </c>
      <c r="B1117" s="18" t="inlineStr">
        <is>
          <t>North Macedonia</t>
        </is>
      </c>
      <c r="C1117" s="19" t="n">
        <v>1822612</v>
      </c>
      <c r="D1117" s="18" t="inlineStr">
        <is>
          <t>MK</t>
        </is>
      </c>
      <c r="E1117" s="18" t="inlineStr">
        <is>
          <t>E2</t>
        </is>
      </c>
      <c r="F1117" s="20" t="n">
        <v>54908</v>
      </c>
      <c r="G1117" s="18" t="n"/>
      <c r="H1117" s="18" t="inlineStr">
        <is>
          <t>OHD</t>
        </is>
      </c>
      <c r="I1117" s="18" t="inlineStr">
        <is>
          <t>Ohrid St. Paul the Apostle Airport</t>
        </is>
      </c>
      <c r="J1117" s="21" t="n">
        <v>8.6</v>
      </c>
      <c r="K1117" s="18" t="inlineStr">
        <is>
          <t>OHD</t>
        </is>
      </c>
      <c r="L1117" s="18" t="inlineStr">
        <is>
          <t>airport</t>
        </is>
      </c>
      <c r="M1117" s="22" t="n">
        <v>0.464</v>
      </c>
      <c r="N1117" s="22" t="n">
        <v>0</v>
      </c>
      <c r="O1117" s="18" t="n"/>
      <c r="P1117" s="22">
        <f>IF(O1117="",(About!$B$5*M1117+About!$B$6*N1117)/(About!$B$5+About!$B$6),About!$B$5*M1117+About!$B$6*N1117+About!$B$7*O1117)</f>
        <v/>
      </c>
      <c r="Q1117" s="23" t="n">
        <v>41.1172</v>
      </c>
      <c r="R1117" s="23" t="n">
        <v>20.8019</v>
      </c>
    </row>
    <row r="1118" ht="15" customHeight="1" s="12">
      <c r="A1118" s="18" t="inlineStr">
        <is>
          <t>Dnipro</t>
        </is>
      </c>
      <c r="B1118" s="18" t="inlineStr">
        <is>
          <t>Ukraine</t>
        </is>
      </c>
      <c r="C1118" s="19" t="n">
        <v>28700000</v>
      </c>
      <c r="D1118" s="18" t="inlineStr">
        <is>
          <t>UA</t>
        </is>
      </c>
      <c r="E1118" s="18" t="inlineStr">
        <is>
          <t>04</t>
        </is>
      </c>
      <c r="F1118" s="20" t="n">
        <v>1032822</v>
      </c>
      <c r="G1118" s="18" t="n"/>
      <c r="H1118" s="18" t="inlineStr">
        <is>
          <t>DNK</t>
        </is>
      </c>
      <c r="I1118" s="18" t="inlineStr">
        <is>
          <t>Dnipro International Airport</t>
        </is>
      </c>
      <c r="J1118" s="21" t="n">
        <v>12.2</v>
      </c>
      <c r="K1118" s="18" t="inlineStr">
        <is>
          <t>DNK</t>
        </is>
      </c>
      <c r="L1118" s="18" t="inlineStr">
        <is>
          <t>100k +  pop + airport</t>
        </is>
      </c>
      <c r="M1118" s="22" t="n">
        <v>0.461</v>
      </c>
      <c r="N1118" s="22" t="n">
        <v>0</v>
      </c>
      <c r="O1118" s="18" t="n"/>
      <c r="P1118" s="22">
        <f>IF(O1118="",(About!$B$5*M1118+About!$B$6*N1118)/(About!$B$5+About!$B$6),About!$B$5*M1118+About!$B$6*N1118+About!$B$7*O1118)</f>
        <v/>
      </c>
      <c r="Q1118" s="23" t="n">
        <v>48.4593</v>
      </c>
      <c r="R1118" s="23" t="n">
        <v>35.0386</v>
      </c>
    </row>
    <row r="1119" ht="15" customHeight="1" s="12">
      <c r="A1119" s="18" t="inlineStr">
        <is>
          <t>Asyūţ</t>
        </is>
      </c>
      <c r="B1119" s="18" t="inlineStr">
        <is>
          <t>Egypt</t>
        </is>
      </c>
      <c r="C1119" s="19" t="n">
        <v>108613296</v>
      </c>
      <c r="D1119" s="18" t="inlineStr">
        <is>
          <t>EG</t>
        </is>
      </c>
      <c r="E1119" s="18" t="inlineStr">
        <is>
          <t>17</t>
        </is>
      </c>
      <c r="F1119" s="20" t="n">
        <v>420585</v>
      </c>
      <c r="G1119" s="18" t="n"/>
      <c r="H1119" s="18" t="inlineStr">
        <is>
          <t>ATZ</t>
        </is>
      </c>
      <c r="I1119" s="18" t="inlineStr">
        <is>
          <t>Asyut International Airport</t>
        </is>
      </c>
      <c r="J1119" s="21" t="n">
        <v>22.6</v>
      </c>
      <c r="K1119" s="18" t="inlineStr">
        <is>
          <t>ATZ</t>
        </is>
      </c>
      <c r="L1119" s="18" t="inlineStr">
        <is>
          <t>100k +  pop + airport</t>
        </is>
      </c>
      <c r="M1119" s="22" t="n">
        <v>0.463</v>
      </c>
      <c r="N1119" s="22" t="n">
        <v>0</v>
      </c>
      <c r="O1119" s="18" t="n"/>
      <c r="P1119" s="22">
        <f>IF(O1119="",(About!$B$5*M1119+About!$B$6*N1119)/(About!$B$5+About!$B$6),About!$B$5*M1119+About!$B$6*N1119+About!$B$7*O1119)</f>
        <v/>
      </c>
      <c r="Q1119" s="23" t="n">
        <v>27.181</v>
      </c>
      <c r="R1119" s="23" t="n">
        <v>31.1837</v>
      </c>
    </row>
    <row r="1120" ht="15" customHeight="1" s="12">
      <c r="A1120" s="18" t="inlineStr">
        <is>
          <t>Cotabato</t>
        </is>
      </c>
      <c r="B1120" s="18" t="inlineStr">
        <is>
          <t>Philippines</t>
        </is>
      </c>
      <c r="C1120" s="19" t="n">
        <v>114123600</v>
      </c>
      <c r="D1120" s="18" t="inlineStr">
        <is>
          <t>PH</t>
        </is>
      </c>
      <c r="E1120" s="18" t="inlineStr">
        <is>
          <t>14</t>
        </is>
      </c>
      <c r="F1120" s="20" t="n">
        <v>179433</v>
      </c>
      <c r="G1120" s="18" t="n"/>
      <c r="H1120" s="18" t="inlineStr">
        <is>
          <t>CBO</t>
        </is>
      </c>
      <c r="I1120" s="18" t="inlineStr">
        <is>
          <t>Cotabato (Awang) Airport</t>
        </is>
      </c>
      <c r="J1120" s="21" t="n">
        <v>7.7</v>
      </c>
      <c r="K1120" s="18" t="inlineStr">
        <is>
          <t>CBO</t>
        </is>
      </c>
      <c r="L1120" s="18" t="inlineStr">
        <is>
          <t>100k +  pop + airport</t>
        </is>
      </c>
      <c r="M1120" s="22" t="n">
        <v>0.461</v>
      </c>
      <c r="N1120" s="22" t="n">
        <v>0</v>
      </c>
      <c r="O1120" s="18" t="n"/>
      <c r="P1120" s="22">
        <f>IF(O1120="",(About!$B$5*M1120+About!$B$6*N1120)/(About!$B$5+About!$B$6),About!$B$5*M1120+About!$B$6*N1120+About!$B$7*O1120)</f>
        <v/>
      </c>
      <c r="Q1120" s="23" t="n">
        <v>7.2236</v>
      </c>
      <c r="R1120" s="23" t="n">
        <v>124.2464</v>
      </c>
    </row>
    <row r="1121" ht="15" customHeight="1" s="12">
      <c r="A1121" s="18" t="inlineStr">
        <is>
          <t>Brades</t>
        </is>
      </c>
      <c r="B1121" s="18" t="inlineStr">
        <is>
          <t>Montserrat</t>
        </is>
      </c>
      <c r="C1121" s="19" t="n">
        <v>4386</v>
      </c>
      <c r="D1121" s="18" t="inlineStr">
        <is>
          <t>MS</t>
        </is>
      </c>
      <c r="E1121" s="18" t="inlineStr">
        <is>
          <t>03</t>
        </is>
      </c>
      <c r="F1121" s="20" t="n">
        <v>1000</v>
      </c>
      <c r="G1121" s="18" t="inlineStr">
        <is>
          <t>Yes</t>
        </is>
      </c>
      <c r="H1121" s="18" t="inlineStr">
        <is>
          <t>MNI</t>
        </is>
      </c>
      <c r="I1121" s="18" t="inlineStr">
        <is>
          <t>John A. Osborne Airport</t>
        </is>
      </c>
      <c r="J1121" s="21" t="n">
        <v>1.8</v>
      </c>
      <c r="K1121" s="18" t="inlineStr">
        <is>
          <t>MNI</t>
        </is>
      </c>
      <c r="L1121" s="18" t="inlineStr">
        <is>
          <t>capital</t>
        </is>
      </c>
      <c r="M1121" s="22" t="n">
        <v>0.461</v>
      </c>
      <c r="N1121" s="22" t="n">
        <v>0</v>
      </c>
      <c r="O1121" s="18" t="n"/>
      <c r="P1121" s="22">
        <f>IF(O1121="",(About!$B$5*M1121+About!$B$6*N1121)/(About!$B$5+About!$B$6),About!$B$5*M1121+About!$B$6*N1121+About!$B$7*O1121)</f>
        <v/>
      </c>
      <c r="Q1121" s="23" t="n">
        <v>16.7918</v>
      </c>
      <c r="R1121" s="23" t="n">
        <v>-62.2106</v>
      </c>
    </row>
    <row r="1122" ht="15" customHeight="1" s="12">
      <c r="A1122" s="18" t="inlineStr">
        <is>
          <t>Plymouth</t>
        </is>
      </c>
      <c r="B1122" s="18" t="inlineStr">
        <is>
          <t>Montserrat</t>
        </is>
      </c>
      <c r="C1122" s="19" t="n">
        <v>4386</v>
      </c>
      <c r="D1122" s="18" t="inlineStr">
        <is>
          <t>MS</t>
        </is>
      </c>
      <c r="E1122" s="18" t="inlineStr">
        <is>
          <t>01</t>
        </is>
      </c>
      <c r="F1122" s="20" t="n">
        <v>0</v>
      </c>
      <c r="G1122" s="18" t="inlineStr">
        <is>
          <t>Yes</t>
        </is>
      </c>
      <c r="H1122" s="18" t="inlineStr">
        <is>
          <t>MNI</t>
        </is>
      </c>
      <c r="I1122" s="18" t="inlineStr">
        <is>
          <t>John A. Osborne Airport</t>
        </is>
      </c>
      <c r="J1122" s="21" t="n">
        <v>9.800000000000001</v>
      </c>
      <c r="K1122" s="18" t="inlineStr">
        <is>
          <t>MNI</t>
        </is>
      </c>
      <c r="L1122" s="18" t="inlineStr">
        <is>
          <t>capital</t>
        </is>
      </c>
      <c r="M1122" s="22" t="n">
        <v>0.461</v>
      </c>
      <c r="N1122" s="22" t="n">
        <v>0</v>
      </c>
      <c r="O1122" s="18" t="n"/>
      <c r="P1122" s="22">
        <f>IF(O1122="",(About!$B$5*M1122+About!$B$6*N1122)/(About!$B$5+About!$B$6),About!$B$5*M1122+About!$B$6*N1122+About!$B$7*O1122)</f>
        <v/>
      </c>
      <c r="Q1122" s="23" t="n">
        <v>16.7055</v>
      </c>
      <c r="R1122" s="23" t="n">
        <v>-62.2129</v>
      </c>
    </row>
    <row r="1123" ht="15" customHeight="1" s="12">
      <c r="A1123" s="18" t="inlineStr">
        <is>
          <t>Niš</t>
        </is>
      </c>
      <c r="B1123" s="18" t="inlineStr">
        <is>
          <t>Serbia</t>
        </is>
      </c>
      <c r="C1123" s="19" t="n">
        <v>6567783</v>
      </c>
      <c r="D1123" s="18" t="inlineStr">
        <is>
          <t>RS</t>
        </is>
      </c>
      <c r="E1123" s="18" t="inlineStr">
        <is>
          <t>SE</t>
        </is>
      </c>
      <c r="F1123" s="20" t="n">
        <v>250000</v>
      </c>
      <c r="G1123" s="18" t="n"/>
      <c r="H1123" s="18" t="inlineStr">
        <is>
          <t>INI</t>
        </is>
      </c>
      <c r="I1123" s="18" t="inlineStr">
        <is>
          <t>Niš Constantine the Great Airport</t>
        </is>
      </c>
      <c r="J1123" s="21" t="n">
        <v>4</v>
      </c>
      <c r="K1123" s="18" t="inlineStr">
        <is>
          <t>INI</t>
        </is>
      </c>
      <c r="L1123" s="18" t="inlineStr">
        <is>
          <t>100k +  pop + airport</t>
        </is>
      </c>
      <c r="M1123" s="22" t="n">
        <v>0.46</v>
      </c>
      <c r="N1123" s="22" t="n">
        <v>0</v>
      </c>
      <c r="O1123" s="18" t="n"/>
      <c r="P1123" s="22">
        <f>IF(O1123="",(About!$B$5*M1123+About!$B$6*N1123)/(About!$B$5+About!$B$6),About!$B$5*M1123+About!$B$6*N1123+About!$B$7*O1123)</f>
        <v/>
      </c>
      <c r="Q1123" s="23" t="n">
        <v>43.3247</v>
      </c>
      <c r="R1123" s="23" t="n">
        <v>21.9033</v>
      </c>
    </row>
    <row r="1124" ht="15" customHeight="1" s="12">
      <c r="A1124" s="18" t="inlineStr">
        <is>
          <t>Kalamata</t>
        </is>
      </c>
      <c r="B1124" s="18" t="inlineStr">
        <is>
          <t>Greece</t>
        </is>
      </c>
      <c r="C1124" s="19" t="n">
        <v>10372335</v>
      </c>
      <c r="D1124" s="18" t="inlineStr">
        <is>
          <t>GR</t>
        </is>
      </c>
      <c r="E1124" s="18" t="inlineStr">
        <is>
          <t>ESYE25</t>
        </is>
      </c>
      <c r="F1124" s="20" t="n">
        <v>54100</v>
      </c>
      <c r="G1124" s="18" t="n"/>
      <c r="H1124" s="18" t="inlineStr">
        <is>
          <t>KLX</t>
        </is>
      </c>
      <c r="I1124" s="18" t="inlineStr">
        <is>
          <t>Kalamata Airport</t>
        </is>
      </c>
      <c r="J1124" s="21" t="n">
        <v>8.4</v>
      </c>
      <c r="K1124" s="18" t="inlineStr">
        <is>
          <t>KLX</t>
        </is>
      </c>
      <c r="L1124" s="18" t="inlineStr">
        <is>
          <t>airport</t>
        </is>
      </c>
      <c r="M1124" s="22" t="n">
        <v>0.46</v>
      </c>
      <c r="N1124" s="22" t="n">
        <v>0</v>
      </c>
      <c r="O1124" s="18" t="n"/>
      <c r="P1124" s="22">
        <f>IF(O1124="",(About!$B$5*M1124+About!$B$6*N1124)/(About!$B$5+About!$B$6),About!$B$5*M1124+About!$B$6*N1124+About!$B$7*O1124)</f>
        <v/>
      </c>
      <c r="Q1124" s="23" t="n">
        <v>37.0391</v>
      </c>
      <c r="R1124" s="23" t="n">
        <v>22.1126</v>
      </c>
    </row>
    <row r="1125" ht="15" customHeight="1" s="12">
      <c r="A1125" s="18" t="inlineStr">
        <is>
          <t>Kralendijk</t>
        </is>
      </c>
      <c r="B1125" s="18" t="inlineStr">
        <is>
          <t>Bonaire, Sint Eustatius and Saba</t>
        </is>
      </c>
      <c r="C1125" s="19" t="n">
        <v>30397</v>
      </c>
      <c r="D1125" s="18" t="inlineStr">
        <is>
          <t>BQ</t>
        </is>
      </c>
      <c r="E1125" s="18" t="inlineStr">
        <is>
          <t>BO</t>
        </is>
      </c>
      <c r="F1125" s="20" t="n">
        <v>3081</v>
      </c>
      <c r="G1125" s="18" t="inlineStr">
        <is>
          <t>Yes</t>
        </is>
      </c>
      <c r="H1125" s="18" t="inlineStr">
        <is>
          <t>BON</t>
        </is>
      </c>
      <c r="I1125" s="18" t="inlineStr">
        <is>
          <t>Flamingo International Airport</t>
        </is>
      </c>
      <c r="J1125" s="21" t="n">
        <v>2.1</v>
      </c>
      <c r="K1125" s="18" t="inlineStr">
        <is>
          <t>BON</t>
        </is>
      </c>
      <c r="L1125" s="18" t="inlineStr">
        <is>
          <t>capital</t>
        </is>
      </c>
      <c r="M1125" s="22" t="n">
        <v>0.459</v>
      </c>
      <c r="N1125" s="22" t="n">
        <v>0</v>
      </c>
      <c r="O1125" s="18" t="n"/>
      <c r="P1125" s="22">
        <f>IF(O1125="",(About!$B$5*M1125+About!$B$6*N1125)/(About!$B$5+About!$B$6),About!$B$5*M1125+About!$B$6*N1125+About!$B$7*O1125)</f>
        <v/>
      </c>
      <c r="Q1125" s="23" t="n">
        <v>12.15</v>
      </c>
      <c r="R1125" s="23" t="n">
        <v>-68.2667</v>
      </c>
    </row>
    <row r="1126" ht="15" customHeight="1" s="12">
      <c r="A1126" s="18" t="inlineStr">
        <is>
          <t>Kananga</t>
        </is>
      </c>
      <c r="B1126" s="18" t="inlineStr">
        <is>
          <t>DR Congo</t>
        </is>
      </c>
      <c r="C1126" s="19" t="n">
        <v>112832000</v>
      </c>
      <c r="D1126" s="18" t="inlineStr">
        <is>
          <t>CD</t>
        </is>
      </c>
      <c r="E1126" s="18" t="inlineStr">
        <is>
          <t>23</t>
        </is>
      </c>
      <c r="F1126" s="20" t="n">
        <v>463546</v>
      </c>
      <c r="G1126" s="18" t="n"/>
      <c r="H1126" s="18" t="inlineStr">
        <is>
          <t>KGA</t>
        </is>
      </c>
      <c r="I1126" s="18" t="inlineStr">
        <is>
          <t>Kananga Airport</t>
        </is>
      </c>
      <c r="J1126" s="21" t="n">
        <v>5.8</v>
      </c>
      <c r="K1126" s="18" t="inlineStr">
        <is>
          <t>KGA</t>
        </is>
      </c>
      <c r="L1126" s="18" t="inlineStr">
        <is>
          <t>100k +  pop + airport</t>
        </is>
      </c>
      <c r="M1126" s="22" t="n">
        <v>0.458</v>
      </c>
      <c r="N1126" s="22" t="n">
        <v>0</v>
      </c>
      <c r="O1126" s="18" t="n"/>
      <c r="P1126" s="22">
        <f>IF(O1126="",(About!$B$5*M1126+About!$B$6*N1126)/(About!$B$5+About!$B$6),About!$B$5*M1126+About!$B$6*N1126+About!$B$7*O1126)</f>
        <v/>
      </c>
      <c r="Q1126" s="23" t="n">
        <v>-5.8962</v>
      </c>
      <c r="R1126" s="23" t="n">
        <v>22.4166</v>
      </c>
    </row>
    <row r="1127" ht="15" customHeight="1" s="12">
      <c r="A1127" s="18" t="inlineStr">
        <is>
          <t>Tepic</t>
        </is>
      </c>
      <c r="B1127" s="18" t="inlineStr">
        <is>
          <t>Mexico</t>
        </is>
      </c>
      <c r="C1127" s="19" t="n">
        <v>131150866</v>
      </c>
      <c r="D1127" s="18" t="inlineStr">
        <is>
          <t>MX</t>
        </is>
      </c>
      <c r="E1127" s="18" t="inlineStr">
        <is>
          <t>18</t>
        </is>
      </c>
      <c r="F1127" s="20" t="n">
        <v>332863</v>
      </c>
      <c r="G1127" s="18" t="n"/>
      <c r="H1127" s="18" t="inlineStr">
        <is>
          <t>TPQ</t>
        </is>
      </c>
      <c r="I1127" s="18" t="inlineStr">
        <is>
          <t>Amado Nervo National Airport</t>
        </is>
      </c>
      <c r="J1127" s="21" t="n">
        <v>11.4</v>
      </c>
      <c r="K1127" s="18" t="inlineStr">
        <is>
          <t>TPQ</t>
        </is>
      </c>
      <c r="L1127" s="18" t="inlineStr">
        <is>
          <t>100k +  pop + airport</t>
        </is>
      </c>
      <c r="M1127" s="22" t="n">
        <v>0.459</v>
      </c>
      <c r="N1127" s="22" t="n">
        <v>0</v>
      </c>
      <c r="O1127" s="18" t="n"/>
      <c r="P1127" s="22">
        <f>IF(O1127="",(About!$B$5*M1127+About!$B$6*N1127)/(About!$B$5+About!$B$6),About!$B$5*M1127+About!$B$6*N1127+About!$B$7*O1127)</f>
        <v/>
      </c>
      <c r="Q1127" s="23" t="n">
        <v>21.5095</v>
      </c>
      <c r="R1127" s="23" t="n">
        <v>-104.8957</v>
      </c>
    </row>
    <row r="1128" ht="15" customHeight="1" s="12">
      <c r="A1128" s="18" t="inlineStr">
        <is>
          <t>Tarragona</t>
        </is>
      </c>
      <c r="B1128" s="18" t="inlineStr">
        <is>
          <t>Spain</t>
        </is>
      </c>
      <c r="C1128" s="19" t="n">
        <v>49687120</v>
      </c>
      <c r="D1128" s="18" t="inlineStr">
        <is>
          <t>ES</t>
        </is>
      </c>
      <c r="E1128" s="18" t="inlineStr">
        <is>
          <t>56</t>
        </is>
      </c>
      <c r="F1128" s="20" t="n">
        <v>140323</v>
      </c>
      <c r="G1128" s="18" t="n"/>
      <c r="H1128" s="18" t="inlineStr">
        <is>
          <t>REU</t>
        </is>
      </c>
      <c r="I1128" s="18" t="inlineStr">
        <is>
          <t>Reus Airport</t>
        </is>
      </c>
      <c r="J1128" s="21" t="n">
        <v>7.6</v>
      </c>
      <c r="K1128" s="18" t="inlineStr">
        <is>
          <t>REU</t>
        </is>
      </c>
      <c r="L1128" s="18" t="inlineStr">
        <is>
          <t>100k +  pop + airport</t>
        </is>
      </c>
      <c r="M1128" s="22" t="n">
        <v>0.457</v>
      </c>
      <c r="N1128" s="22" t="n">
        <v>0</v>
      </c>
      <c r="O1128" s="18" t="n"/>
      <c r="P1128" s="22">
        <f>IF(O1128="",(About!$B$5*M1128+About!$B$6*N1128)/(About!$B$5+About!$B$6),About!$B$5*M1128+About!$B$6*N1128+About!$B$7*O1128)</f>
        <v/>
      </c>
      <c r="Q1128" s="23" t="n">
        <v>41.1167</v>
      </c>
      <c r="R1128" s="23" t="n">
        <v>1.25</v>
      </c>
    </row>
    <row r="1129" ht="15" customHeight="1" s="12">
      <c r="A1129" s="18" t="inlineStr">
        <is>
          <t>Reus</t>
        </is>
      </c>
      <c r="B1129" s="18" t="inlineStr">
        <is>
          <t>Spain</t>
        </is>
      </c>
      <c r="C1129" s="19" t="n">
        <v>49687120</v>
      </c>
      <c r="D1129" s="18" t="inlineStr">
        <is>
          <t>ES</t>
        </is>
      </c>
      <c r="E1129" s="18" t="inlineStr">
        <is>
          <t>56</t>
        </is>
      </c>
      <c r="F1129" s="20" t="n">
        <v>107118</v>
      </c>
      <c r="G1129" s="18" t="n"/>
      <c r="H1129" s="18" t="inlineStr">
        <is>
          <t>REU</t>
        </is>
      </c>
      <c r="I1129" s="18" t="inlineStr">
        <is>
          <t>Reus Airport</t>
        </is>
      </c>
      <c r="J1129" s="21" t="n">
        <v>5.2</v>
      </c>
      <c r="K1129" s="18" t="inlineStr">
        <is>
          <t>REU</t>
        </is>
      </c>
      <c r="L1129" s="18" t="inlineStr">
        <is>
          <t>100k +  pop + airport</t>
        </is>
      </c>
      <c r="M1129" s="22" t="n">
        <v>0.457</v>
      </c>
      <c r="N1129" s="22" t="n">
        <v>0</v>
      </c>
      <c r="O1129" s="18" t="n"/>
      <c r="P1129" s="22">
        <f>IF(O1129="",(About!$B$5*M1129+About!$B$6*N1129)/(About!$B$5+About!$B$6),About!$B$5*M1129+About!$B$6*N1129+About!$B$7*O1129)</f>
        <v/>
      </c>
      <c r="Q1129" s="23" t="n">
        <v>41.1561</v>
      </c>
      <c r="R1129" s="23" t="n">
        <v>1.1069</v>
      </c>
    </row>
    <row r="1130" ht="15" customHeight="1" s="12">
      <c r="A1130" s="18" t="inlineStr">
        <is>
          <t>Denizli</t>
        </is>
      </c>
      <c r="B1130" s="18" t="inlineStr">
        <is>
          <t>Türkiye</t>
        </is>
      </c>
      <c r="C1130" s="19" t="n">
        <v>86092168</v>
      </c>
      <c r="D1130" s="18" t="inlineStr">
        <is>
          <t>TR</t>
        </is>
      </c>
      <c r="E1130" s="18" t="inlineStr">
        <is>
          <t>20</t>
        </is>
      </c>
      <c r="F1130" s="20" t="n">
        <v>313238</v>
      </c>
      <c r="G1130" s="18" t="n"/>
      <c r="H1130" s="18" t="inlineStr">
        <is>
          <t>DNZ</t>
        </is>
      </c>
      <c r="I1130" s="18" t="inlineStr">
        <is>
          <t>Çardak Airport</t>
        </is>
      </c>
      <c r="J1130" s="21" t="n">
        <v>54</v>
      </c>
      <c r="K1130" s="18" t="inlineStr">
        <is>
          <t>DNZ</t>
        </is>
      </c>
      <c r="L1130" s="18" t="inlineStr">
        <is>
          <t>100k +  pop + airport</t>
        </is>
      </c>
      <c r="M1130" s="22" t="n">
        <v>0.456</v>
      </c>
      <c r="N1130" s="22" t="n">
        <v>0</v>
      </c>
      <c r="O1130" s="18" t="n"/>
      <c r="P1130" s="22">
        <f>IF(O1130="",(About!$B$5*M1130+About!$B$6*N1130)/(About!$B$5+About!$B$6),About!$B$5*M1130+About!$B$6*N1130+About!$B$7*O1130)</f>
        <v/>
      </c>
      <c r="Q1130" s="23" t="n">
        <v>37.7742</v>
      </c>
      <c r="R1130" s="23" t="n">
        <v>29.0875</v>
      </c>
    </row>
    <row r="1131" ht="15" customHeight="1" s="12">
      <c r="A1131" s="18" t="inlineStr">
        <is>
          <t>Sfax</t>
        </is>
      </c>
      <c r="B1131" s="18" t="inlineStr">
        <is>
          <t>Tunisia</t>
        </is>
      </c>
      <c r="C1131" s="19" t="n">
        <v>11972169</v>
      </c>
      <c r="D1131" s="18" t="inlineStr">
        <is>
          <t>TN</t>
        </is>
      </c>
      <c r="E1131" s="18" t="inlineStr">
        <is>
          <t>32</t>
        </is>
      </c>
      <c r="F1131" s="20" t="n">
        <v>277278</v>
      </c>
      <c r="G1131" s="18" t="n"/>
      <c r="H1131" s="18" t="inlineStr">
        <is>
          <t>SFA</t>
        </is>
      </c>
      <c r="I1131" s="18" t="inlineStr">
        <is>
          <t>Sfax Thyna International Airport</t>
        </is>
      </c>
      <c r="J1131" s="21" t="n">
        <v>6.8</v>
      </c>
      <c r="K1131" s="18" t="inlineStr">
        <is>
          <t>SFA</t>
        </is>
      </c>
      <c r="L1131" s="18" t="inlineStr">
        <is>
          <t>100k +  pop + airport</t>
        </is>
      </c>
      <c r="M1131" s="22" t="n">
        <v>0.455</v>
      </c>
      <c r="N1131" s="22" t="n">
        <v>0</v>
      </c>
      <c r="O1131" s="18" t="n"/>
      <c r="P1131" s="22">
        <f>IF(O1131="",(About!$B$5*M1131+About!$B$6*N1131)/(About!$B$5+About!$B$6),About!$B$5*M1131+About!$B$6*N1131+About!$B$7*O1131)</f>
        <v/>
      </c>
      <c r="Q1131" s="23" t="n">
        <v>34.7406</v>
      </c>
      <c r="R1131" s="23" t="n">
        <v>10.7603</v>
      </c>
    </row>
    <row r="1132" ht="15" customHeight="1" s="12">
      <c r="A1132" s="18" t="inlineStr">
        <is>
          <t>Sabzevar</t>
        </is>
      </c>
      <c r="B1132" s="18" t="inlineStr">
        <is>
          <t>Iran</t>
        </is>
      </c>
      <c r="C1132" s="19" t="n">
        <v>87134000</v>
      </c>
      <c r="D1132" s="18" t="inlineStr">
        <is>
          <t>IR</t>
        </is>
      </c>
      <c r="E1132" s="18" t="inlineStr">
        <is>
          <t>42</t>
        </is>
      </c>
      <c r="F1132" s="20" t="n">
        <v>226183</v>
      </c>
      <c r="G1132" s="18" t="n"/>
      <c r="H1132" s="18" t="inlineStr">
        <is>
          <t>AFZ</t>
        </is>
      </c>
      <c r="I1132" s="18" t="inlineStr">
        <is>
          <t>Sabzevar National Airport</t>
        </is>
      </c>
      <c r="J1132" s="21" t="n">
        <v>9.199999999999999</v>
      </c>
      <c r="K1132" s="18" t="inlineStr">
        <is>
          <t>AFZ</t>
        </is>
      </c>
      <c r="L1132" s="18" t="inlineStr">
        <is>
          <t>100k +  pop + airport</t>
        </is>
      </c>
      <c r="M1132" s="22" t="n">
        <v>0.456</v>
      </c>
      <c r="N1132" s="22" t="n">
        <v>0</v>
      </c>
      <c r="O1132" s="18" t="n"/>
      <c r="P1132" s="22">
        <f>IF(O1132="",(About!$B$5*M1132+About!$B$6*N1132)/(About!$B$5+About!$B$6),About!$B$5*M1132+About!$B$6*N1132+About!$B$7*O1132)</f>
        <v/>
      </c>
      <c r="Q1132" s="23" t="n">
        <v>36.2126</v>
      </c>
      <c r="R1132" s="23" t="n">
        <v>57.6819</v>
      </c>
    </row>
    <row r="1133" ht="15" customHeight="1" s="12">
      <c r="A1133" s="18" t="inlineStr">
        <is>
          <t>Bukavu</t>
        </is>
      </c>
      <c r="B1133" s="18" t="inlineStr">
        <is>
          <t>DR Congo</t>
        </is>
      </c>
      <c r="C1133" s="19" t="n">
        <v>112832000</v>
      </c>
      <c r="D1133" s="18" t="inlineStr">
        <is>
          <t>CD</t>
        </is>
      </c>
      <c r="E1133" s="18" t="inlineStr">
        <is>
          <t>12</t>
        </is>
      </c>
      <c r="F1133" s="20" t="n">
        <v>225389</v>
      </c>
      <c r="G1133" s="18" t="n"/>
      <c r="H1133" s="18" t="inlineStr">
        <is>
          <t>KME</t>
        </is>
      </c>
      <c r="I1133" s="18" t="inlineStr">
        <is>
          <t>Kamembe Airport</t>
        </is>
      </c>
      <c r="J1133" s="21" t="n">
        <v>7.9</v>
      </c>
      <c r="K1133" s="18" t="inlineStr">
        <is>
          <t>KME</t>
        </is>
      </c>
      <c r="L1133" s="18" t="inlineStr">
        <is>
          <t>100k +  pop + airport</t>
        </is>
      </c>
      <c r="M1133" s="22" t="n">
        <v>0.456</v>
      </c>
      <c r="N1133" s="22" t="n">
        <v>0</v>
      </c>
      <c r="O1133" s="18" t="n"/>
      <c r="P1133" s="22">
        <f>IF(O1133="",(About!$B$5*M1133+About!$B$6*N1133)/(About!$B$5+About!$B$6),About!$B$5*M1133+About!$B$6*N1133+About!$B$7*O1133)</f>
        <v/>
      </c>
      <c r="Q1133" s="23" t="n">
        <v>-2.4908</v>
      </c>
      <c r="R1133" s="23" t="n">
        <v>28.8428</v>
      </c>
    </row>
    <row r="1134" ht="15" customHeight="1" s="12">
      <c r="A1134" s="18" t="inlineStr">
        <is>
          <t>Adıyaman</t>
        </is>
      </c>
      <c r="B1134" s="18" t="inlineStr">
        <is>
          <t>Türkiye</t>
        </is>
      </c>
      <c r="C1134" s="19" t="n">
        <v>86092168</v>
      </c>
      <c r="D1134" s="18" t="inlineStr">
        <is>
          <t>TR</t>
        </is>
      </c>
      <c r="E1134" s="18" t="inlineStr">
        <is>
          <t>02</t>
        </is>
      </c>
      <c r="F1134" s="20" t="n">
        <v>223744</v>
      </c>
      <c r="G1134" s="18" t="n"/>
      <c r="H1134" s="18" t="inlineStr">
        <is>
          <t>ADF</t>
        </is>
      </c>
      <c r="I1134" s="18" t="inlineStr">
        <is>
          <t>Adıyaman Airport</t>
        </is>
      </c>
      <c r="J1134" s="21" t="n">
        <v>17.3</v>
      </c>
      <c r="K1134" s="18" t="inlineStr">
        <is>
          <t>ADF</t>
        </is>
      </c>
      <c r="L1134" s="18" t="inlineStr">
        <is>
          <t>100k +  pop + airport</t>
        </is>
      </c>
      <c r="M1134" s="22" t="n">
        <v>0.456</v>
      </c>
      <c r="N1134" s="22" t="n">
        <v>0</v>
      </c>
      <c r="O1134" s="18" t="n"/>
      <c r="P1134" s="22">
        <f>IF(O1134="",(About!$B$5*M1134+About!$B$6*N1134)/(About!$B$5+About!$B$6),About!$B$5*M1134+About!$B$6*N1134+About!$B$7*O1134)</f>
        <v/>
      </c>
      <c r="Q1134" s="23" t="n">
        <v>37.7644</v>
      </c>
      <c r="R1134" s="23" t="n">
        <v>38.2763</v>
      </c>
    </row>
    <row r="1135" ht="15" customHeight="1" s="12">
      <c r="A1135" s="18" t="inlineStr">
        <is>
          <t>Banja Luka</t>
        </is>
      </c>
      <c r="B1135" s="18" t="inlineStr">
        <is>
          <t>Bosnia and Herzegovina</t>
        </is>
      </c>
      <c r="C1135" s="19" t="n">
        <v>3412000</v>
      </c>
      <c r="D1135" s="18" t="inlineStr">
        <is>
          <t>BA</t>
        </is>
      </c>
      <c r="E1135" s="18" t="inlineStr">
        <is>
          <t>02</t>
        </is>
      </c>
      <c r="F1135" s="20" t="n">
        <v>221106</v>
      </c>
      <c r="G1135" s="18" t="n"/>
      <c r="H1135" s="18" t="inlineStr">
        <is>
          <t>BNX</t>
        </is>
      </c>
      <c r="I1135" s="18" t="inlineStr">
        <is>
          <t>Banja Luka International Airport</t>
        </is>
      </c>
      <c r="J1135" s="21" t="n">
        <v>19.9</v>
      </c>
      <c r="K1135" s="18" t="inlineStr">
        <is>
          <t>BNX</t>
        </is>
      </c>
      <c r="L1135" s="18" t="inlineStr">
        <is>
          <t>100k +  pop</t>
        </is>
      </c>
      <c r="M1135" s="22" t="n">
        <v>0.456</v>
      </c>
      <c r="N1135" s="22" t="n">
        <v>0</v>
      </c>
      <c r="O1135" s="18" t="n"/>
      <c r="P1135" s="22">
        <f>IF(O1135="",(About!$B$5*M1135+About!$B$6*N1135)/(About!$B$5+About!$B$6),About!$B$5*M1135+About!$B$6*N1135+About!$B$7*O1135)</f>
        <v/>
      </c>
      <c r="Q1135" s="23" t="n">
        <v>44.7784</v>
      </c>
      <c r="R1135" s="23" t="n">
        <v>17.1939</v>
      </c>
    </row>
    <row r="1136" ht="15" customHeight="1" s="12">
      <c r="A1136" s="18" t="inlineStr">
        <is>
          <t>Bojnūrd</t>
        </is>
      </c>
      <c r="B1136" s="18" t="inlineStr">
        <is>
          <t>Iran</t>
        </is>
      </c>
      <c r="C1136" s="19" t="n">
        <v>87134000</v>
      </c>
      <c r="D1136" s="18" t="inlineStr">
        <is>
          <t>IR</t>
        </is>
      </c>
      <c r="E1136" s="18" t="inlineStr">
        <is>
          <t>43</t>
        </is>
      </c>
      <c r="F1136" s="20" t="n">
        <v>192041</v>
      </c>
      <c r="G1136" s="18" t="n"/>
      <c r="H1136" s="18" t="inlineStr">
        <is>
          <t>BJB</t>
        </is>
      </c>
      <c r="I1136" s="18" t="inlineStr">
        <is>
          <t>Bojnord Airport</t>
        </is>
      </c>
      <c r="J1136" s="21" t="n">
        <v>2.7</v>
      </c>
      <c r="K1136" s="18" t="inlineStr">
        <is>
          <t>BJB</t>
        </is>
      </c>
      <c r="L1136" s="18" t="inlineStr">
        <is>
          <t>100k +  pop + airport</t>
        </is>
      </c>
      <c r="M1136" s="22" t="n">
        <v>0.456</v>
      </c>
      <c r="N1136" s="22" t="n">
        <v>0</v>
      </c>
      <c r="O1136" s="18" t="n"/>
      <c r="P1136" s="22">
        <f>IF(O1136="",(About!$B$5*M1136+About!$B$6*N1136)/(About!$B$5+About!$B$6),About!$B$5*M1136+About!$B$6*N1136+About!$B$7*O1136)</f>
        <v/>
      </c>
      <c r="Q1136" s="23" t="n">
        <v>37.4747</v>
      </c>
      <c r="R1136" s="23" t="n">
        <v>57.329</v>
      </c>
    </row>
    <row r="1137" ht="15" customHeight="1" s="12">
      <c r="A1137" s="18" t="inlineStr">
        <is>
          <t>Roxas City</t>
        </is>
      </c>
      <c r="B1137" s="18" t="inlineStr">
        <is>
          <t>Philippines</t>
        </is>
      </c>
      <c r="C1137" s="19" t="n">
        <v>114123600</v>
      </c>
      <c r="D1137" s="18" t="inlineStr">
        <is>
          <t>PH</t>
        </is>
      </c>
      <c r="E1137" s="18" t="inlineStr">
        <is>
          <t>06</t>
        </is>
      </c>
      <c r="F1137" s="20" t="n">
        <v>102688</v>
      </c>
      <c r="G1137" s="18" t="n"/>
      <c r="H1137" s="18" t="inlineStr">
        <is>
          <t>RXS</t>
        </is>
      </c>
      <c r="I1137" s="18" t="inlineStr">
        <is>
          <t>Roxas Airport</t>
        </is>
      </c>
      <c r="J1137" s="21" t="n">
        <v>1.4</v>
      </c>
      <c r="K1137" s="18" t="inlineStr">
        <is>
          <t>RXS</t>
        </is>
      </c>
      <c r="L1137" s="18" t="inlineStr">
        <is>
          <t>100k +  pop + airport</t>
        </is>
      </c>
      <c r="M1137" s="22" t="n">
        <v>0.456</v>
      </c>
      <c r="N1137" s="22" t="n">
        <v>0</v>
      </c>
      <c r="O1137" s="18" t="n"/>
      <c r="P1137" s="22">
        <f>IF(O1137="",(About!$B$5*M1137+About!$B$6*N1137)/(About!$B$5+About!$B$6),About!$B$5*M1137+About!$B$6*N1137+About!$B$7*O1137)</f>
        <v/>
      </c>
      <c r="Q1137" s="23" t="n">
        <v>11.5853</v>
      </c>
      <c r="R1137" s="23" t="n">
        <v>122.7511</v>
      </c>
    </row>
    <row r="1138" ht="15" customHeight="1" s="12">
      <c r="A1138" s="18" t="inlineStr">
        <is>
          <t>Cyangugu</t>
        </is>
      </c>
      <c r="B1138" s="18" t="inlineStr">
        <is>
          <t>Rwanda</t>
        </is>
      </c>
      <c r="C1138" s="19" t="n">
        <v>14104969</v>
      </c>
      <c r="D1138" s="18" t="inlineStr">
        <is>
          <t>RW</t>
        </is>
      </c>
      <c r="E1138" s="18" t="inlineStr">
        <is>
          <t>14</t>
        </is>
      </c>
      <c r="F1138" s="20" t="n">
        <v>63883</v>
      </c>
      <c r="G1138" s="18" t="n"/>
      <c r="H1138" s="18" t="inlineStr">
        <is>
          <t>KME</t>
        </is>
      </c>
      <c r="I1138" s="18" t="inlineStr">
        <is>
          <t>Kamembe Airport</t>
        </is>
      </c>
      <c r="J1138" s="21" t="n">
        <v>2.5</v>
      </c>
      <c r="K1138" s="18" t="inlineStr">
        <is>
          <t>KME</t>
        </is>
      </c>
      <c r="L1138" s="18" t="inlineStr">
        <is>
          <t>airport</t>
        </is>
      </c>
      <c r="M1138" s="22" t="n">
        <v>0.456</v>
      </c>
      <c r="N1138" s="22" t="n">
        <v>0</v>
      </c>
      <c r="O1138" s="18" t="n"/>
      <c r="P1138" s="22">
        <f>IF(O1138="",(About!$B$5*M1138+About!$B$6*N1138)/(About!$B$5+About!$B$6),About!$B$5*M1138+About!$B$6*N1138+About!$B$7*O1138)</f>
        <v/>
      </c>
      <c r="Q1138" s="23" t="n">
        <v>-2.4846</v>
      </c>
      <c r="R1138" s="23" t="n">
        <v>28.9075</v>
      </c>
    </row>
    <row r="1139" ht="15" customHeight="1" s="12">
      <c r="A1139" s="18" t="inlineStr">
        <is>
          <t>Turpan</t>
        </is>
      </c>
      <c r="B1139" s="18" t="inlineStr">
        <is>
          <t>China</t>
        </is>
      </c>
      <c r="C1139" s="19" t="n">
        <v>1404890000</v>
      </c>
      <c r="D1139" s="18" t="inlineStr">
        <is>
          <t>CN</t>
        </is>
      </c>
      <c r="E1139" s="18" t="inlineStr">
        <is>
          <t>13</t>
        </is>
      </c>
      <c r="F1139" s="20" t="n">
        <v>254900</v>
      </c>
      <c r="G1139" s="18" t="n"/>
      <c r="H1139" s="18" t="inlineStr">
        <is>
          <t>TLQ</t>
        </is>
      </c>
      <c r="I1139" s="18" t="inlineStr">
        <is>
          <t>Turpan Jiaohe Airport</t>
        </is>
      </c>
      <c r="J1139" s="21" t="n">
        <v>11.3</v>
      </c>
      <c r="K1139" s="18" t="inlineStr">
        <is>
          <t>TLQ</t>
        </is>
      </c>
      <c r="L1139" s="18" t="inlineStr">
        <is>
          <t>100k +  pop + airport</t>
        </is>
      </c>
      <c r="M1139" s="22" t="n">
        <v>0.454</v>
      </c>
      <c r="N1139" s="22" t="n">
        <v>0</v>
      </c>
      <c r="O1139" s="18" t="n"/>
      <c r="P1139" s="22">
        <f>IF(O1139="",(About!$B$5*M1139+About!$B$6*N1139)/(About!$B$5+About!$B$6),About!$B$5*M1139+About!$B$6*N1139+About!$B$7*O1139)</f>
        <v/>
      </c>
      <c r="Q1139" s="23" t="n">
        <v>42.9477</v>
      </c>
      <c r="R1139" s="23" t="n">
        <v>89.1789</v>
      </c>
    </row>
    <row r="1140" ht="15" customHeight="1" s="12">
      <c r="A1140" s="18" t="inlineStr">
        <is>
          <t>Gasteiz / Vitoria</t>
        </is>
      </c>
      <c r="B1140" s="18" t="inlineStr">
        <is>
          <t>Spain</t>
        </is>
      </c>
      <c r="C1140" s="19" t="n">
        <v>49687120</v>
      </c>
      <c r="D1140" s="18" t="inlineStr">
        <is>
          <t>ES</t>
        </is>
      </c>
      <c r="E1140" s="18" t="inlineStr">
        <is>
          <t>59</t>
        </is>
      </c>
      <c r="F1140" s="20" t="n">
        <v>235661</v>
      </c>
      <c r="G1140" s="18" t="n"/>
      <c r="H1140" s="18" t="inlineStr">
        <is>
          <t>VIT</t>
        </is>
      </c>
      <c r="I1140" s="18" t="inlineStr">
        <is>
          <t>Vitoria Airport</t>
        </is>
      </c>
      <c r="J1140" s="21" t="n">
        <v>5.6</v>
      </c>
      <c r="K1140" s="18" t="inlineStr">
        <is>
          <t>VIT</t>
        </is>
      </c>
      <c r="L1140" s="18" t="inlineStr">
        <is>
          <t>100k +  pop + airport</t>
        </is>
      </c>
      <c r="M1140" s="22" t="n">
        <v>0.454</v>
      </c>
      <c r="N1140" s="22" t="n">
        <v>0</v>
      </c>
      <c r="O1140" s="18" t="n"/>
      <c r="P1140" s="22">
        <f>IF(O1140="",(About!$B$5*M1140+About!$B$6*N1140)/(About!$B$5+About!$B$6),About!$B$5*M1140+About!$B$6*N1140+About!$B$7*O1140)</f>
        <v/>
      </c>
      <c r="Q1140" s="23" t="n">
        <v>42.85</v>
      </c>
      <c r="R1140" s="23" t="n">
        <v>-2.6727</v>
      </c>
    </row>
    <row r="1141" ht="15" customHeight="1" s="12">
      <c r="A1141" s="18" t="inlineStr">
        <is>
          <t>Debrecen</t>
        </is>
      </c>
      <c r="B1141" s="18" t="inlineStr">
        <is>
          <t>Hungary</t>
        </is>
      </c>
      <c r="C1141" s="19" t="n">
        <v>9489000</v>
      </c>
      <c r="D1141" s="18" t="inlineStr">
        <is>
          <t>HU</t>
        </is>
      </c>
      <c r="E1141" s="18" t="inlineStr">
        <is>
          <t>10</t>
        </is>
      </c>
      <c r="F1141" s="20" t="n">
        <v>204124</v>
      </c>
      <c r="G1141" s="18" t="n"/>
      <c r="H1141" s="18" t="inlineStr">
        <is>
          <t>DEB</t>
        </is>
      </c>
      <c r="I1141" s="18" t="inlineStr">
        <is>
          <t>Debrecen International Airport</t>
        </is>
      </c>
      <c r="J1141" s="21" t="n">
        <v>4.7</v>
      </c>
      <c r="K1141" s="18" t="inlineStr">
        <is>
          <t>DEB</t>
        </is>
      </c>
      <c r="L1141" s="18" t="inlineStr">
        <is>
          <t>100k +  pop + airport</t>
        </is>
      </c>
      <c r="M1141" s="22" t="n">
        <v>0.453</v>
      </c>
      <c r="N1141" s="22" t="n">
        <v>0</v>
      </c>
      <c r="O1141" s="18" t="n"/>
      <c r="P1141" s="22">
        <f>IF(O1141="",(About!$B$5*M1141+About!$B$6*N1141)/(About!$B$5+About!$B$6),About!$B$5*M1141+About!$B$6*N1141+About!$B$7*O1141)</f>
        <v/>
      </c>
      <c r="Q1141" s="23" t="n">
        <v>47.5317</v>
      </c>
      <c r="R1141" s="23" t="n">
        <v>21.6244</v>
      </c>
    </row>
    <row r="1142" ht="15" customHeight="1" s="12">
      <c r="A1142" s="18" t="inlineStr">
        <is>
          <t>Kigoma</t>
        </is>
      </c>
      <c r="B1142" s="18" t="inlineStr">
        <is>
          <t>Tanzania</t>
        </is>
      </c>
      <c r="C1142" s="19" t="n">
        <v>68153004</v>
      </c>
      <c r="D1142" s="18" t="inlineStr">
        <is>
          <t>TZ</t>
        </is>
      </c>
      <c r="E1142" s="18" t="inlineStr">
        <is>
          <t>05</t>
        </is>
      </c>
      <c r="F1142" s="20" t="n">
        <v>164268</v>
      </c>
      <c r="G1142" s="18" t="n"/>
      <c r="H1142" s="18" t="inlineStr">
        <is>
          <t>TKQ</t>
        </is>
      </c>
      <c r="I1142" s="18" t="inlineStr">
        <is>
          <t>Kigoma Airport</t>
        </is>
      </c>
      <c r="J1142" s="21" t="n">
        <v>5</v>
      </c>
      <c r="K1142" s="18" t="inlineStr">
        <is>
          <t>TKQ</t>
        </is>
      </c>
      <c r="L1142" s="18" t="inlineStr">
        <is>
          <t>100k +  pop + airport</t>
        </is>
      </c>
      <c r="M1142" s="22" t="n">
        <v>0.453</v>
      </c>
      <c r="N1142" s="22" t="n">
        <v>0</v>
      </c>
      <c r="O1142" s="18" t="n"/>
      <c r="P1142" s="22">
        <f>IF(O1142="",(About!$B$5*M1142+About!$B$6*N1142)/(About!$B$5+About!$B$6),About!$B$5*M1142+About!$B$6*N1142+About!$B$7*O1142)</f>
        <v/>
      </c>
      <c r="Q1142" s="23" t="n">
        <v>-4.8769</v>
      </c>
      <c r="R1142" s="23" t="n">
        <v>29.6267</v>
      </c>
    </row>
    <row r="1143" ht="15" customHeight="1" s="12">
      <c r="A1143" s="18" t="inlineStr">
        <is>
          <t>Cabo Frio</t>
        </is>
      </c>
      <c r="B1143" s="18" t="inlineStr">
        <is>
          <t>Brazil</t>
        </is>
      </c>
      <c r="C1143" s="19" t="n">
        <v>213421037</v>
      </c>
      <c r="D1143" s="18" t="inlineStr">
        <is>
          <t>BR</t>
        </is>
      </c>
      <c r="E1143" s="18" t="inlineStr">
        <is>
          <t>21</t>
        </is>
      </c>
      <c r="F1143" s="20" t="n">
        <v>108239</v>
      </c>
      <c r="G1143" s="18" t="n"/>
      <c r="H1143" s="18" t="inlineStr">
        <is>
          <t>CFB</t>
        </is>
      </c>
      <c r="I1143" s="18" t="inlineStr">
        <is>
          <t>Cabo Frio Airport</t>
        </is>
      </c>
      <c r="J1143" s="21" t="n">
        <v>6</v>
      </c>
      <c r="K1143" s="18" t="inlineStr">
        <is>
          <t>CFB</t>
        </is>
      </c>
      <c r="L1143" s="18" t="inlineStr">
        <is>
          <t>100k +  pop + airport</t>
        </is>
      </c>
      <c r="M1143" s="22" t="n">
        <v>0.455</v>
      </c>
      <c r="N1143" s="22" t="n">
        <v>0</v>
      </c>
      <c r="O1143" s="18" t="n"/>
      <c r="P1143" s="22">
        <f>IF(O1143="",(About!$B$5*M1143+About!$B$6*N1143)/(About!$B$5+About!$B$6),About!$B$5*M1143+About!$B$6*N1143+About!$B$7*O1143)</f>
        <v/>
      </c>
      <c r="Q1143" s="23" t="n">
        <v>-22.8872</v>
      </c>
      <c r="R1143" s="23" t="n">
        <v>-42.0262</v>
      </c>
    </row>
    <row r="1144" ht="15" customHeight="1" s="12">
      <c r="A1144" s="18" t="inlineStr">
        <is>
          <t>Benin City</t>
        </is>
      </c>
      <c r="B1144" s="18" t="inlineStr">
        <is>
          <t>Nigeria</t>
        </is>
      </c>
      <c r="C1144" s="19" t="n">
        <v>223800000</v>
      </c>
      <c r="D1144" s="18" t="inlineStr">
        <is>
          <t>NG</t>
        </is>
      </c>
      <c r="E1144" s="18" t="inlineStr">
        <is>
          <t>37</t>
        </is>
      </c>
      <c r="F1144" s="20" t="n">
        <v>1125058</v>
      </c>
      <c r="G1144" s="18" t="n"/>
      <c r="H1144" s="18" t="inlineStr">
        <is>
          <t>BNI</t>
        </is>
      </c>
      <c r="I1144" s="18" t="inlineStr">
        <is>
          <t>Benin Airport</t>
        </is>
      </c>
      <c r="J1144" s="21" t="n">
        <v>3.7</v>
      </c>
      <c r="K1144" s="18" t="inlineStr">
        <is>
          <t>BNI</t>
        </is>
      </c>
      <c r="L1144" s="18" t="inlineStr">
        <is>
          <t>100k +  pop + airport</t>
        </is>
      </c>
      <c r="M1144" s="22" t="n">
        <v>0.452</v>
      </c>
      <c r="N1144" s="22" t="n">
        <v>0</v>
      </c>
      <c r="O1144" s="18" t="n"/>
      <c r="P1144" s="22">
        <f>IF(O1144="",(About!$B$5*M1144+About!$B$6*N1144)/(About!$B$5+About!$B$6),About!$B$5*M1144+About!$B$6*N1144+About!$B$7*O1144)</f>
        <v/>
      </c>
      <c r="Q1144" s="23" t="n">
        <v>6.3381</v>
      </c>
      <c r="R1144" s="23" t="n">
        <v>5.6258</v>
      </c>
    </row>
    <row r="1145" ht="15" customHeight="1" s="12">
      <c r="A1145" s="18" t="inlineStr">
        <is>
          <t>Yaroslavl</t>
        </is>
      </c>
      <c r="B1145" s="18" t="inlineStr">
        <is>
          <t>Russia</t>
        </is>
      </c>
      <c r="C1145" s="19" t="n">
        <v>146028325</v>
      </c>
      <c r="D1145" s="18" t="inlineStr">
        <is>
          <t>RU</t>
        </is>
      </c>
      <c r="E1145" s="18" t="inlineStr">
        <is>
          <t>88</t>
        </is>
      </c>
      <c r="F1145" s="20" t="n">
        <v>606730</v>
      </c>
      <c r="G1145" s="18" t="n"/>
      <c r="H1145" s="18" t="inlineStr">
        <is>
          <t>IAR</t>
        </is>
      </c>
      <c r="I1145" s="18" t="inlineStr">
        <is>
          <t>Golden Ring Yaroslavl International Airport</t>
        </is>
      </c>
      <c r="J1145" s="21" t="n">
        <v>18.6</v>
      </c>
      <c r="K1145" s="18" t="inlineStr">
        <is>
          <t>IAR</t>
        </is>
      </c>
      <c r="L1145" s="18" t="inlineStr">
        <is>
          <t>100k +  pop</t>
        </is>
      </c>
      <c r="M1145" s="22" t="n">
        <v>0.452</v>
      </c>
      <c r="N1145" s="22" t="n">
        <v>0</v>
      </c>
      <c r="O1145" s="18" t="n"/>
      <c r="P1145" s="22">
        <f>IF(O1145="",(About!$B$5*M1145+About!$B$6*N1145)/(About!$B$5+About!$B$6),About!$B$5*M1145+About!$B$6*N1145+About!$B$7*O1145)</f>
        <v/>
      </c>
      <c r="Q1145" s="23" t="n">
        <v>57.6299</v>
      </c>
      <c r="R1145" s="23" t="n">
        <v>39.8737</v>
      </c>
    </row>
    <row r="1146" ht="15" customHeight="1" s="12">
      <c r="A1146" s="18" t="inlineStr">
        <is>
          <t>Sukkur</t>
        </is>
      </c>
      <c r="B1146" s="18" t="inlineStr">
        <is>
          <t>Pakistan</t>
        </is>
      </c>
      <c r="C1146" s="19" t="n">
        <v>241499431</v>
      </c>
      <c r="D1146" s="18" t="inlineStr">
        <is>
          <t>PK</t>
        </is>
      </c>
      <c r="E1146" s="18" t="inlineStr">
        <is>
          <t>05</t>
        </is>
      </c>
      <c r="F1146" s="20" t="n">
        <v>417767</v>
      </c>
      <c r="G1146" s="18" t="n"/>
      <c r="H1146" s="18" t="inlineStr">
        <is>
          <t>SKZ</t>
        </is>
      </c>
      <c r="I1146" s="18" t="inlineStr">
        <is>
          <t>Begum Nusrat Bhutto International Airport Sukkur</t>
        </is>
      </c>
      <c r="J1146" s="21" t="n">
        <v>6.9</v>
      </c>
      <c r="K1146" s="18" t="inlineStr">
        <is>
          <t>SKZ</t>
        </is>
      </c>
      <c r="L1146" s="18" t="inlineStr">
        <is>
          <t>100k +  pop + airport</t>
        </is>
      </c>
      <c r="M1146" s="22" t="n">
        <v>0.453</v>
      </c>
      <c r="N1146" s="22" t="n">
        <v>0</v>
      </c>
      <c r="O1146" s="18" t="n"/>
      <c r="P1146" s="22">
        <f>IF(O1146="",(About!$B$5*M1146+About!$B$6*N1146)/(About!$B$5+About!$B$6),About!$B$5*M1146+About!$B$6*N1146+About!$B$7*O1146)</f>
        <v/>
      </c>
      <c r="Q1146" s="23" t="n">
        <v>27.7032</v>
      </c>
      <c r="R1146" s="23" t="n">
        <v>68.85890000000001</v>
      </c>
    </row>
    <row r="1147" ht="15" customHeight="1" s="12">
      <c r="A1147" s="18" t="inlineStr">
        <is>
          <t>Petrozavodsk</t>
        </is>
      </c>
      <c r="B1147" s="18" t="inlineStr">
        <is>
          <t>Russia</t>
        </is>
      </c>
      <c r="C1147" s="19" t="n">
        <v>146028325</v>
      </c>
      <c r="D1147" s="18" t="inlineStr">
        <is>
          <t>RU</t>
        </is>
      </c>
      <c r="E1147" s="18" t="inlineStr">
        <is>
          <t>28</t>
        </is>
      </c>
      <c r="F1147" s="20" t="n">
        <v>265025</v>
      </c>
      <c r="G1147" s="18" t="n"/>
      <c r="H1147" s="18" t="inlineStr">
        <is>
          <t>PES</t>
        </is>
      </c>
      <c r="I1147" s="18" t="inlineStr">
        <is>
          <t>Petrozavodsk Airport</t>
        </is>
      </c>
      <c r="J1147" s="21" t="n">
        <v>15</v>
      </c>
      <c r="K1147" s="18" t="inlineStr">
        <is>
          <t>PES</t>
        </is>
      </c>
      <c r="L1147" s="18" t="inlineStr">
        <is>
          <t>100k +  pop + airport</t>
        </is>
      </c>
      <c r="M1147" s="22" t="n">
        <v>0.452</v>
      </c>
      <c r="N1147" s="22" t="n">
        <v>0</v>
      </c>
      <c r="O1147" s="18" t="n"/>
      <c r="P1147" s="22">
        <f>IF(O1147="",(About!$B$5*M1147+About!$B$6*N1147)/(About!$B$5+About!$B$6),About!$B$5*M1147+About!$B$6*N1147+About!$B$7*O1147)</f>
        <v/>
      </c>
      <c r="Q1147" s="23" t="n">
        <v>61.7849</v>
      </c>
      <c r="R1147" s="23" t="n">
        <v>34.3469</v>
      </c>
    </row>
    <row r="1148" ht="15" customHeight="1" s="12">
      <c r="A1148" s="18" t="inlineStr">
        <is>
          <t>Sivas</t>
        </is>
      </c>
      <c r="B1148" s="18" t="inlineStr">
        <is>
          <t>Türkiye</t>
        </is>
      </c>
      <c r="C1148" s="19" t="n">
        <v>86092168</v>
      </c>
      <c r="D1148" s="18" t="inlineStr">
        <is>
          <t>TR</t>
        </is>
      </c>
      <c r="E1148" s="18" t="inlineStr">
        <is>
          <t>58</t>
        </is>
      </c>
      <c r="F1148" s="20" t="n">
        <v>264022</v>
      </c>
      <c r="G1148" s="18" t="n"/>
      <c r="H1148" s="18" t="inlineStr">
        <is>
          <t>VAS</t>
        </is>
      </c>
      <c r="I1148" s="18" t="inlineStr">
        <is>
          <t>Sivas Nuri Demirağ Airport</t>
        </is>
      </c>
      <c r="J1148" s="21" t="n">
        <v>12.1</v>
      </c>
      <c r="K1148" s="18" t="inlineStr">
        <is>
          <t>VAS</t>
        </is>
      </c>
      <c r="L1148" s="18" t="inlineStr">
        <is>
          <t>100k +  pop + airport</t>
        </is>
      </c>
      <c r="M1148" s="22" t="n">
        <v>0.453</v>
      </c>
      <c r="N1148" s="22" t="n">
        <v>0</v>
      </c>
      <c r="O1148" s="18" t="n"/>
      <c r="P1148" s="22">
        <f>IF(O1148="",(About!$B$5*M1148+About!$B$6*N1148)/(About!$B$5+About!$B$6),About!$B$5*M1148+About!$B$6*N1148+About!$B$7*O1148)</f>
        <v/>
      </c>
      <c r="Q1148" s="23" t="n">
        <v>39.7483</v>
      </c>
      <c r="R1148" s="23" t="n">
        <v>37.0161</v>
      </c>
    </row>
    <row r="1149" ht="15" customHeight="1" s="12">
      <c r="A1149" s="18" t="inlineStr">
        <is>
          <t>Pakokku</t>
        </is>
      </c>
      <c r="B1149" s="18" t="inlineStr">
        <is>
          <t>Myanmar</t>
        </is>
      </c>
      <c r="C1149" s="19" t="n">
        <v>51375327</v>
      </c>
      <c r="D1149" s="18" t="inlineStr">
        <is>
          <t>MM</t>
        </is>
      </c>
      <c r="E1149" s="18" t="inlineStr">
        <is>
          <t>15</t>
        </is>
      </c>
      <c r="F1149" s="20" t="n">
        <v>126938</v>
      </c>
      <c r="G1149" s="18" t="n"/>
      <c r="H1149" s="18" t="inlineStr">
        <is>
          <t>NYU</t>
        </is>
      </c>
      <c r="I1149" s="18" t="inlineStr">
        <is>
          <t>Bagan Airport</t>
        </is>
      </c>
      <c r="J1149" s="21" t="n">
        <v>23.6</v>
      </c>
      <c r="K1149" s="18" t="inlineStr">
        <is>
          <t>NYU</t>
        </is>
      </c>
      <c r="L1149" s="18" t="inlineStr">
        <is>
          <t>100k +  pop</t>
        </is>
      </c>
      <c r="M1149" s="22" t="n">
        <v>0.452</v>
      </c>
      <c r="N1149" s="22" t="n">
        <v>0</v>
      </c>
      <c r="O1149" s="18" t="n"/>
      <c r="P1149" s="22">
        <f>IF(O1149="",(About!$B$5*M1149+About!$B$6*N1149)/(About!$B$5+About!$B$6),About!$B$5*M1149+About!$B$6*N1149+About!$B$7*O1149)</f>
        <v/>
      </c>
      <c r="Q1149" s="23" t="n">
        <v>21.3349</v>
      </c>
      <c r="R1149" s="23" t="n">
        <v>95.0844</v>
      </c>
    </row>
    <row r="1150" ht="15" customHeight="1" s="12">
      <c r="A1150" s="18" t="inlineStr">
        <is>
          <t>Khairpur Mir’s</t>
        </is>
      </c>
      <c r="B1150" s="18" t="inlineStr">
        <is>
          <t>Pakistan</t>
        </is>
      </c>
      <c r="C1150" s="19" t="n">
        <v>241499431</v>
      </c>
      <c r="D1150" s="18" t="inlineStr">
        <is>
          <t>PK</t>
        </is>
      </c>
      <c r="E1150" s="18" t="inlineStr">
        <is>
          <t>05</t>
        </is>
      </c>
      <c r="F1150" s="20" t="n">
        <v>124602</v>
      </c>
      <c r="G1150" s="18" t="n"/>
      <c r="H1150" s="18" t="inlineStr">
        <is>
          <t>SKZ</t>
        </is>
      </c>
      <c r="I1150" s="18" t="inlineStr">
        <is>
          <t>Begum Nusrat Bhutto International Airport Sukkur</t>
        </is>
      </c>
      <c r="J1150" s="21" t="n">
        <v>21.6</v>
      </c>
      <c r="K1150" s="18" t="inlineStr">
        <is>
          <t>SKZ</t>
        </is>
      </c>
      <c r="L1150" s="18" t="inlineStr">
        <is>
          <t>100k +  pop</t>
        </is>
      </c>
      <c r="M1150" s="22" t="n">
        <v>0.453</v>
      </c>
      <c r="N1150" s="22" t="n">
        <v>0</v>
      </c>
      <c r="O1150" s="18" t="n"/>
      <c r="P1150" s="22">
        <f>IF(O1150="",(About!$B$5*M1150+About!$B$6*N1150)/(About!$B$5+About!$B$6),About!$B$5*M1150+About!$B$6*N1150+About!$B$7*O1150)</f>
        <v/>
      </c>
      <c r="Q1150" s="23" t="n">
        <v>27.5295</v>
      </c>
      <c r="R1150" s="23" t="n">
        <v>68.75920000000001</v>
      </c>
    </row>
    <row r="1151" ht="15" customHeight="1" s="12">
      <c r="A1151" s="18" t="inlineStr">
        <is>
          <t>Pescara</t>
        </is>
      </c>
      <c r="B1151" s="18" t="inlineStr">
        <is>
          <t>Italy</t>
        </is>
      </c>
      <c r="C1151" s="19" t="n">
        <v>58932330</v>
      </c>
      <c r="D1151" s="18" t="inlineStr">
        <is>
          <t>IT</t>
        </is>
      </c>
      <c r="E1151" s="18" t="inlineStr">
        <is>
          <t>01</t>
        </is>
      </c>
      <c r="F1151" s="20" t="n">
        <v>228126</v>
      </c>
      <c r="G1151" s="18" t="n"/>
      <c r="H1151" s="18" t="inlineStr">
        <is>
          <t>PSR</t>
        </is>
      </c>
      <c r="I1151" s="18" t="inlineStr">
        <is>
          <t>Abruzzo Airport</t>
        </is>
      </c>
      <c r="J1151" s="21" t="n">
        <v>3.4</v>
      </c>
      <c r="K1151" s="18" t="inlineStr">
        <is>
          <t>PSR</t>
        </is>
      </c>
      <c r="L1151" s="18" t="inlineStr">
        <is>
          <t>100k +  pop + airport</t>
        </is>
      </c>
      <c r="M1151" s="22" t="n">
        <v>0.452</v>
      </c>
      <c r="N1151" s="22" t="n">
        <v>0</v>
      </c>
      <c r="O1151" s="18" t="n"/>
      <c r="P1151" s="22">
        <f>IF(O1151="",(About!$B$5*M1151+About!$B$6*N1151)/(About!$B$5+About!$B$6),About!$B$5*M1151+About!$B$6*N1151+About!$B$7*O1151)</f>
        <v/>
      </c>
      <c r="Q1151" s="23" t="n">
        <v>42.4584</v>
      </c>
      <c r="R1151" s="23" t="n">
        <v>14.2028</v>
      </c>
    </row>
    <row r="1152" ht="15" customHeight="1" s="12">
      <c r="A1152" s="18" t="inlineStr">
        <is>
          <t>Mariehamn</t>
        </is>
      </c>
      <c r="B1152" s="18" t="inlineStr">
        <is>
          <t>Åland Islands</t>
        </is>
      </c>
      <c r="C1152" s="19" t="n">
        <v>30541</v>
      </c>
      <c r="D1152" s="18" t="inlineStr">
        <is>
          <t>AX</t>
        </is>
      </c>
      <c r="E1152" s="18" t="inlineStr">
        <is>
          <t>211</t>
        </is>
      </c>
      <c r="F1152" s="20" t="n">
        <v>10682</v>
      </c>
      <c r="G1152" s="18" t="inlineStr">
        <is>
          <t>Yes</t>
        </is>
      </c>
      <c r="H1152" s="18" t="inlineStr">
        <is>
          <t>MHQ</t>
        </is>
      </c>
      <c r="I1152" s="18" t="inlineStr">
        <is>
          <t>Mariehamn Airport</t>
        </is>
      </c>
      <c r="J1152" s="21" t="n">
        <v>3.4</v>
      </c>
      <c r="K1152" s="18" t="inlineStr">
        <is>
          <t>MHQ</t>
        </is>
      </c>
      <c r="L1152" s="18" t="inlineStr">
        <is>
          <t>capital</t>
        </is>
      </c>
      <c r="M1152" s="22" t="n">
        <v>0.451</v>
      </c>
      <c r="N1152" s="22" t="n">
        <v>0</v>
      </c>
      <c r="O1152" s="18" t="n"/>
      <c r="P1152" s="22">
        <f>IF(O1152="",(About!$B$5*M1152+About!$B$6*N1152)/(About!$B$5+About!$B$6),About!$B$5*M1152+About!$B$6*N1152+About!$B$7*O1152)</f>
        <v/>
      </c>
      <c r="Q1152" s="23" t="n">
        <v>60.0973</v>
      </c>
      <c r="R1152" s="23" t="n">
        <v>19.9348</v>
      </c>
    </row>
    <row r="1153" ht="15" customHeight="1" s="12">
      <c r="A1153" s="18" t="inlineStr">
        <is>
          <t>Funafuti</t>
        </is>
      </c>
      <c r="B1153" s="18" t="inlineStr">
        <is>
          <t>Tuvalu</t>
        </is>
      </c>
      <c r="C1153" s="19" t="n">
        <v>10643</v>
      </c>
      <c r="D1153" s="18" t="inlineStr">
        <is>
          <t>TV</t>
        </is>
      </c>
      <c r="E1153" s="18" t="inlineStr">
        <is>
          <t>FUN</t>
        </is>
      </c>
      <c r="F1153" s="20" t="n">
        <v>4492</v>
      </c>
      <c r="G1153" s="18" t="inlineStr">
        <is>
          <t>Yes</t>
        </is>
      </c>
      <c r="H1153" s="18" t="inlineStr">
        <is>
          <t>FUN</t>
        </is>
      </c>
      <c r="I1153" s="18" t="inlineStr">
        <is>
          <t>Funafuti International Airport</t>
        </is>
      </c>
      <c r="J1153" s="21" t="n">
        <v>0.3</v>
      </c>
      <c r="K1153" s="18" t="inlineStr">
        <is>
          <t>FUN</t>
        </is>
      </c>
      <c r="L1153" s="18" t="inlineStr">
        <is>
          <t>capital</t>
        </is>
      </c>
      <c r="M1153" s="22" t="n">
        <v>0.452</v>
      </c>
      <c r="N1153" s="22" t="n">
        <v>0</v>
      </c>
      <c r="O1153" s="18" t="n"/>
      <c r="P1153" s="22">
        <f>IF(O1153="",(About!$B$5*M1153+About!$B$6*N1153)/(About!$B$5+About!$B$6),About!$B$5*M1153+About!$B$6*N1153+About!$B$7*O1153)</f>
        <v/>
      </c>
      <c r="Q1153" s="23" t="n">
        <v>-8.5243</v>
      </c>
      <c r="R1153" s="23" t="n">
        <v>179.1942</v>
      </c>
    </row>
    <row r="1154" ht="15" customHeight="1" s="12">
      <c r="A1154" s="18" t="inlineStr">
        <is>
          <t>General Santos</t>
        </is>
      </c>
      <c r="B1154" s="18" t="inlineStr">
        <is>
          <t>Philippines</t>
        </is>
      </c>
      <c r="C1154" s="19" t="n">
        <v>114123600</v>
      </c>
      <c r="D1154" s="18" t="inlineStr">
        <is>
          <t>PH</t>
        </is>
      </c>
      <c r="E1154" s="18" t="inlineStr">
        <is>
          <t>12</t>
        </is>
      </c>
      <c r="F1154" s="20" t="n">
        <v>679588</v>
      </c>
      <c r="G1154" s="18" t="n"/>
      <c r="H1154" s="18" t="inlineStr">
        <is>
          <t>GES</t>
        </is>
      </c>
      <c r="I1154" s="18" t="inlineStr">
        <is>
          <t>General Santos International Airport</t>
        </is>
      </c>
      <c r="J1154" s="21" t="n">
        <v>10.4</v>
      </c>
      <c r="K1154" s="18" t="inlineStr">
        <is>
          <t>GES</t>
        </is>
      </c>
      <c r="L1154" s="18" t="inlineStr">
        <is>
          <t>100k +  pop + airport</t>
        </is>
      </c>
      <c r="M1154" s="22" t="n">
        <v>0.45</v>
      </c>
      <c r="N1154" s="22" t="n">
        <v>0</v>
      </c>
      <c r="O1154" s="18" t="n"/>
      <c r="P1154" s="22">
        <f>IF(O1154="",(About!$B$5*M1154+About!$B$6*N1154)/(About!$B$5+About!$B$6),About!$B$5*M1154+About!$B$6*N1154+About!$B$7*O1154)</f>
        <v/>
      </c>
      <c r="Q1154" s="23" t="n">
        <v>6.1128</v>
      </c>
      <c r="R1154" s="23" t="n">
        <v>125.1717</v>
      </c>
    </row>
    <row r="1155" ht="15" customHeight="1" s="12">
      <c r="A1155" s="18" t="inlineStr">
        <is>
          <t>Posadas</t>
        </is>
      </c>
      <c r="B1155" s="18" t="inlineStr">
        <is>
          <t>Argentina</t>
        </is>
      </c>
      <c r="C1155" s="19" t="n">
        <v>46387098</v>
      </c>
      <c r="D1155" s="18" t="inlineStr">
        <is>
          <t>AR</t>
        </is>
      </c>
      <c r="E1155" s="18" t="inlineStr">
        <is>
          <t>14</t>
        </is>
      </c>
      <c r="F1155" s="20" t="n">
        <v>323739</v>
      </c>
      <c r="G1155" s="18" t="n"/>
      <c r="H1155" s="18" t="inlineStr">
        <is>
          <t>PSS</t>
        </is>
      </c>
      <c r="I1155" s="18" t="inlineStr">
        <is>
          <t>Libertador Gral D Jose De San Martin Airport</t>
        </is>
      </c>
      <c r="J1155" s="21" t="n">
        <v>7.7</v>
      </c>
      <c r="K1155" s="18" t="inlineStr">
        <is>
          <t>ENO+PSS</t>
        </is>
      </c>
      <c r="L1155" s="18" t="inlineStr">
        <is>
          <t>100k +  pop + airport</t>
        </is>
      </c>
      <c r="M1155" s="22" t="n">
        <v>0.45</v>
      </c>
      <c r="N1155" s="22" t="n">
        <v>0</v>
      </c>
      <c r="O1155" s="18" t="n"/>
      <c r="P1155" s="22">
        <f>IF(O1155="",(About!$B$5*M1155+About!$B$6*N1155)/(About!$B$5+About!$B$6),About!$B$5*M1155+About!$B$6*N1155+About!$B$7*O1155)</f>
        <v/>
      </c>
      <c r="Q1155" s="23" t="n">
        <v>-27.3671</v>
      </c>
      <c r="R1155" s="23" t="n">
        <v>-55.8961</v>
      </c>
    </row>
    <row r="1156" ht="15" customHeight="1" s="12">
      <c r="A1156" s="18" t="inlineStr">
        <is>
          <t>Rạch Giá</t>
        </is>
      </c>
      <c r="B1156" s="18" t="inlineStr">
        <is>
          <t>Vietnam</t>
        </is>
      </c>
      <c r="C1156" s="19" t="n">
        <v>102300000</v>
      </c>
      <c r="D1156" s="18" t="inlineStr">
        <is>
          <t>VN</t>
        </is>
      </c>
      <c r="E1156" s="18" t="inlineStr">
        <is>
          <t>21</t>
        </is>
      </c>
      <c r="F1156" s="20" t="n">
        <v>228356</v>
      </c>
      <c r="G1156" s="18" t="n"/>
      <c r="H1156" s="18" t="inlineStr">
        <is>
          <t>VKG</t>
        </is>
      </c>
      <c r="I1156" s="18" t="inlineStr">
        <is>
          <t>Rach Gia Airport</t>
        </is>
      </c>
      <c r="J1156" s="21" t="n">
        <v>8.300000000000001</v>
      </c>
      <c r="K1156" s="18" t="inlineStr">
        <is>
          <t>VKG</t>
        </is>
      </c>
      <c r="L1156" s="18" t="inlineStr">
        <is>
          <t>100k +  pop + airport</t>
        </is>
      </c>
      <c r="M1156" s="22" t="n">
        <v>0.45</v>
      </c>
      <c r="N1156" s="22" t="n">
        <v>0</v>
      </c>
      <c r="O1156" s="18" t="n"/>
      <c r="P1156" s="22">
        <f>IF(O1156="",(About!$B$5*M1156+About!$B$6*N1156)/(About!$B$5+About!$B$6),About!$B$5*M1156+About!$B$6*N1156+About!$B$7*O1156)</f>
        <v/>
      </c>
      <c r="Q1156" s="23" t="n">
        <v>10.0124</v>
      </c>
      <c r="R1156" s="23" t="n">
        <v>105.0809</v>
      </c>
    </row>
    <row r="1157" ht="15" customHeight="1" s="12">
      <c r="A1157" s="18" t="inlineStr">
        <is>
          <t>Pskov</t>
        </is>
      </c>
      <c r="B1157" s="18" t="inlineStr">
        <is>
          <t>Russia</t>
        </is>
      </c>
      <c r="C1157" s="19" t="n">
        <v>146028325</v>
      </c>
      <c r="D1157" s="18" t="inlineStr">
        <is>
          <t>RU</t>
        </is>
      </c>
      <c r="E1157" s="18" t="inlineStr">
        <is>
          <t>60</t>
        </is>
      </c>
      <c r="F1157" s="20" t="n">
        <v>201990</v>
      </c>
      <c r="G1157" s="18" t="n"/>
      <c r="H1157" s="18" t="inlineStr">
        <is>
          <t>PKV</t>
        </is>
      </c>
      <c r="I1157" s="18" t="inlineStr">
        <is>
          <t>Princess Olga Pskov International Airport</t>
        </is>
      </c>
      <c r="J1157" s="21" t="n">
        <v>4.4</v>
      </c>
      <c r="K1157" s="18" t="inlineStr">
        <is>
          <t>PKV</t>
        </is>
      </c>
      <c r="L1157" s="18" t="inlineStr">
        <is>
          <t>100k +  pop + airport</t>
        </is>
      </c>
      <c r="M1157" s="22" t="n">
        <v>0.449</v>
      </c>
      <c r="N1157" s="22" t="n">
        <v>0</v>
      </c>
      <c r="O1157" s="18" t="n"/>
      <c r="P1157" s="22">
        <f>IF(O1157="",(About!$B$5*M1157+About!$B$6*N1157)/(About!$B$5+About!$B$6),About!$B$5*M1157+About!$B$6*N1157+About!$B$7*O1157)</f>
        <v/>
      </c>
      <c r="Q1157" s="23" t="n">
        <v>57.8136</v>
      </c>
      <c r="R1157" s="23" t="n">
        <v>28.3496</v>
      </c>
    </row>
    <row r="1158" ht="15" customHeight="1" s="12">
      <c r="A1158" s="18" t="inlineStr">
        <is>
          <t>Sihanoukville</t>
        </is>
      </c>
      <c r="B1158" s="18" t="inlineStr">
        <is>
          <t>Cambodia</t>
        </is>
      </c>
      <c r="C1158" s="19" t="n">
        <v>17577760</v>
      </c>
      <c r="D1158" s="18" t="inlineStr">
        <is>
          <t>KH</t>
        </is>
      </c>
      <c r="E1158" s="18" t="inlineStr">
        <is>
          <t>28</t>
        </is>
      </c>
      <c r="F1158" s="20" t="n">
        <v>156691</v>
      </c>
      <c r="G1158" s="18" t="n"/>
      <c r="H1158" s="18" t="inlineStr">
        <is>
          <t>KOS</t>
        </is>
      </c>
      <c r="I1158" s="18" t="inlineStr">
        <is>
          <t>Sihanouk International Airport</t>
        </is>
      </c>
      <c r="J1158" s="21" t="n">
        <v>12</v>
      </c>
      <c r="K1158" s="18" t="inlineStr">
        <is>
          <t>KOS</t>
        </is>
      </c>
      <c r="L1158" s="18" t="inlineStr">
        <is>
          <t>100k +  pop</t>
        </is>
      </c>
      <c r="M1158" s="22" t="n">
        <v>0.45</v>
      </c>
      <c r="N1158" s="22" t="n">
        <v>0</v>
      </c>
      <c r="O1158" s="18" t="n"/>
      <c r="P1158" s="22">
        <f>IF(O1158="",(About!$B$5*M1158+About!$B$6*N1158)/(About!$B$5+About!$B$6),About!$B$5*M1158+About!$B$6*N1158+About!$B$7*O1158)</f>
        <v/>
      </c>
      <c r="Q1158" s="23" t="n">
        <v>10.6093</v>
      </c>
      <c r="R1158" s="23" t="n">
        <v>103.5296</v>
      </c>
    </row>
    <row r="1159" ht="15" customHeight="1" s="12">
      <c r="A1159" s="18" t="inlineStr">
        <is>
          <t>Chetumal</t>
        </is>
      </c>
      <c r="B1159" s="18" t="inlineStr">
        <is>
          <t>Mexico</t>
        </is>
      </c>
      <c r="C1159" s="19" t="n">
        <v>131150866</v>
      </c>
      <c r="D1159" s="18" t="inlineStr">
        <is>
          <t>MX</t>
        </is>
      </c>
      <c r="E1159" s="18" t="inlineStr">
        <is>
          <t>23</t>
        </is>
      </c>
      <c r="F1159" s="20" t="n">
        <v>151243</v>
      </c>
      <c r="G1159" s="18" t="n"/>
      <c r="H1159" s="18" t="inlineStr">
        <is>
          <t>CTM</t>
        </is>
      </c>
      <c r="I1159" s="18" t="inlineStr">
        <is>
          <t>Chetumal International Airport</t>
        </is>
      </c>
      <c r="J1159" s="21" t="n">
        <v>2.7</v>
      </c>
      <c r="K1159" s="18" t="inlineStr">
        <is>
          <t>CTM+CZH</t>
        </is>
      </c>
      <c r="L1159" s="18" t="inlineStr">
        <is>
          <t>100k +  pop + airport</t>
        </is>
      </c>
      <c r="M1159" s="22" t="n">
        <v>0.45</v>
      </c>
      <c r="N1159" s="22" t="n">
        <v>0</v>
      </c>
      <c r="O1159" s="18" t="n"/>
      <c r="P1159" s="22">
        <f>IF(O1159="",(About!$B$5*M1159+About!$B$6*N1159)/(About!$B$5+About!$B$6),About!$B$5*M1159+About!$B$6*N1159+About!$B$7*O1159)</f>
        <v/>
      </c>
      <c r="Q1159" s="23" t="n">
        <v>18.5141</v>
      </c>
      <c r="R1159" s="23" t="n">
        <v>-88.3038</v>
      </c>
    </row>
    <row r="1160" ht="15" customHeight="1" s="12">
      <c r="A1160" s="18" t="inlineStr">
        <is>
          <t>Tuguegarao</t>
        </is>
      </c>
      <c r="B1160" s="18" t="inlineStr">
        <is>
          <t>Philippines</t>
        </is>
      </c>
      <c r="C1160" s="19" t="n">
        <v>114123600</v>
      </c>
      <c r="D1160" s="18" t="inlineStr">
        <is>
          <t>PH</t>
        </is>
      </c>
      <c r="E1160" s="18" t="inlineStr">
        <is>
          <t>02</t>
        </is>
      </c>
      <c r="F1160" s="20" t="n">
        <v>115105</v>
      </c>
      <c r="G1160" s="18" t="n"/>
      <c r="H1160" s="18" t="inlineStr">
        <is>
          <t>TUG</t>
        </is>
      </c>
      <c r="I1160" s="18" t="inlineStr">
        <is>
          <t>Tuguegarao Airport</t>
        </is>
      </c>
      <c r="J1160" s="21" t="n">
        <v>3.3</v>
      </c>
      <c r="K1160" s="18" t="inlineStr">
        <is>
          <t>TUG</t>
        </is>
      </c>
      <c r="L1160" s="18" t="inlineStr">
        <is>
          <t>100k +  pop + airport</t>
        </is>
      </c>
      <c r="M1160" s="22" t="n">
        <v>0.451</v>
      </c>
      <c r="N1160" s="22" t="n">
        <v>0</v>
      </c>
      <c r="O1160" s="18" t="n"/>
      <c r="P1160" s="22">
        <f>IF(O1160="",(About!$B$5*M1160+About!$B$6*N1160)/(About!$B$5+About!$B$6),About!$B$5*M1160+About!$B$6*N1160+About!$B$7*O1160)</f>
        <v/>
      </c>
      <c r="Q1160" s="23" t="n">
        <v>17.6158</v>
      </c>
      <c r="R1160" s="23" t="n">
        <v>121.7228</v>
      </c>
    </row>
    <row r="1161" ht="15" customHeight="1" s="12">
      <c r="A1161" s="18" t="inlineStr">
        <is>
          <t>Encarnación</t>
        </is>
      </c>
      <c r="B1161" s="18" t="inlineStr">
        <is>
          <t>Paraguay</t>
        </is>
      </c>
      <c r="C1161" s="19" t="n">
        <v>6109644</v>
      </c>
      <c r="D1161" s="18" t="inlineStr">
        <is>
          <t>PY</t>
        </is>
      </c>
      <c r="E1161" s="18" t="inlineStr">
        <is>
          <t>11</t>
        </is>
      </c>
      <c r="F1161" s="20" t="n">
        <v>74983</v>
      </c>
      <c r="G1161" s="18" t="n"/>
      <c r="H1161" s="18" t="inlineStr">
        <is>
          <t>PSS</t>
        </is>
      </c>
      <c r="I1161" s="18" t="inlineStr">
        <is>
          <t>Libertador Gral D Jose De San Martin Airport</t>
        </is>
      </c>
      <c r="J1161" s="21" t="n">
        <v>12</v>
      </c>
      <c r="K1161" s="18" t="inlineStr">
        <is>
          <t>ENO+PSS</t>
        </is>
      </c>
      <c r="L1161" s="18" t="inlineStr">
        <is>
          <t>airport</t>
        </is>
      </c>
      <c r="M1161" s="22" t="n">
        <v>0.45</v>
      </c>
      <c r="N1161" s="22" t="n">
        <v>0</v>
      </c>
      <c r="O1161" s="18" t="n"/>
      <c r="P1161" s="22">
        <f>IF(O1161="",(About!$B$5*M1161+About!$B$6*N1161)/(About!$B$5+About!$B$6),About!$B$5*M1161+About!$B$6*N1161+About!$B$7*O1161)</f>
        <v/>
      </c>
      <c r="Q1161" s="23" t="n">
        <v>-27.3306</v>
      </c>
      <c r="R1161" s="23" t="n">
        <v>-55.8667</v>
      </c>
    </row>
    <row r="1162" ht="15" customHeight="1" s="12">
      <c r="A1162" s="18" t="inlineStr">
        <is>
          <t>Damascus</t>
        </is>
      </c>
      <c r="B1162" s="18" t="inlineStr">
        <is>
          <t>Syria</t>
        </is>
      </c>
      <c r="C1162" s="19" t="n">
        <v>25620427</v>
      </c>
      <c r="D1162" s="18" t="inlineStr">
        <is>
          <t>SY</t>
        </is>
      </c>
      <c r="E1162" s="18" t="inlineStr">
        <is>
          <t>13</t>
        </is>
      </c>
      <c r="F1162" s="20" t="n">
        <v>1569394</v>
      </c>
      <c r="G1162" s="18" t="inlineStr">
        <is>
          <t>Yes</t>
        </is>
      </c>
      <c r="H1162" s="18" t="inlineStr">
        <is>
          <t>DAM</t>
        </is>
      </c>
      <c r="I1162" s="18" t="inlineStr">
        <is>
          <t>Damascus International Airport</t>
        </is>
      </c>
      <c r="J1162" s="21" t="n">
        <v>23.5</v>
      </c>
      <c r="K1162" s="18" t="inlineStr">
        <is>
          <t>DAM</t>
        </is>
      </c>
      <c r="L1162" s="18" t="inlineStr">
        <is>
          <t>100k +  pop + capital + airport</t>
        </is>
      </c>
      <c r="M1162" s="22" t="n">
        <v>0.449</v>
      </c>
      <c r="N1162" s="22" t="n">
        <v>0</v>
      </c>
      <c r="O1162" s="18" t="n"/>
      <c r="P1162" s="22">
        <f>IF(O1162="",(About!$B$5*M1162+About!$B$6*N1162)/(About!$B$5+About!$B$6),About!$B$5*M1162+About!$B$6*N1162+About!$B$7*O1162)</f>
        <v/>
      </c>
      <c r="Q1162" s="23" t="n">
        <v>33.5102</v>
      </c>
      <c r="R1162" s="23" t="n">
        <v>36.2913</v>
      </c>
    </row>
    <row r="1163" ht="15" customHeight="1" s="12">
      <c r="A1163" s="18" t="inlineStr">
        <is>
          <t>Bukhara</t>
        </is>
      </c>
      <c r="B1163" s="18" t="inlineStr">
        <is>
          <t>Uzbekistan</t>
        </is>
      </c>
      <c r="C1163" s="19" t="n">
        <v>38382685</v>
      </c>
      <c r="D1163" s="18" t="inlineStr">
        <is>
          <t>UZ</t>
        </is>
      </c>
      <c r="E1163" s="18" t="inlineStr">
        <is>
          <t>02</t>
        </is>
      </c>
      <c r="F1163" s="20" t="n">
        <v>247644</v>
      </c>
      <c r="G1163" s="18" t="n"/>
      <c r="H1163" s="18" t="inlineStr">
        <is>
          <t>BHK</t>
        </is>
      </c>
      <c r="I1163" s="18" t="inlineStr">
        <is>
          <t>Bukhara International Airport</t>
        </is>
      </c>
      <c r="J1163" s="21" t="n">
        <v>4.6</v>
      </c>
      <c r="K1163" s="18" t="inlineStr">
        <is>
          <t>BHK</t>
        </is>
      </c>
      <c r="L1163" s="18" t="inlineStr">
        <is>
          <t>100k +  pop + airport</t>
        </is>
      </c>
      <c r="M1163" s="22" t="n">
        <v>0.447</v>
      </c>
      <c r="N1163" s="22" t="n">
        <v>0</v>
      </c>
      <c r="O1163" s="18" t="n"/>
      <c r="P1163" s="22">
        <f>IF(O1163="",(About!$B$5*M1163+About!$B$6*N1163)/(About!$B$5+About!$B$6),About!$B$5*M1163+About!$B$6*N1163+About!$B$7*O1163)</f>
        <v/>
      </c>
      <c r="Q1163" s="23" t="n">
        <v>39.7747</v>
      </c>
      <c r="R1163" s="23" t="n">
        <v>64.4286</v>
      </c>
    </row>
    <row r="1164" ht="15" customHeight="1" s="12">
      <c r="A1164" s="18" t="inlineStr">
        <is>
          <t>San Rafael</t>
        </is>
      </c>
      <c r="B1164" s="18" t="inlineStr">
        <is>
          <t>Argentina</t>
        </is>
      </c>
      <c r="C1164" s="19" t="n">
        <v>46387098</v>
      </c>
      <c r="D1164" s="18" t="inlineStr">
        <is>
          <t>AR</t>
        </is>
      </c>
      <c r="E1164" s="18" t="inlineStr">
        <is>
          <t>13</t>
        </is>
      </c>
      <c r="F1164" s="20" t="n">
        <v>109163</v>
      </c>
      <c r="G1164" s="18" t="n"/>
      <c r="H1164" s="18" t="inlineStr">
        <is>
          <t>AFA</t>
        </is>
      </c>
      <c r="I1164" s="18" t="inlineStr">
        <is>
          <t>Suboficial Ay Santiago Germano Airport</t>
        </is>
      </c>
      <c r="J1164" s="21" t="n">
        <v>7.5</v>
      </c>
      <c r="K1164" s="18" t="inlineStr">
        <is>
          <t>AFA</t>
        </is>
      </c>
      <c r="L1164" s="18" t="inlineStr">
        <is>
          <t>100k +  pop + airport</t>
        </is>
      </c>
      <c r="M1164" s="22" t="n">
        <v>0.449</v>
      </c>
      <c r="N1164" s="22" t="n">
        <v>0</v>
      </c>
      <c r="O1164" s="18" t="n"/>
      <c r="P1164" s="22">
        <f>IF(O1164="",(About!$B$5*M1164+About!$B$6*N1164)/(About!$B$5+About!$B$6),About!$B$5*M1164+About!$B$6*N1164+About!$B$7*O1164)</f>
        <v/>
      </c>
      <c r="Q1164" s="23" t="n">
        <v>-34.6177</v>
      </c>
      <c r="R1164" s="23" t="n">
        <v>-68.3301</v>
      </c>
    </row>
    <row r="1165" ht="15" customHeight="1" s="12">
      <c r="A1165" s="18" t="inlineStr">
        <is>
          <t>Bobo-Dioulasso</t>
        </is>
      </c>
      <c r="B1165" s="18" t="inlineStr">
        <is>
          <t>Burkina Faso</t>
        </is>
      </c>
      <c r="C1165" s="19" t="n">
        <v>24070553</v>
      </c>
      <c r="D1165" s="18" t="inlineStr">
        <is>
          <t>BF</t>
        </is>
      </c>
      <c r="E1165" s="18" t="inlineStr">
        <is>
          <t>09</t>
        </is>
      </c>
      <c r="F1165" s="20" t="n">
        <v>360106</v>
      </c>
      <c r="G1165" s="18" t="n"/>
      <c r="H1165" s="18" t="inlineStr">
        <is>
          <t>BOY</t>
        </is>
      </c>
      <c r="I1165" s="18" t="inlineStr">
        <is>
          <t>Bobo Dioulasso Airport</t>
        </is>
      </c>
      <c r="J1165" s="21" t="n">
        <v>4.1</v>
      </c>
      <c r="K1165" s="18" t="inlineStr">
        <is>
          <t>BOY</t>
        </is>
      </c>
      <c r="L1165" s="18" t="inlineStr">
        <is>
          <t>100k +  pop + airport</t>
        </is>
      </c>
      <c r="M1165" s="22" t="n">
        <v>0.446</v>
      </c>
      <c r="N1165" s="22" t="n">
        <v>0</v>
      </c>
      <c r="O1165" s="18" t="n"/>
      <c r="P1165" s="22">
        <f>IF(O1165="",(About!$B$5*M1165+About!$B$6*N1165)/(About!$B$5+About!$B$6),About!$B$5*M1165+About!$B$6*N1165+About!$B$7*O1165)</f>
        <v/>
      </c>
      <c r="Q1165" s="23" t="n">
        <v>11.1771</v>
      </c>
      <c r="R1165" s="23" t="n">
        <v>-4.2979</v>
      </c>
    </row>
    <row r="1166" ht="15" customHeight="1" s="12">
      <c r="A1166" s="18" t="inlineStr">
        <is>
          <t>Colima</t>
        </is>
      </c>
      <c r="B1166" s="18" t="inlineStr">
        <is>
          <t>Mexico</t>
        </is>
      </c>
      <c r="C1166" s="19" t="n">
        <v>131150866</v>
      </c>
      <c r="D1166" s="18" t="inlineStr">
        <is>
          <t>MX</t>
        </is>
      </c>
      <c r="E1166" s="18" t="inlineStr">
        <is>
          <t>08</t>
        </is>
      </c>
      <c r="F1166" s="20" t="n">
        <v>137383</v>
      </c>
      <c r="G1166" s="18" t="n"/>
      <c r="H1166" s="18" t="inlineStr">
        <is>
          <t>CLQ</t>
        </is>
      </c>
      <c r="I1166" s="18" t="inlineStr">
        <is>
          <t>Licenciado Miguel de la Madrid International Airport</t>
        </is>
      </c>
      <c r="J1166" s="21" t="n">
        <v>16</v>
      </c>
      <c r="K1166" s="18" t="inlineStr">
        <is>
          <t>CLQ</t>
        </is>
      </c>
      <c r="L1166" s="18" t="inlineStr">
        <is>
          <t>100k +  pop + airport</t>
        </is>
      </c>
      <c r="M1166" s="22" t="n">
        <v>0.445</v>
      </c>
      <c r="N1166" s="22" t="n">
        <v>0</v>
      </c>
      <c r="O1166" s="18" t="n"/>
      <c r="P1166" s="22">
        <f>IF(O1166="",(About!$B$5*M1166+About!$B$6*N1166)/(About!$B$5+About!$B$6),About!$B$5*M1166+About!$B$6*N1166+About!$B$7*O1166)</f>
        <v/>
      </c>
      <c r="Q1166" s="23" t="n">
        <v>19.25</v>
      </c>
      <c r="R1166" s="23" t="n">
        <v>-103.7271</v>
      </c>
    </row>
    <row r="1167" ht="15" customHeight="1" s="12">
      <c r="A1167" s="18" t="inlineStr">
        <is>
          <t>Nukus</t>
        </is>
      </c>
      <c r="B1167" s="18" t="inlineStr">
        <is>
          <t>Uzbekistan</t>
        </is>
      </c>
      <c r="C1167" s="19" t="n">
        <v>38382685</v>
      </c>
      <c r="D1167" s="18" t="inlineStr">
        <is>
          <t>UZ</t>
        </is>
      </c>
      <c r="E1167" s="18" t="inlineStr">
        <is>
          <t>09</t>
        </is>
      </c>
      <c r="F1167" s="20" t="n">
        <v>230006</v>
      </c>
      <c r="G1167" s="18" t="n"/>
      <c r="H1167" s="18" t="inlineStr">
        <is>
          <t>NCU</t>
        </is>
      </c>
      <c r="I1167" s="18" t="inlineStr">
        <is>
          <t>Nukus International Airport</t>
        </is>
      </c>
      <c r="J1167" s="21" t="n">
        <v>4.1</v>
      </c>
      <c r="K1167" s="18" t="inlineStr">
        <is>
          <t>NCU</t>
        </is>
      </c>
      <c r="L1167" s="18" t="inlineStr">
        <is>
          <t>100k +  pop + airport</t>
        </is>
      </c>
      <c r="M1167" s="22" t="n">
        <v>0.443</v>
      </c>
      <c r="N1167" s="22" t="n">
        <v>0</v>
      </c>
      <c r="O1167" s="18" t="n"/>
      <c r="P1167" s="22">
        <f>IF(O1167="",(About!$B$5*M1167+About!$B$6*N1167)/(About!$B$5+About!$B$6),About!$B$5*M1167+About!$B$6*N1167+About!$B$7*O1167)</f>
        <v/>
      </c>
      <c r="Q1167" s="23" t="n">
        <v>42.4531</v>
      </c>
      <c r="R1167" s="23" t="n">
        <v>59.6103</v>
      </c>
    </row>
    <row r="1168" ht="15" customHeight="1" s="12">
      <c r="A1168" s="18" t="inlineStr">
        <is>
          <t>Parma</t>
        </is>
      </c>
      <c r="B1168" s="18" t="inlineStr">
        <is>
          <t>Italy</t>
        </is>
      </c>
      <c r="C1168" s="19" t="n">
        <v>58932330</v>
      </c>
      <c r="D1168" s="18" t="inlineStr">
        <is>
          <t>IT</t>
        </is>
      </c>
      <c r="E1168" s="18" t="inlineStr">
        <is>
          <t>05</t>
        </is>
      </c>
      <c r="F1168" s="20" t="n">
        <v>146299</v>
      </c>
      <c r="G1168" s="18" t="n"/>
      <c r="H1168" s="18" t="inlineStr">
        <is>
          <t>PMF</t>
        </is>
      </c>
      <c r="I1168" s="18" t="inlineStr">
        <is>
          <t>Parma Airport</t>
        </is>
      </c>
      <c r="J1168" s="21" t="n">
        <v>3.8</v>
      </c>
      <c r="K1168" s="18" t="inlineStr">
        <is>
          <t>PMF</t>
        </is>
      </c>
      <c r="L1168" s="18" t="inlineStr">
        <is>
          <t>100k +  pop + airport</t>
        </is>
      </c>
      <c r="M1168" s="22" t="n">
        <v>0.443</v>
      </c>
      <c r="N1168" s="22" t="n">
        <v>0</v>
      </c>
      <c r="O1168" s="18" t="n"/>
      <c r="P1168" s="22">
        <f>IF(O1168="",(About!$B$5*M1168+About!$B$6*N1168)/(About!$B$5+About!$B$6),About!$B$5*M1168+About!$B$6*N1168+About!$B$7*O1168)</f>
        <v/>
      </c>
      <c r="Q1168" s="23" t="n">
        <v>44.7993</v>
      </c>
      <c r="R1168" s="23" t="n">
        <v>10.3262</v>
      </c>
    </row>
    <row r="1169" ht="15" customHeight="1" s="12">
      <c r="A1169" s="18" t="inlineStr">
        <is>
          <t>Morondava</t>
        </is>
      </c>
      <c r="B1169" s="18" t="inlineStr">
        <is>
          <t>Madagascar</t>
        </is>
      </c>
      <c r="C1169" s="19" t="n">
        <v>31727042</v>
      </c>
      <c r="D1169" s="18" t="inlineStr">
        <is>
          <t>MG</t>
        </is>
      </c>
      <c r="E1169" s="18" t="inlineStr">
        <is>
          <t>54</t>
        </is>
      </c>
      <c r="F1169" s="20" t="n">
        <v>36803</v>
      </c>
      <c r="G1169" s="18" t="n"/>
      <c r="H1169" s="18" t="inlineStr">
        <is>
          <t>MOQ</t>
        </is>
      </c>
      <c r="I1169" s="18" t="inlineStr">
        <is>
          <t>Morondava Airport</t>
        </is>
      </c>
      <c r="J1169" s="21" t="n">
        <v>0.4</v>
      </c>
      <c r="K1169" s="18" t="inlineStr">
        <is>
          <t>MOQ</t>
        </is>
      </c>
      <c r="L1169" s="18" t="inlineStr">
        <is>
          <t>airport</t>
        </is>
      </c>
      <c r="M1169" s="22" t="n">
        <v>0.443</v>
      </c>
      <c r="N1169" s="22" t="n">
        <v>0</v>
      </c>
      <c r="O1169" s="18" t="n"/>
      <c r="P1169" s="22">
        <f>IF(O1169="",(About!$B$5*M1169+About!$B$6*N1169)/(About!$B$5+About!$B$6),About!$B$5*M1169+About!$B$6*N1169+About!$B$7*O1169)</f>
        <v/>
      </c>
      <c r="Q1169" s="23" t="n">
        <v>-20.2887</v>
      </c>
      <c r="R1169" s="23" t="n">
        <v>44.3178</v>
      </c>
    </row>
    <row r="1170" ht="15" customHeight="1" s="12">
      <c r="A1170" s="18" t="inlineStr">
        <is>
          <t>Gunsan</t>
        </is>
      </c>
      <c r="B1170" s="18" t="inlineStr">
        <is>
          <t>South Korea</t>
        </is>
      </c>
      <c r="C1170" s="19" t="n">
        <v>51111158</v>
      </c>
      <c r="D1170" s="18" t="inlineStr">
        <is>
          <t>KR</t>
        </is>
      </c>
      <c r="E1170" s="18" t="inlineStr">
        <is>
          <t>03</t>
        </is>
      </c>
      <c r="F1170" s="20" t="n">
        <v>243406</v>
      </c>
      <c r="G1170" s="18" t="n"/>
      <c r="H1170" s="18" t="inlineStr">
        <is>
          <t>KUV</t>
        </is>
      </c>
      <c r="I1170" s="18" t="inlineStr">
        <is>
          <t>Gunsan Airport / Gunsan Air Base</t>
        </is>
      </c>
      <c r="J1170" s="21" t="n">
        <v>12</v>
      </c>
      <c r="K1170" s="18" t="inlineStr">
        <is>
          <t>KUV</t>
        </is>
      </c>
      <c r="L1170" s="18" t="inlineStr">
        <is>
          <t>100k +  pop + airport</t>
        </is>
      </c>
      <c r="M1170" s="22" t="n">
        <v>0.442</v>
      </c>
      <c r="N1170" s="22" t="n">
        <v>0</v>
      </c>
      <c r="O1170" s="18" t="n"/>
      <c r="P1170" s="22">
        <f>IF(O1170="",(About!$B$5*M1170+About!$B$6*N1170)/(About!$B$5+About!$B$6),About!$B$5*M1170+About!$B$6*N1170+About!$B$7*O1170)</f>
        <v/>
      </c>
      <c r="Q1170" s="23" t="n">
        <v>35.9786</v>
      </c>
      <c r="R1170" s="23" t="n">
        <v>126.7114</v>
      </c>
    </row>
    <row r="1171" ht="15" customHeight="1" s="12">
      <c r="A1171" s="18" t="inlineStr">
        <is>
          <t>Wŏnju</t>
        </is>
      </c>
      <c r="B1171" s="18" t="inlineStr">
        <is>
          <t>South Korea</t>
        </is>
      </c>
      <c r="C1171" s="19" t="n">
        <v>51111158</v>
      </c>
      <c r="D1171" s="18" t="inlineStr">
        <is>
          <t>KR</t>
        </is>
      </c>
      <c r="E1171" s="18" t="inlineStr">
        <is>
          <t>06</t>
        </is>
      </c>
      <c r="F1171" s="20" t="n">
        <v>243387</v>
      </c>
      <c r="G1171" s="18" t="n"/>
      <c r="H1171" s="18" t="inlineStr">
        <is>
          <t>WJU</t>
        </is>
      </c>
      <c r="I1171" s="18" t="inlineStr">
        <is>
          <t>Wonju Airport / Hoengseong Air Base (K-38/K-46)</t>
        </is>
      </c>
      <c r="J1171" s="21" t="n">
        <v>9.6</v>
      </c>
      <c r="K1171" s="18" t="inlineStr">
        <is>
          <t>WJU</t>
        </is>
      </c>
      <c r="L1171" s="18" t="inlineStr">
        <is>
          <t>100k +  pop + airport</t>
        </is>
      </c>
      <c r="M1171" s="22" t="n">
        <v>0.442</v>
      </c>
      <c r="N1171" s="22" t="n">
        <v>0</v>
      </c>
      <c r="O1171" s="18" t="n"/>
      <c r="P1171" s="22">
        <f>IF(O1171="",(About!$B$5*M1171+About!$B$6*N1171)/(About!$B$5+About!$B$6),About!$B$5*M1171+About!$B$6*N1171+About!$B$7*O1171)</f>
        <v/>
      </c>
      <c r="Q1171" s="23" t="n">
        <v>37.3514</v>
      </c>
      <c r="R1171" s="23" t="n">
        <v>127.9453</v>
      </c>
    </row>
    <row r="1172" ht="15" customHeight="1" s="12">
      <c r="A1172" s="18" t="inlineStr">
        <is>
          <t>Barrancabermeja</t>
        </is>
      </c>
      <c r="B1172" s="18" t="inlineStr">
        <is>
          <t>Colombia</t>
        </is>
      </c>
      <c r="C1172" s="19" t="n">
        <v>53057212</v>
      </c>
      <c r="D1172" s="18" t="inlineStr">
        <is>
          <t>CO</t>
        </is>
      </c>
      <c r="E1172" s="18" t="inlineStr">
        <is>
          <t>26</t>
        </is>
      </c>
      <c r="F1172" s="20" t="n">
        <v>191403</v>
      </c>
      <c r="G1172" s="18" t="n"/>
      <c r="H1172" s="18" t="inlineStr">
        <is>
          <t>EJA</t>
        </is>
      </c>
      <c r="I1172" s="18" t="inlineStr">
        <is>
          <t>Yariguíes Airport</t>
        </is>
      </c>
      <c r="J1172" s="21" t="n">
        <v>7</v>
      </c>
      <c r="K1172" s="18" t="inlineStr">
        <is>
          <t>EJA</t>
        </is>
      </c>
      <c r="L1172" s="18" t="inlineStr">
        <is>
          <t>100k +  pop + airport</t>
        </is>
      </c>
      <c r="M1172" s="22" t="n">
        <v>0.442</v>
      </c>
      <c r="N1172" s="22" t="n">
        <v>0</v>
      </c>
      <c r="O1172" s="18" t="n"/>
      <c r="P1172" s="22">
        <f>IF(O1172="",(About!$B$5*M1172+About!$B$6*N1172)/(About!$B$5+About!$B$6),About!$B$5*M1172+About!$B$6*N1172+About!$B$7*O1172)</f>
        <v/>
      </c>
      <c r="Q1172" s="23" t="n">
        <v>7.0653</v>
      </c>
      <c r="R1172" s="23" t="n">
        <v>-73.85469999999999</v>
      </c>
    </row>
    <row r="1173" ht="15" customHeight="1" s="12">
      <c r="A1173" s="18" t="inlineStr">
        <is>
          <t>Dundee</t>
        </is>
      </c>
      <c r="B1173" s="18" t="inlineStr">
        <is>
          <t>United Kingdom</t>
        </is>
      </c>
      <c r="C1173" s="19" t="n">
        <v>69487000</v>
      </c>
      <c r="D1173" s="18" t="inlineStr">
        <is>
          <t>GB</t>
        </is>
      </c>
      <c r="E1173" s="18" t="inlineStr">
        <is>
          <t>SCT</t>
        </is>
      </c>
      <c r="F1173" s="20" t="n">
        <v>147710</v>
      </c>
      <c r="G1173" s="18" t="n"/>
      <c r="H1173" s="18" t="inlineStr">
        <is>
          <t>DND</t>
        </is>
      </c>
      <c r="I1173" s="18" t="inlineStr">
        <is>
          <t>Dundee Airport</t>
        </is>
      </c>
      <c r="J1173" s="21" t="n">
        <v>3.6</v>
      </c>
      <c r="K1173" s="18" t="inlineStr">
        <is>
          <t>DND</t>
        </is>
      </c>
      <c r="L1173" s="18" t="inlineStr">
        <is>
          <t>100k +  pop + airport</t>
        </is>
      </c>
      <c r="M1173" s="22" t="n">
        <v>0.442</v>
      </c>
      <c r="N1173" s="22" t="n">
        <v>0</v>
      </c>
      <c r="O1173" s="18" t="n"/>
      <c r="P1173" s="22">
        <f>IF(O1173="",(About!$B$5*M1173+About!$B$6*N1173)/(About!$B$5+About!$B$6),About!$B$5*M1173+About!$B$6*N1173+About!$B$7*O1173)</f>
        <v/>
      </c>
      <c r="Q1173" s="23" t="n">
        <v>56.4691</v>
      </c>
      <c r="R1173" s="23" t="n">
        <v>-2.9749</v>
      </c>
    </row>
    <row r="1174" ht="15" customHeight="1" s="12">
      <c r="A1174" s="18" t="inlineStr">
        <is>
          <t>Rafsanjān</t>
        </is>
      </c>
      <c r="B1174" s="18" t="inlineStr">
        <is>
          <t>Iran</t>
        </is>
      </c>
      <c r="C1174" s="19" t="n">
        <v>87134000</v>
      </c>
      <c r="D1174" s="18" t="inlineStr">
        <is>
          <t>IR</t>
        </is>
      </c>
      <c r="E1174" s="18" t="inlineStr">
        <is>
          <t>29</t>
        </is>
      </c>
      <c r="F1174" s="20" t="n">
        <v>147680</v>
      </c>
      <c r="G1174" s="18" t="n"/>
      <c r="H1174" s="18" t="inlineStr">
        <is>
          <t>RJN</t>
        </is>
      </c>
      <c r="I1174" s="18" t="inlineStr">
        <is>
          <t>Rafsanjan Airport</t>
        </is>
      </c>
      <c r="J1174" s="21" t="n">
        <v>13.2</v>
      </c>
      <c r="K1174" s="18" t="inlineStr">
        <is>
          <t>RJN</t>
        </is>
      </c>
      <c r="L1174" s="18" t="inlineStr">
        <is>
          <t>100k +  pop + airport</t>
        </is>
      </c>
      <c r="M1174" s="22" t="n">
        <v>0.441</v>
      </c>
      <c r="N1174" s="22" t="n">
        <v>0</v>
      </c>
      <c r="O1174" s="18" t="n"/>
      <c r="P1174" s="22">
        <f>IF(O1174="",(About!$B$5*M1174+About!$B$6*N1174)/(About!$B$5+About!$B$6),About!$B$5*M1174+About!$B$6*N1174+About!$B$7*O1174)</f>
        <v/>
      </c>
      <c r="Q1174" s="23" t="n">
        <v>30.4067</v>
      </c>
      <c r="R1174" s="23" t="n">
        <v>55.9939</v>
      </c>
    </row>
    <row r="1175" ht="15" customHeight="1" s="12">
      <c r="A1175" s="18" t="inlineStr">
        <is>
          <t>Pārsābād</t>
        </is>
      </c>
      <c r="B1175" s="18" t="inlineStr">
        <is>
          <t>Iran</t>
        </is>
      </c>
      <c r="C1175" s="19" t="n">
        <v>87134000</v>
      </c>
      <c r="D1175" s="18" t="inlineStr">
        <is>
          <t>IR</t>
        </is>
      </c>
      <c r="E1175" s="18" t="inlineStr">
        <is>
          <t>32</t>
        </is>
      </c>
      <c r="F1175" s="20" t="n">
        <v>101661</v>
      </c>
      <c r="G1175" s="18" t="n"/>
      <c r="H1175" s="18" t="inlineStr">
        <is>
          <t>PFQ</t>
        </is>
      </c>
      <c r="I1175" s="18" t="inlineStr">
        <is>
          <t>Parsabad-Moghan Airport</t>
        </is>
      </c>
      <c r="J1175" s="21" t="n">
        <v>5.8</v>
      </c>
      <c r="K1175" s="18" t="inlineStr">
        <is>
          <t>PFQ</t>
        </is>
      </c>
      <c r="L1175" s="18" t="inlineStr">
        <is>
          <t>100k +  pop + airport</t>
        </is>
      </c>
      <c r="M1175" s="22" t="n">
        <v>0.441</v>
      </c>
      <c r="N1175" s="22" t="n">
        <v>0</v>
      </c>
      <c r="O1175" s="18" t="n"/>
      <c r="P1175" s="22">
        <f>IF(O1175="",(About!$B$5*M1175+About!$B$6*N1175)/(About!$B$5+About!$B$6),About!$B$5*M1175+About!$B$6*N1175+About!$B$7*O1175)</f>
        <v/>
      </c>
      <c r="Q1175" s="23" t="n">
        <v>39.6482</v>
      </c>
      <c r="R1175" s="23" t="n">
        <v>47.9174</v>
      </c>
    </row>
    <row r="1176" ht="15" customHeight="1" s="12">
      <c r="A1176" s="18" t="inlineStr">
        <is>
          <t>Zhangye</t>
        </is>
      </c>
      <c r="B1176" s="18" t="inlineStr">
        <is>
          <t>China</t>
        </is>
      </c>
      <c r="C1176" s="19" t="n">
        <v>1404890000</v>
      </c>
      <c r="D1176" s="18" t="inlineStr">
        <is>
          <t>CN</t>
        </is>
      </c>
      <c r="E1176" s="18" t="inlineStr">
        <is>
          <t>15</t>
        </is>
      </c>
      <c r="F1176" s="20" t="n">
        <v>100000</v>
      </c>
      <c r="G1176" s="18" t="n"/>
      <c r="H1176" s="18" t="inlineStr">
        <is>
          <t>YZY</t>
        </is>
      </c>
      <c r="I1176" s="18" t="inlineStr">
        <is>
          <t>Zhangye Ganzhou Airport</t>
        </is>
      </c>
      <c r="J1176" s="21" t="n">
        <v>24.3</v>
      </c>
      <c r="K1176" s="18" t="inlineStr">
        <is>
          <t>YZY</t>
        </is>
      </c>
      <c r="L1176" s="18" t="inlineStr">
        <is>
          <t>100k +  pop</t>
        </is>
      </c>
      <c r="M1176" s="22" t="n">
        <v>0.443</v>
      </c>
      <c r="N1176" s="22" t="n">
        <v>0</v>
      </c>
      <c r="O1176" s="18" t="n"/>
      <c r="P1176" s="22">
        <f>IF(O1176="",(About!$B$5*M1176+About!$B$6*N1176)/(About!$B$5+About!$B$6),About!$B$5*M1176+About!$B$6*N1176+About!$B$7*O1176)</f>
        <v/>
      </c>
      <c r="Q1176" s="23" t="n">
        <v>38.9342</v>
      </c>
      <c r="R1176" s="23" t="n">
        <v>100.4517</v>
      </c>
    </row>
    <row r="1177" ht="15" customHeight="1" s="12">
      <c r="A1177" s="18" t="inlineStr">
        <is>
          <t>Longyearbyen</t>
        </is>
      </c>
      <c r="B1177" s="18" t="inlineStr">
        <is>
          <t>Svalbard and Jan Mayen</t>
        </is>
      </c>
      <c r="C1177" s="19" t="n">
        <v>2900</v>
      </c>
      <c r="D1177" s="18" t="inlineStr">
        <is>
          <t>SJ</t>
        </is>
      </c>
      <c r="E1177" s="18" t="inlineStr">
        <is>
          <t>21</t>
        </is>
      </c>
      <c r="F1177" s="20" t="n">
        <v>2060</v>
      </c>
      <c r="G1177" s="18" t="inlineStr">
        <is>
          <t>Yes</t>
        </is>
      </c>
      <c r="H1177" s="18" t="inlineStr">
        <is>
          <t>LYR</t>
        </is>
      </c>
      <c r="I1177" s="18" t="inlineStr">
        <is>
          <t>Svalbard Airport, Longyear</t>
        </is>
      </c>
      <c r="J1177" s="21" t="n">
        <v>4.8</v>
      </c>
      <c r="K1177" s="18" t="inlineStr">
        <is>
          <t>LYR</t>
        </is>
      </c>
      <c r="L1177" s="18" t="inlineStr">
        <is>
          <t>capital</t>
        </is>
      </c>
      <c r="M1177" s="22" t="n">
        <v>0.443</v>
      </c>
      <c r="N1177" s="22" t="n">
        <v>0</v>
      </c>
      <c r="O1177" s="18" t="n"/>
      <c r="P1177" s="22">
        <f>IF(O1177="",(About!$B$5*M1177+About!$B$6*N1177)/(About!$B$5+About!$B$6),About!$B$5*M1177+About!$B$6*N1177+About!$B$7*O1177)</f>
        <v/>
      </c>
      <c r="Q1177" s="23" t="n">
        <v>78.22329999999999</v>
      </c>
      <c r="R1177" s="23" t="n">
        <v>15.6469</v>
      </c>
    </row>
    <row r="1178" ht="15" customHeight="1" s="12">
      <c r="A1178" s="18" t="inlineStr">
        <is>
          <t>Khujand</t>
        </is>
      </c>
      <c r="B1178" s="18" t="inlineStr">
        <is>
          <t>Tajikistan</t>
        </is>
      </c>
      <c r="C1178" s="19" t="n">
        <v>10721000</v>
      </c>
      <c r="D1178" s="18" t="inlineStr">
        <is>
          <t>TJ</t>
        </is>
      </c>
      <c r="E1178" s="18" t="inlineStr">
        <is>
          <t>03</t>
        </is>
      </c>
      <c r="F1178" s="20" t="n">
        <v>144865</v>
      </c>
      <c r="G1178" s="18" t="n"/>
      <c r="H1178" s="18" t="inlineStr">
        <is>
          <t>LBD</t>
        </is>
      </c>
      <c r="I1178" s="18" t="inlineStr">
        <is>
          <t>Khujand International Airport</t>
        </is>
      </c>
      <c r="J1178" s="21" t="n">
        <v>9.699999999999999</v>
      </c>
      <c r="K1178" s="18" t="inlineStr">
        <is>
          <t>LBD</t>
        </is>
      </c>
      <c r="L1178" s="18" t="inlineStr">
        <is>
          <t>100k +  pop + airport</t>
        </is>
      </c>
      <c r="M1178" s="22" t="n">
        <v>0.439</v>
      </c>
      <c r="N1178" s="22" t="n">
        <v>0</v>
      </c>
      <c r="O1178" s="18" t="n"/>
      <c r="P1178" s="22">
        <f>IF(O1178="",(About!$B$5*M1178+About!$B$6*N1178)/(About!$B$5+About!$B$6),About!$B$5*M1178+About!$B$6*N1178+About!$B$7*O1178)</f>
        <v/>
      </c>
      <c r="Q1178" s="23" t="n">
        <v>40.2826</v>
      </c>
      <c r="R1178" s="23" t="n">
        <v>69.62220000000001</v>
      </c>
    </row>
    <row r="1179" ht="15" customHeight="1" s="12">
      <c r="A1179" s="18" t="inlineStr">
        <is>
          <t>Lashio</t>
        </is>
      </c>
      <c r="B1179" s="18" t="inlineStr">
        <is>
          <t>Myanmar</t>
        </is>
      </c>
      <c r="C1179" s="19" t="n">
        <v>51375327</v>
      </c>
      <c r="D1179" s="18" t="inlineStr">
        <is>
          <t>MM</t>
        </is>
      </c>
      <c r="E1179" s="18" t="inlineStr">
        <is>
          <t>11</t>
        </is>
      </c>
      <c r="F1179" s="20" t="n">
        <v>131016</v>
      </c>
      <c r="G1179" s="18" t="n"/>
      <c r="H1179" s="18" t="inlineStr">
        <is>
          <t>LSH</t>
        </is>
      </c>
      <c r="I1179" s="18" t="inlineStr">
        <is>
          <t>Lashio Airport</t>
        </is>
      </c>
      <c r="J1179" s="21" t="n">
        <v>4.7</v>
      </c>
      <c r="K1179" s="18" t="inlineStr">
        <is>
          <t>LSH</t>
        </is>
      </c>
      <c r="L1179" s="18" t="inlineStr">
        <is>
          <t>100k +  pop + airport</t>
        </is>
      </c>
      <c r="M1179" s="22" t="n">
        <v>0.44</v>
      </c>
      <c r="N1179" s="22" t="n">
        <v>0</v>
      </c>
      <c r="O1179" s="18" t="n"/>
      <c r="P1179" s="22">
        <f>IF(O1179="",(About!$B$5*M1179+About!$B$6*N1179)/(About!$B$5+About!$B$6),About!$B$5*M1179+About!$B$6*N1179+About!$B$7*O1179)</f>
        <v/>
      </c>
      <c r="Q1179" s="23" t="n">
        <v>22.9359</v>
      </c>
      <c r="R1179" s="23" t="n">
        <v>97.74979999999999</v>
      </c>
    </row>
    <row r="1180" ht="15" customHeight="1" s="12">
      <c r="A1180" s="18" t="inlineStr">
        <is>
          <t>Cà Mau</t>
        </is>
      </c>
      <c r="B1180" s="18" t="inlineStr">
        <is>
          <t>Vietnam</t>
        </is>
      </c>
      <c r="C1180" s="19" t="n">
        <v>102300000</v>
      </c>
      <c r="D1180" s="18" t="inlineStr">
        <is>
          <t>VN</t>
        </is>
      </c>
      <c r="E1180" s="18" t="inlineStr">
        <is>
          <t>77</t>
        </is>
      </c>
      <c r="F1180" s="20" t="n">
        <v>111894</v>
      </c>
      <c r="G1180" s="18" t="n"/>
      <c r="H1180" s="18" t="inlineStr">
        <is>
          <t>CAH</t>
        </is>
      </c>
      <c r="I1180" s="18" t="inlineStr">
        <is>
          <t>Cà Mau Airport</t>
        </is>
      </c>
      <c r="J1180" s="21" t="n">
        <v>2.8</v>
      </c>
      <c r="K1180" s="18" t="inlineStr">
        <is>
          <t>CAH</t>
        </is>
      </c>
      <c r="L1180" s="18" t="inlineStr">
        <is>
          <t>100k +  pop + airport</t>
        </is>
      </c>
      <c r="M1180" s="22" t="n">
        <v>0.441</v>
      </c>
      <c r="N1180" s="22" t="n">
        <v>0</v>
      </c>
      <c r="O1180" s="18" t="n"/>
      <c r="P1180" s="22">
        <f>IF(O1180="",(About!$B$5*M1180+About!$B$6*N1180)/(About!$B$5+About!$B$6),About!$B$5*M1180+About!$B$6*N1180+About!$B$7*O1180)</f>
        <v/>
      </c>
      <c r="Q1180" s="23" t="n">
        <v>9.1768</v>
      </c>
      <c r="R1180" s="23" t="n">
        <v>105.1524</v>
      </c>
    </row>
    <row r="1181" ht="15" customHeight="1" s="12">
      <c r="A1181" s="18" t="inlineStr">
        <is>
          <t>Namangan</t>
        </is>
      </c>
      <c r="B1181" s="18" t="inlineStr">
        <is>
          <t>Uzbekistan</t>
        </is>
      </c>
      <c r="C1181" s="19" t="n">
        <v>38382685</v>
      </c>
      <c r="D1181" s="18" t="inlineStr">
        <is>
          <t>UZ</t>
        </is>
      </c>
      <c r="E1181" s="18" t="inlineStr">
        <is>
          <t>06</t>
        </is>
      </c>
      <c r="F1181" s="20" t="n">
        <v>432456</v>
      </c>
      <c r="G1181" s="18" t="n"/>
      <c r="H1181" s="18" t="inlineStr">
        <is>
          <t>NMA</t>
        </is>
      </c>
      <c r="I1181" s="18" t="inlineStr">
        <is>
          <t>Namangan International Airport</t>
        </is>
      </c>
      <c r="J1181" s="21" t="n">
        <v>9.800000000000001</v>
      </c>
      <c r="K1181" s="18" t="inlineStr">
        <is>
          <t>NMA</t>
        </is>
      </c>
      <c r="L1181" s="18" t="inlineStr">
        <is>
          <t>100k +  pop + airport</t>
        </is>
      </c>
      <c r="M1181" s="22" t="n">
        <v>0.437</v>
      </c>
      <c r="N1181" s="22" t="n">
        <v>0</v>
      </c>
      <c r="O1181" s="18" t="n"/>
      <c r="P1181" s="22">
        <f>IF(O1181="",(About!$B$5*M1181+About!$B$6*N1181)/(About!$B$5+About!$B$6),About!$B$5*M1181+About!$B$6*N1181+About!$B$7*O1181)</f>
        <v/>
      </c>
      <c r="Q1181" s="23" t="n">
        <v>40.9983</v>
      </c>
      <c r="R1181" s="23" t="n">
        <v>71.6726</v>
      </c>
    </row>
    <row r="1182" ht="15" customHeight="1" s="12">
      <c r="A1182" s="18" t="inlineStr">
        <is>
          <t>Kassala</t>
        </is>
      </c>
      <c r="B1182" s="18" t="inlineStr">
        <is>
          <t>Sudan</t>
        </is>
      </c>
      <c r="C1182" s="19" t="n">
        <v>51662000</v>
      </c>
      <c r="D1182" s="18" t="inlineStr">
        <is>
          <t>SD</t>
        </is>
      </c>
      <c r="E1182" s="18" t="inlineStr">
        <is>
          <t>52</t>
        </is>
      </c>
      <c r="F1182" s="20" t="n">
        <v>401477</v>
      </c>
      <c r="G1182" s="18" t="n"/>
      <c r="H1182" s="18" t="inlineStr">
        <is>
          <t>KSL</t>
        </is>
      </c>
      <c r="I1182" s="18" t="inlineStr">
        <is>
          <t>Kassala Airport</t>
        </is>
      </c>
      <c r="J1182" s="21" t="n">
        <v>10.4</v>
      </c>
      <c r="K1182" s="18" t="inlineStr">
        <is>
          <t>KSL</t>
        </is>
      </c>
      <c r="L1182" s="18" t="inlineStr">
        <is>
          <t>100k +  pop + airport</t>
        </is>
      </c>
      <c r="M1182" s="22" t="n">
        <v>0.438</v>
      </c>
      <c r="N1182" s="22" t="n">
        <v>0</v>
      </c>
      <c r="O1182" s="18" t="n"/>
      <c r="P1182" s="22">
        <f>IF(O1182="",(About!$B$5*M1182+About!$B$6*N1182)/(About!$B$5+About!$B$6),About!$B$5*M1182+About!$B$6*N1182+About!$B$7*O1182)</f>
        <v/>
      </c>
      <c r="Q1182" s="23" t="n">
        <v>15.451</v>
      </c>
      <c r="R1182" s="23" t="n">
        <v>36.4</v>
      </c>
    </row>
    <row r="1183" ht="15" customHeight="1" s="12">
      <c r="A1183" s="18" t="inlineStr">
        <is>
          <t>Constanţa</t>
        </is>
      </c>
      <c r="B1183" s="18" t="inlineStr">
        <is>
          <t>Romania</t>
        </is>
      </c>
      <c r="C1183" s="19" t="n">
        <v>19036031</v>
      </c>
      <c r="D1183" s="18" t="inlineStr">
        <is>
          <t>RO</t>
        </is>
      </c>
      <c r="E1183" s="18" t="inlineStr">
        <is>
          <t>14</t>
        </is>
      </c>
      <c r="F1183" s="20" t="n">
        <v>303399</v>
      </c>
      <c r="G1183" s="18" t="n"/>
      <c r="H1183" s="18" t="inlineStr">
        <is>
          <t>CND</t>
        </is>
      </c>
      <c r="I1183" s="18" t="inlineStr">
        <is>
          <t>Mihail Kogălniceanu International Airport</t>
        </is>
      </c>
      <c r="J1183" s="21" t="n">
        <v>23.3</v>
      </c>
      <c r="K1183" s="18" t="inlineStr">
        <is>
          <t>CND</t>
        </is>
      </c>
      <c r="L1183" s="18" t="inlineStr">
        <is>
          <t>100k +  pop + airport</t>
        </is>
      </c>
      <c r="M1183" s="22" t="n">
        <v>0.437</v>
      </c>
      <c r="N1183" s="22" t="n">
        <v>0</v>
      </c>
      <c r="O1183" s="18" t="n"/>
      <c r="P1183" s="22">
        <f>IF(O1183="",(About!$B$5*M1183+About!$B$6*N1183)/(About!$B$5+About!$B$6),About!$B$5*M1183+About!$B$6*N1183+About!$B$7*O1183)</f>
        <v/>
      </c>
      <c r="Q1183" s="23" t="n">
        <v>44.1807</v>
      </c>
      <c r="R1183" s="23" t="n">
        <v>28.6343</v>
      </c>
    </row>
    <row r="1184" ht="15" customHeight="1" s="12">
      <c r="A1184" s="18" t="inlineStr">
        <is>
          <t>Lübeck</t>
        </is>
      </c>
      <c r="B1184" s="18" t="inlineStr">
        <is>
          <t>Germany</t>
        </is>
      </c>
      <c r="C1184" s="19" t="n">
        <v>83497147</v>
      </c>
      <c r="D1184" s="18" t="inlineStr">
        <is>
          <t>DE</t>
        </is>
      </c>
      <c r="E1184" s="18" t="inlineStr">
        <is>
          <t>10</t>
        </is>
      </c>
      <c r="F1184" s="20" t="n">
        <v>212207</v>
      </c>
      <c r="G1184" s="18" t="n"/>
      <c r="H1184" s="18" t="inlineStr">
        <is>
          <t>LBC</t>
        </is>
      </c>
      <c r="I1184" s="18" t="inlineStr">
        <is>
          <t>Lübeck Blankensee Airport</t>
        </is>
      </c>
      <c r="J1184" s="21" t="n">
        <v>7.4</v>
      </c>
      <c r="K1184" s="18" t="inlineStr">
        <is>
          <t>LBC</t>
        </is>
      </c>
      <c r="L1184" s="18" t="inlineStr">
        <is>
          <t>100k +  pop + airport</t>
        </is>
      </c>
      <c r="M1184" s="22" t="n">
        <v>0.438</v>
      </c>
      <c r="N1184" s="22" t="n">
        <v>0</v>
      </c>
      <c r="O1184" s="18" t="n"/>
      <c r="P1184" s="22">
        <f>IF(O1184="",(About!$B$5*M1184+About!$B$6*N1184)/(About!$B$5+About!$B$6),About!$B$5*M1184+About!$B$6*N1184+About!$B$7*O1184)</f>
        <v/>
      </c>
      <c r="Q1184" s="23" t="n">
        <v>53.8689</v>
      </c>
      <c r="R1184" s="23" t="n">
        <v>10.6873</v>
      </c>
    </row>
    <row r="1185" ht="15" customHeight="1" s="12">
      <c r="A1185" s="18" t="inlineStr">
        <is>
          <t>Isparta</t>
        </is>
      </c>
      <c r="B1185" s="18" t="inlineStr">
        <is>
          <t>Türkiye</t>
        </is>
      </c>
      <c r="C1185" s="19" t="n">
        <v>86092168</v>
      </c>
      <c r="D1185" s="18" t="inlineStr">
        <is>
          <t>TR</t>
        </is>
      </c>
      <c r="E1185" s="18" t="inlineStr">
        <is>
          <t>33</t>
        </is>
      </c>
      <c r="F1185" s="20" t="n">
        <v>172334</v>
      </c>
      <c r="G1185" s="18" t="n"/>
      <c r="H1185" s="18" t="inlineStr">
        <is>
          <t>ISE</t>
        </is>
      </c>
      <c r="I1185" s="18" t="inlineStr">
        <is>
          <t>Süleyman Demirel International Airport</t>
        </is>
      </c>
      <c r="J1185" s="21" t="n">
        <v>19.1</v>
      </c>
      <c r="K1185" s="18" t="inlineStr">
        <is>
          <t>ISE</t>
        </is>
      </c>
      <c r="L1185" s="18" t="inlineStr">
        <is>
          <t>100k +  pop + airport</t>
        </is>
      </c>
      <c r="M1185" s="22" t="n">
        <v>0.439</v>
      </c>
      <c r="N1185" s="22" t="n">
        <v>0</v>
      </c>
      <c r="O1185" s="18" t="n"/>
      <c r="P1185" s="22">
        <f>IF(O1185="",(About!$B$5*M1185+About!$B$6*N1185)/(About!$B$5+About!$B$6),About!$B$5*M1185+About!$B$6*N1185+About!$B$7*O1185)</f>
        <v/>
      </c>
      <c r="Q1185" s="23" t="n">
        <v>37.7644</v>
      </c>
      <c r="R1185" s="23" t="n">
        <v>30.5522</v>
      </c>
    </row>
    <row r="1186" ht="15" customHeight="1" s="12">
      <c r="A1186" s="18" t="inlineStr">
        <is>
          <t>Rijeka</t>
        </is>
      </c>
      <c r="B1186" s="18" t="inlineStr">
        <is>
          <t>Croatia</t>
        </is>
      </c>
      <c r="C1186" s="19" t="n">
        <v>3866233</v>
      </c>
      <c r="D1186" s="18" t="inlineStr">
        <is>
          <t>HR</t>
        </is>
      </c>
      <c r="E1186" s="18" t="inlineStr">
        <is>
          <t>12</t>
        </is>
      </c>
      <c r="F1186" s="20" t="n">
        <v>141172</v>
      </c>
      <c r="G1186" s="18" t="n"/>
      <c r="H1186" s="18" t="inlineStr">
        <is>
          <t>RJK</t>
        </is>
      </c>
      <c r="I1186" s="18" t="inlineStr">
        <is>
          <t>Rijeka Airport</t>
        </is>
      </c>
      <c r="J1186" s="21" t="n">
        <v>15.9</v>
      </c>
      <c r="K1186" s="18" t="inlineStr">
        <is>
          <t>RJK</t>
        </is>
      </c>
      <c r="L1186" s="18" t="inlineStr">
        <is>
          <t>100k +  pop</t>
        </is>
      </c>
      <c r="M1186" s="22" t="n">
        <v>0.439</v>
      </c>
      <c r="N1186" s="22" t="n">
        <v>0</v>
      </c>
      <c r="O1186" s="18" t="n"/>
      <c r="P1186" s="22">
        <f>IF(O1186="",(About!$B$5*M1186+About!$B$6*N1186)/(About!$B$5+About!$B$6),About!$B$5*M1186+About!$B$6*N1186+About!$B$7*O1186)</f>
        <v/>
      </c>
      <c r="Q1186" s="23" t="n">
        <v>45.3267</v>
      </c>
      <c r="R1186" s="23" t="n">
        <v>14.4424</v>
      </c>
    </row>
    <row r="1187" ht="15" customHeight="1" s="12">
      <c r="A1187" s="18" t="inlineStr">
        <is>
          <t>Rimini</t>
        </is>
      </c>
      <c r="B1187" s="18" t="inlineStr">
        <is>
          <t>Italy</t>
        </is>
      </c>
      <c r="C1187" s="19" t="n">
        <v>58932330</v>
      </c>
      <c r="D1187" s="18" t="inlineStr">
        <is>
          <t>IT</t>
        </is>
      </c>
      <c r="E1187" s="18" t="inlineStr">
        <is>
          <t>05</t>
        </is>
      </c>
      <c r="F1187" s="20" t="n">
        <v>151417</v>
      </c>
      <c r="G1187" s="18" t="n"/>
      <c r="H1187" s="18" t="inlineStr">
        <is>
          <t>RMI</t>
        </is>
      </c>
      <c r="I1187" s="18" t="inlineStr">
        <is>
          <t>Federico Fellini International Airport</t>
        </is>
      </c>
      <c r="J1187" s="21" t="n">
        <v>5.6</v>
      </c>
      <c r="K1187" s="18" t="inlineStr">
        <is>
          <t>RMI</t>
        </is>
      </c>
      <c r="L1187" s="18" t="inlineStr">
        <is>
          <t>100k +  pop + airport</t>
        </is>
      </c>
      <c r="M1187" s="22" t="n">
        <v>0.439</v>
      </c>
      <c r="N1187" s="22" t="n">
        <v>0</v>
      </c>
      <c r="O1187" s="18" t="n"/>
      <c r="P1187" s="22">
        <f>IF(O1187="",(About!$B$5*M1187+About!$B$6*N1187)/(About!$B$5+About!$B$6),About!$B$5*M1187+About!$B$6*N1187+About!$B$7*O1187)</f>
        <v/>
      </c>
      <c r="Q1187" s="23" t="n">
        <v>44.0575</v>
      </c>
      <c r="R1187" s="23" t="n">
        <v>12.5653</v>
      </c>
    </row>
    <row r="1188" ht="15" customHeight="1" s="12">
      <c r="A1188" s="18" t="inlineStr">
        <is>
          <t>San Marino</t>
        </is>
      </c>
      <c r="B1188" s="18" t="inlineStr">
        <is>
          <t>San Marino</t>
        </is>
      </c>
      <c r="C1188" s="19" t="n">
        <v>34154</v>
      </c>
      <c r="D1188" s="18" t="inlineStr">
        <is>
          <t>SM</t>
        </is>
      </c>
      <c r="E1188" s="18" t="inlineStr">
        <is>
          <t>07</t>
        </is>
      </c>
      <c r="F1188" s="20" t="n">
        <v>4500</v>
      </c>
      <c r="G1188" s="18" t="inlineStr">
        <is>
          <t>Yes</t>
        </is>
      </c>
      <c r="H1188" s="18" t="inlineStr">
        <is>
          <t>RMI</t>
        </is>
      </c>
      <c r="I1188" s="18" t="inlineStr">
        <is>
          <t>Federico Fellini International Airport</t>
        </is>
      </c>
      <c r="J1188" s="21" t="n">
        <v>16.2</v>
      </c>
      <c r="K1188" s="18" t="inlineStr">
        <is>
          <t>RMI</t>
        </is>
      </c>
      <c r="L1188" s="18" t="inlineStr">
        <is>
          <t>capital</t>
        </is>
      </c>
      <c r="M1188" s="22" t="n">
        <v>0.439</v>
      </c>
      <c r="N1188" s="22" t="n">
        <v>0</v>
      </c>
      <c r="O1188" s="18" t="n"/>
      <c r="P1188" s="22">
        <f>IF(O1188="",(About!$B$5*M1188+About!$B$6*N1188)/(About!$B$5+About!$B$6),About!$B$5*M1188+About!$B$6*N1188+About!$B$7*O1188)</f>
        <v/>
      </c>
      <c r="Q1188" s="23" t="n">
        <v>43.9367</v>
      </c>
      <c r="R1188" s="23" t="n">
        <v>12.4464</v>
      </c>
    </row>
    <row r="1189" ht="15" customHeight="1" s="12">
      <c r="A1189" s="18" t="inlineStr">
        <is>
          <t>Çorlu</t>
        </is>
      </c>
      <c r="B1189" s="18" t="inlineStr">
        <is>
          <t>Türkiye</t>
        </is>
      </c>
      <c r="C1189" s="19" t="n">
        <v>86092168</v>
      </c>
      <c r="D1189" s="18" t="inlineStr">
        <is>
          <t>TR</t>
        </is>
      </c>
      <c r="E1189" s="18" t="inlineStr">
        <is>
          <t>59</t>
        </is>
      </c>
      <c r="F1189" s="20" t="n">
        <v>202578</v>
      </c>
      <c r="G1189" s="18" t="n"/>
      <c r="H1189" s="18" t="inlineStr">
        <is>
          <t>TEQ</t>
        </is>
      </c>
      <c r="I1189" s="18" t="inlineStr">
        <is>
          <t>Tekirdağ Çorlu Airport</t>
        </is>
      </c>
      <c r="J1189" s="21" t="n">
        <v>10.2</v>
      </c>
      <c r="K1189" s="18" t="inlineStr">
        <is>
          <t>TEQ</t>
        </is>
      </c>
      <c r="L1189" s="18" t="inlineStr">
        <is>
          <t>100k +  pop + airport</t>
        </is>
      </c>
      <c r="M1189" s="22" t="n">
        <v>0.436</v>
      </c>
      <c r="N1189" s="22" t="n">
        <v>0</v>
      </c>
      <c r="O1189" s="18" t="n"/>
      <c r="P1189" s="22">
        <f>IF(O1189="",(About!$B$5*M1189+About!$B$6*N1189)/(About!$B$5+About!$B$6),About!$B$5*M1189+About!$B$6*N1189+About!$B$7*O1189)</f>
        <v/>
      </c>
      <c r="Q1189" s="23" t="n">
        <v>41.1592</v>
      </c>
      <c r="R1189" s="23" t="n">
        <v>27.8</v>
      </c>
    </row>
    <row r="1190" ht="15" customHeight="1" s="12">
      <c r="A1190" s="18" t="inlineStr">
        <is>
          <t>Myeik</t>
        </is>
      </c>
      <c r="B1190" s="18" t="inlineStr">
        <is>
          <t>Myanmar</t>
        </is>
      </c>
      <c r="C1190" s="19" t="n">
        <v>51375327</v>
      </c>
      <c r="D1190" s="18" t="inlineStr">
        <is>
          <t>MM</t>
        </is>
      </c>
      <c r="E1190" s="18" t="inlineStr">
        <is>
          <t>12</t>
        </is>
      </c>
      <c r="F1190" s="20" t="n">
        <v>173298</v>
      </c>
      <c r="G1190" s="18" t="n"/>
      <c r="H1190" s="18" t="inlineStr">
        <is>
          <t>MGZ</t>
        </is>
      </c>
      <c r="I1190" s="18" t="inlineStr">
        <is>
          <t>Myeik Airport</t>
        </is>
      </c>
      <c r="J1190" s="21" t="n">
        <v>2.3</v>
      </c>
      <c r="K1190" s="18" t="inlineStr">
        <is>
          <t>MGZ</t>
        </is>
      </c>
      <c r="L1190" s="18" t="inlineStr">
        <is>
          <t>100k +  pop + airport</t>
        </is>
      </c>
      <c r="M1190" s="22" t="n">
        <v>0.435</v>
      </c>
      <c r="N1190" s="22" t="n">
        <v>0</v>
      </c>
      <c r="O1190" s="18" t="n"/>
      <c r="P1190" s="22">
        <f>IF(O1190="",(About!$B$5*M1190+About!$B$6*N1190)/(About!$B$5+About!$B$6),About!$B$5*M1190+About!$B$6*N1190+About!$B$7*O1190)</f>
        <v/>
      </c>
      <c r="Q1190" s="23" t="n">
        <v>12.4395</v>
      </c>
      <c r="R1190" s="23" t="n">
        <v>98.6003</v>
      </c>
    </row>
    <row r="1191" ht="15" customHeight="1" s="12">
      <c r="A1191" s="18" t="inlineStr">
        <is>
          <t>Badajoz</t>
        </is>
      </c>
      <c r="B1191" s="18" t="inlineStr">
        <is>
          <t>Spain</t>
        </is>
      </c>
      <c r="C1191" s="19" t="n">
        <v>49687120</v>
      </c>
      <c r="D1191" s="18" t="inlineStr">
        <is>
          <t>ES</t>
        </is>
      </c>
      <c r="E1191" s="18" t="inlineStr">
        <is>
          <t>57</t>
        </is>
      </c>
      <c r="F1191" s="20" t="n">
        <v>148334</v>
      </c>
      <c r="G1191" s="18" t="n"/>
      <c r="H1191" s="18" t="inlineStr">
        <is>
          <t>BJZ</t>
        </is>
      </c>
      <c r="I1191" s="18" t="inlineStr">
        <is>
          <t>Badajoz Airport</t>
        </is>
      </c>
      <c r="J1191" s="21" t="n">
        <v>13</v>
      </c>
      <c r="K1191" s="18" t="inlineStr">
        <is>
          <t>BJZ</t>
        </is>
      </c>
      <c r="L1191" s="18" t="inlineStr">
        <is>
          <t>100k +  pop + airport</t>
        </is>
      </c>
      <c r="M1191" s="22" t="n">
        <v>0.435</v>
      </c>
      <c r="N1191" s="22" t="n">
        <v>0</v>
      </c>
      <c r="O1191" s="18" t="n"/>
      <c r="P1191" s="22">
        <f>IF(O1191="",(About!$B$5*M1191+About!$B$6*N1191)/(About!$B$5+About!$B$6),About!$B$5*M1191+About!$B$6*N1191+About!$B$7*O1191)</f>
        <v/>
      </c>
      <c r="Q1191" s="23" t="n">
        <v>38.8779</v>
      </c>
      <c r="R1191" s="23" t="n">
        <v>-6.9706</v>
      </c>
    </row>
    <row r="1192" ht="15" customHeight="1" s="12">
      <c r="A1192" s="18" t="inlineStr">
        <is>
          <t>Anshun</t>
        </is>
      </c>
      <c r="B1192" s="18" t="inlineStr">
        <is>
          <t>China</t>
        </is>
      </c>
      <c r="C1192" s="19" t="n">
        <v>1404890000</v>
      </c>
      <c r="D1192" s="18" t="inlineStr">
        <is>
          <t>CN</t>
        </is>
      </c>
      <c r="E1192" s="18" t="inlineStr">
        <is>
          <t>18</t>
        </is>
      </c>
      <c r="F1192" s="20" t="n">
        <v>351936</v>
      </c>
      <c r="G1192" s="18" t="n"/>
      <c r="H1192" s="18" t="inlineStr">
        <is>
          <t>AVA</t>
        </is>
      </c>
      <c r="I1192" s="18" t="inlineStr">
        <is>
          <t>Anshun Huangguoshu Airport</t>
        </is>
      </c>
      <c r="J1192" s="21" t="n">
        <v>6.1</v>
      </c>
      <c r="K1192" s="18" t="inlineStr">
        <is>
          <t>AVA</t>
        </is>
      </c>
      <c r="L1192" s="18" t="inlineStr">
        <is>
          <t>100k +  pop + airport</t>
        </is>
      </c>
      <c r="M1192" s="22" t="n">
        <v>0.433</v>
      </c>
      <c r="N1192" s="22" t="n">
        <v>0</v>
      </c>
      <c r="O1192" s="18" t="n"/>
      <c r="P1192" s="22">
        <f>IF(O1192="",(About!$B$5*M1192+About!$B$6*N1192)/(About!$B$5+About!$B$6),About!$B$5*M1192+About!$B$6*N1192+About!$B$7*O1192)</f>
        <v/>
      </c>
      <c r="Q1192" s="23" t="n">
        <v>26.25</v>
      </c>
      <c r="R1192" s="23" t="n">
        <v>105.9333</v>
      </c>
    </row>
    <row r="1193" ht="15" customHeight="1" s="12">
      <c r="A1193" s="18" t="inlineStr">
        <is>
          <t>Limoges</t>
        </is>
      </c>
      <c r="B1193" s="18" t="inlineStr">
        <is>
          <t>France</t>
        </is>
      </c>
      <c r="C1193" s="19" t="n">
        <v>69081996</v>
      </c>
      <c r="D1193" s="18" t="inlineStr">
        <is>
          <t>FR</t>
        </is>
      </c>
      <c r="E1193" s="18" t="inlineStr">
        <is>
          <t>75</t>
        </is>
      </c>
      <c r="F1193" s="20" t="n">
        <v>141176</v>
      </c>
      <c r="G1193" s="18" t="n"/>
      <c r="H1193" s="18" t="inlineStr">
        <is>
          <t>LIG</t>
        </is>
      </c>
      <c r="I1193" s="18" t="inlineStr">
        <is>
          <t>Limoges Airport</t>
        </is>
      </c>
      <c r="J1193" s="21" t="n">
        <v>6.2</v>
      </c>
      <c r="K1193" s="18" t="inlineStr">
        <is>
          <t>LIG</t>
        </is>
      </c>
      <c r="L1193" s="18" t="inlineStr">
        <is>
          <t>100k +  pop + airport</t>
        </is>
      </c>
      <c r="M1193" s="22" t="n">
        <v>0.434</v>
      </c>
      <c r="N1193" s="22" t="n">
        <v>0</v>
      </c>
      <c r="O1193" s="18" t="n"/>
      <c r="P1193" s="22">
        <f>IF(O1193="",(About!$B$5*M1193+About!$B$6*N1193)/(About!$B$5+About!$B$6),About!$B$5*M1193+About!$B$6*N1193+About!$B$7*O1193)</f>
        <v/>
      </c>
      <c r="Q1193" s="23" t="n">
        <v>45.8336</v>
      </c>
      <c r="R1193" s="23" t="n">
        <v>1.2476</v>
      </c>
    </row>
    <row r="1194" ht="15" customHeight="1" s="12">
      <c r="A1194" s="18" t="inlineStr">
        <is>
          <t>Cẩm Phả Mines</t>
        </is>
      </c>
      <c r="B1194" s="18" t="inlineStr">
        <is>
          <t>Vietnam</t>
        </is>
      </c>
      <c r="C1194" s="19" t="n">
        <v>102300000</v>
      </c>
      <c r="D1194" s="18" t="inlineStr">
        <is>
          <t>VN</t>
        </is>
      </c>
      <c r="E1194" s="18" t="inlineStr">
        <is>
          <t>30</t>
        </is>
      </c>
      <c r="F1194" s="20" t="n">
        <v>135477</v>
      </c>
      <c r="G1194" s="18" t="n"/>
      <c r="H1194" s="18" t="inlineStr">
        <is>
          <t>VDO</t>
        </is>
      </c>
      <c r="I1194" s="18" t="inlineStr">
        <is>
          <t>Van Don International Airport</t>
        </is>
      </c>
      <c r="J1194" s="21" t="n">
        <v>16.6</v>
      </c>
      <c r="K1194" s="18" t="inlineStr">
        <is>
          <t>VDO</t>
        </is>
      </c>
      <c r="L1194" s="18" t="inlineStr">
        <is>
          <t>100k +  pop</t>
        </is>
      </c>
      <c r="M1194" s="22" t="n">
        <v>0.435</v>
      </c>
      <c r="N1194" s="22" t="n">
        <v>0</v>
      </c>
      <c r="O1194" s="18" t="n"/>
      <c r="P1194" s="22">
        <f>IF(O1194="",(About!$B$5*M1194+About!$B$6*N1194)/(About!$B$5+About!$B$6),About!$B$5*M1194+About!$B$6*N1194+About!$B$7*O1194)</f>
        <v/>
      </c>
      <c r="Q1194" s="23" t="n">
        <v>21.0167</v>
      </c>
      <c r="R1194" s="23" t="n">
        <v>107.3</v>
      </c>
    </row>
    <row r="1195" ht="15" customHeight="1" s="12">
      <c r="A1195" s="18" t="inlineStr">
        <is>
          <t>İnegol</t>
        </is>
      </c>
      <c r="B1195" s="18" t="inlineStr">
        <is>
          <t>Türkiye</t>
        </is>
      </c>
      <c r="C1195" s="19" t="n">
        <v>86092168</v>
      </c>
      <c r="D1195" s="18" t="inlineStr">
        <is>
          <t>TR</t>
        </is>
      </c>
      <c r="E1195" s="18" t="inlineStr">
        <is>
          <t>16</t>
        </is>
      </c>
      <c r="F1195" s="20" t="n">
        <v>133959</v>
      </c>
      <c r="G1195" s="18" t="n"/>
      <c r="H1195" s="18" t="inlineStr">
        <is>
          <t>YEI</t>
        </is>
      </c>
      <c r="I1195" s="18" t="inlineStr">
        <is>
          <t>Bursa Yenişehir Airport</t>
        </is>
      </c>
      <c r="J1195" s="21" t="n">
        <v>20.1</v>
      </c>
      <c r="K1195" s="18" t="inlineStr">
        <is>
          <t>YEI</t>
        </is>
      </c>
      <c r="L1195" s="18" t="inlineStr">
        <is>
          <t>100k +  pop</t>
        </is>
      </c>
      <c r="M1195" s="22" t="n">
        <v>0.434</v>
      </c>
      <c r="N1195" s="22" t="n">
        <v>0</v>
      </c>
      <c r="O1195" s="18" t="n"/>
      <c r="P1195" s="22">
        <f>IF(O1195="",(About!$B$5*M1195+About!$B$6*N1195)/(About!$B$5+About!$B$6),About!$B$5*M1195+About!$B$6*N1195+About!$B$7*O1195)</f>
        <v/>
      </c>
      <c r="Q1195" s="23" t="n">
        <v>40.0781</v>
      </c>
      <c r="R1195" s="23" t="n">
        <v>29.5133</v>
      </c>
    </row>
    <row r="1196" ht="15" customHeight="1" s="12">
      <c r="A1196" s="18" t="inlineStr">
        <is>
          <t>Timbuktu</t>
        </is>
      </c>
      <c r="B1196" s="18" t="inlineStr">
        <is>
          <t>Mali</t>
        </is>
      </c>
      <c r="C1196" s="19" t="n">
        <v>22395489</v>
      </c>
      <c r="D1196" s="18" t="inlineStr">
        <is>
          <t>ML</t>
        </is>
      </c>
      <c r="E1196" s="18" t="inlineStr">
        <is>
          <t>08</t>
        </is>
      </c>
      <c r="F1196" s="20" t="n">
        <v>32460</v>
      </c>
      <c r="G1196" s="18" t="n"/>
      <c r="H1196" s="18" t="inlineStr">
        <is>
          <t>TOM</t>
        </is>
      </c>
      <c r="I1196" s="18" t="inlineStr">
        <is>
          <t>Tombouktou Airport</t>
        </is>
      </c>
      <c r="J1196" s="21" t="n">
        <v>4.8</v>
      </c>
      <c r="K1196" s="18" t="inlineStr">
        <is>
          <t>TOM</t>
        </is>
      </c>
      <c r="L1196" s="18" t="inlineStr">
        <is>
          <t>airport</t>
        </is>
      </c>
      <c r="M1196" s="22" t="n">
        <v>0.434</v>
      </c>
      <c r="N1196" s="22" t="n">
        <v>0</v>
      </c>
      <c r="O1196" s="18" t="n"/>
      <c r="P1196" s="22">
        <f>IF(O1196="",(About!$B$5*M1196+About!$B$6*N1196)/(About!$B$5+About!$B$6),About!$B$5*M1196+About!$B$6*N1196+About!$B$7*O1196)</f>
        <v/>
      </c>
      <c r="Q1196" s="23" t="n">
        <v>16.7735</v>
      </c>
      <c r="R1196" s="23" t="n">
        <v>-3.0074</v>
      </c>
    </row>
    <row r="1197" ht="15" customHeight="1" s="12">
      <c r="A1197" s="18" t="inlineStr">
        <is>
          <t>Rahim Yar Khan</t>
        </is>
      </c>
      <c r="B1197" s="18" t="inlineStr">
        <is>
          <t>Pakistan</t>
        </is>
      </c>
      <c r="C1197" s="19" t="n">
        <v>241499431</v>
      </c>
      <c r="D1197" s="18" t="inlineStr">
        <is>
          <t>PK</t>
        </is>
      </c>
      <c r="E1197" s="18" t="inlineStr">
        <is>
          <t>04</t>
        </is>
      </c>
      <c r="F1197" s="20" t="n">
        <v>788915</v>
      </c>
      <c r="G1197" s="18" t="n"/>
      <c r="H1197" s="18" t="inlineStr">
        <is>
          <t>RYK</t>
        </is>
      </c>
      <c r="I1197" s="18" t="inlineStr">
        <is>
          <t>Shaikh Zaid Airport</t>
        </is>
      </c>
      <c r="J1197" s="21" t="n">
        <v>4.6</v>
      </c>
      <c r="K1197" s="18" t="inlineStr">
        <is>
          <t>RYK</t>
        </is>
      </c>
      <c r="L1197" s="18" t="inlineStr">
        <is>
          <t>100k +  pop + airport</t>
        </is>
      </c>
      <c r="M1197" s="22" t="n">
        <v>0.432</v>
      </c>
      <c r="N1197" s="22" t="n">
        <v>0</v>
      </c>
      <c r="O1197" s="18" t="n"/>
      <c r="P1197" s="22">
        <f>IF(O1197="",(About!$B$5*M1197+About!$B$6*N1197)/(About!$B$5+About!$B$6),About!$B$5*M1197+About!$B$6*N1197+About!$B$7*O1197)</f>
        <v/>
      </c>
      <c r="Q1197" s="23" t="n">
        <v>28.4199</v>
      </c>
      <c r="R1197" s="23" t="n">
        <v>70.3034</v>
      </c>
    </row>
    <row r="1198" ht="15" customHeight="1" s="12">
      <c r="A1198" s="18" t="inlineStr">
        <is>
          <t>Saddiqabad</t>
        </is>
      </c>
      <c r="B1198" s="18" t="inlineStr">
        <is>
          <t>Pakistan</t>
        </is>
      </c>
      <c r="C1198" s="19" t="n">
        <v>241499431</v>
      </c>
      <c r="D1198" s="18" t="inlineStr">
        <is>
          <t>PK</t>
        </is>
      </c>
      <c r="E1198" s="18" t="inlineStr">
        <is>
          <t>04</t>
        </is>
      </c>
      <c r="F1198" s="20" t="n">
        <v>189876</v>
      </c>
      <c r="G1198" s="18" t="n"/>
      <c r="H1198" s="18" t="inlineStr">
        <is>
          <t>RYK</t>
        </is>
      </c>
      <c r="I1198" s="18" t="inlineStr">
        <is>
          <t>Shaikh Zaid Airport</t>
        </is>
      </c>
      <c r="J1198" s="21" t="n">
        <v>17.1</v>
      </c>
      <c r="K1198" s="18" t="inlineStr">
        <is>
          <t>RYK</t>
        </is>
      </c>
      <c r="L1198" s="18" t="inlineStr">
        <is>
          <t>100k +  pop</t>
        </is>
      </c>
      <c r="M1198" s="22" t="n">
        <v>0.432</v>
      </c>
      <c r="N1198" s="22" t="n">
        <v>0</v>
      </c>
      <c r="O1198" s="18" t="n"/>
      <c r="P1198" s="22">
        <f>IF(O1198="",(About!$B$5*M1198+About!$B$6*N1198)/(About!$B$5+About!$B$6),About!$B$5*M1198+About!$B$6*N1198+About!$B$7*O1198)</f>
        <v/>
      </c>
      <c r="Q1198" s="23" t="n">
        <v>28.3091</v>
      </c>
      <c r="R1198" s="23" t="n">
        <v>70.12649999999999</v>
      </c>
    </row>
    <row r="1199" ht="15" customHeight="1" s="12">
      <c r="A1199" s="18" t="inlineStr">
        <is>
          <t>Gemena</t>
        </is>
      </c>
      <c r="B1199" s="18" t="inlineStr">
        <is>
          <t>DR Congo</t>
        </is>
      </c>
      <c r="C1199" s="19" t="n">
        <v>112832000</v>
      </c>
      <c r="D1199" s="18" t="inlineStr">
        <is>
          <t>CD</t>
        </is>
      </c>
      <c r="E1199" s="18" t="inlineStr">
        <is>
          <t>02</t>
        </is>
      </c>
      <c r="F1199" s="20" t="n">
        <v>117639</v>
      </c>
      <c r="G1199" s="18" t="n"/>
      <c r="H1199" s="18" t="inlineStr">
        <is>
          <t>GMA</t>
        </is>
      </c>
      <c r="I1199" s="18" t="inlineStr">
        <is>
          <t>Gemena Airport</t>
        </is>
      </c>
      <c r="J1199" s="21" t="n">
        <v>2.4</v>
      </c>
      <c r="K1199" s="18" t="inlineStr">
        <is>
          <t>GMA</t>
        </is>
      </c>
      <c r="L1199" s="18" t="inlineStr">
        <is>
          <t>100k +  pop + airport</t>
        </is>
      </c>
      <c r="M1199" s="22" t="n">
        <v>0.433</v>
      </c>
      <c r="N1199" s="22" t="n">
        <v>0</v>
      </c>
      <c r="O1199" s="18" t="n"/>
      <c r="P1199" s="22">
        <f>IF(O1199="",(About!$B$5*M1199+About!$B$6*N1199)/(About!$B$5+About!$B$6),About!$B$5*M1199+About!$B$6*N1199+About!$B$7*O1199)</f>
        <v/>
      </c>
      <c r="Q1199" s="23" t="n">
        <v>3.2565</v>
      </c>
      <c r="R1199" s="23" t="n">
        <v>19.7723</v>
      </c>
    </row>
    <row r="1200" ht="15" customHeight="1" s="12">
      <c r="A1200" s="18" t="inlineStr">
        <is>
          <t>Kingston</t>
        </is>
      </c>
      <c r="B1200" s="18" t="inlineStr">
        <is>
          <t>Norfolk Island</t>
        </is>
      </c>
      <c r="C1200" s="19" t="n">
        <v>2188</v>
      </c>
      <c r="D1200" s="18" t="inlineStr">
        <is>
          <t>NF</t>
        </is>
      </c>
      <c r="E1200" s="18" t="inlineStr">
        <is>
          <t>00</t>
        </is>
      </c>
      <c r="F1200" s="20" t="n">
        <v>880</v>
      </c>
      <c r="G1200" s="18" t="inlineStr">
        <is>
          <t>Yes</t>
        </is>
      </c>
      <c r="H1200" s="18" t="inlineStr">
        <is>
          <t>NLK</t>
        </is>
      </c>
      <c r="I1200" s="18" t="inlineStr">
        <is>
          <t>Norfolk Island International Airport</t>
        </is>
      </c>
      <c r="J1200" s="21" t="n">
        <v>3</v>
      </c>
      <c r="K1200" s="18" t="inlineStr">
        <is>
          <t>NLK</t>
        </is>
      </c>
      <c r="L1200" s="18" t="inlineStr">
        <is>
          <t>capital</t>
        </is>
      </c>
      <c r="M1200" s="22" t="n">
        <v>0.432</v>
      </c>
      <c r="N1200" s="22" t="n">
        <v>0</v>
      </c>
      <c r="O1200" s="18" t="n"/>
      <c r="P1200" s="22">
        <f>IF(O1200="",(About!$B$5*M1200+About!$B$6*N1200)/(About!$B$5+About!$B$6),About!$B$5*M1200+About!$B$6*N1200+About!$B$7*O1200)</f>
        <v/>
      </c>
      <c r="Q1200" s="23" t="n">
        <v>-29.0546</v>
      </c>
      <c r="R1200" s="23" t="n">
        <v>167.9663</v>
      </c>
    </row>
    <row r="1201" ht="15" customHeight="1" s="12">
      <c r="A1201" s="18" t="inlineStr">
        <is>
          <t>Sétif</t>
        </is>
      </c>
      <c r="B1201" s="18" t="inlineStr">
        <is>
          <t>Algeria</t>
        </is>
      </c>
      <c r="C1201" s="19" t="n">
        <v>47400000</v>
      </c>
      <c r="D1201" s="18" t="inlineStr">
        <is>
          <t>DZ</t>
        </is>
      </c>
      <c r="E1201" s="18" t="inlineStr">
        <is>
          <t>12</t>
        </is>
      </c>
      <c r="F1201" s="20" t="n">
        <v>288461</v>
      </c>
      <c r="G1201" s="18" t="n"/>
      <c r="H1201" s="18" t="inlineStr">
        <is>
          <t>QSF</t>
        </is>
      </c>
      <c r="I1201" s="18" t="inlineStr">
        <is>
          <t>Ain Arnat Airport</t>
        </is>
      </c>
      <c r="J1201" s="21" t="n">
        <v>7.7</v>
      </c>
      <c r="K1201" s="18" t="inlineStr">
        <is>
          <t>QSF</t>
        </is>
      </c>
      <c r="L1201" s="18" t="inlineStr">
        <is>
          <t>100k +  pop + airport</t>
        </is>
      </c>
      <c r="M1201" s="22" t="n">
        <v>0.429</v>
      </c>
      <c r="N1201" s="22" t="n">
        <v>0</v>
      </c>
      <c r="O1201" s="18" t="n"/>
      <c r="P1201" s="22">
        <f>IF(O1201="",(About!$B$5*M1201+About!$B$6*N1201)/(About!$B$5+About!$B$6),About!$B$5*M1201+About!$B$6*N1201+About!$B$7*O1201)</f>
        <v/>
      </c>
      <c r="Q1201" s="23" t="n">
        <v>36.1911</v>
      </c>
      <c r="R1201" s="23" t="n">
        <v>5.4137</v>
      </c>
    </row>
    <row r="1202" ht="15" customHeight="1" s="12">
      <c r="A1202" s="18" t="inlineStr">
        <is>
          <t>Bejaïa</t>
        </is>
      </c>
      <c r="B1202" s="18" t="inlineStr">
        <is>
          <t>Algeria</t>
        </is>
      </c>
      <c r="C1202" s="19" t="n">
        <v>47400000</v>
      </c>
      <c r="D1202" s="18" t="inlineStr">
        <is>
          <t>DZ</t>
        </is>
      </c>
      <c r="E1202" s="18" t="inlineStr">
        <is>
          <t>18</t>
        </is>
      </c>
      <c r="F1202" s="20" t="n">
        <v>164103</v>
      </c>
      <c r="G1202" s="18" t="n"/>
      <c r="H1202" s="18" t="inlineStr">
        <is>
          <t>BJA</t>
        </is>
      </c>
      <c r="I1202" s="18" t="inlineStr">
        <is>
          <t>Soummam–Abane Ramdane Airport</t>
        </is>
      </c>
      <c r="J1202" s="21" t="n">
        <v>5</v>
      </c>
      <c r="K1202" s="18" t="inlineStr">
        <is>
          <t>BJA</t>
        </is>
      </c>
      <c r="L1202" s="18" t="inlineStr">
        <is>
          <t>100k +  pop + airport</t>
        </is>
      </c>
      <c r="M1202" s="22" t="n">
        <v>0.43</v>
      </c>
      <c r="N1202" s="22" t="n">
        <v>0</v>
      </c>
      <c r="O1202" s="18" t="n"/>
      <c r="P1202" s="22">
        <f>IF(O1202="",(About!$B$5*M1202+About!$B$6*N1202)/(About!$B$5+About!$B$6),About!$B$5*M1202+About!$B$6*N1202+About!$B$7*O1202)</f>
        <v/>
      </c>
      <c r="Q1202" s="23" t="n">
        <v>36.7559</v>
      </c>
      <c r="R1202" s="23" t="n">
        <v>5.0843</v>
      </c>
    </row>
    <row r="1203" ht="15" customHeight="1" s="12">
      <c r="A1203" s="18" t="inlineStr">
        <is>
          <t>Perugia</t>
        </is>
      </c>
      <c r="B1203" s="18" t="inlineStr">
        <is>
          <t>Italy</t>
        </is>
      </c>
      <c r="C1203" s="19" t="n">
        <v>58932330</v>
      </c>
      <c r="D1203" s="18" t="inlineStr">
        <is>
          <t>IT</t>
        </is>
      </c>
      <c r="E1203" s="18" t="inlineStr">
        <is>
          <t>18</t>
        </is>
      </c>
      <c r="F1203" s="20" t="n">
        <v>120137</v>
      </c>
      <c r="G1203" s="18" t="n"/>
      <c r="H1203" s="18" t="inlineStr">
        <is>
          <t>PEG</t>
        </is>
      </c>
      <c r="I1203" s="18" t="inlineStr">
        <is>
          <t>Perugia San Francesco d'Assisi – Umbria International Airport</t>
        </is>
      </c>
      <c r="J1203" s="21" t="n">
        <v>10.3</v>
      </c>
      <c r="K1203" s="18" t="inlineStr">
        <is>
          <t>PEG</t>
        </is>
      </c>
      <c r="L1203" s="18" t="inlineStr">
        <is>
          <t>100k +  pop</t>
        </is>
      </c>
      <c r="M1203" s="22" t="n">
        <v>0.43</v>
      </c>
      <c r="N1203" s="22" t="n">
        <v>0</v>
      </c>
      <c r="O1203" s="18" t="n"/>
      <c r="P1203" s="22">
        <f>IF(O1203="",(About!$B$5*M1203+About!$B$6*N1203)/(About!$B$5+About!$B$6),About!$B$5*M1203+About!$B$6*N1203+About!$B$7*O1203)</f>
        <v/>
      </c>
      <c r="Q1203" s="23" t="n">
        <v>43.1122</v>
      </c>
      <c r="R1203" s="23" t="n">
        <v>12.3888</v>
      </c>
    </row>
    <row r="1204" ht="15" customHeight="1" s="12">
      <c r="A1204" s="18" t="inlineStr">
        <is>
          <t>Kŭlob</t>
        </is>
      </c>
      <c r="B1204" s="18" t="inlineStr">
        <is>
          <t>Tajikistan</t>
        </is>
      </c>
      <c r="C1204" s="19" t="n">
        <v>10721000</v>
      </c>
      <c r="D1204" s="18" t="inlineStr">
        <is>
          <t>TJ</t>
        </is>
      </c>
      <c r="E1204" s="18" t="inlineStr">
        <is>
          <t>02</t>
        </is>
      </c>
      <c r="F1204" s="20" t="n">
        <v>78786</v>
      </c>
      <c r="G1204" s="18" t="n"/>
      <c r="H1204" s="18" t="inlineStr">
        <is>
          <t>TJU</t>
        </is>
      </c>
      <c r="I1204" s="18" t="inlineStr">
        <is>
          <t>Kulob International Airport</t>
        </is>
      </c>
      <c r="J1204" s="21" t="n">
        <v>8.4</v>
      </c>
      <c r="K1204" s="18" t="inlineStr">
        <is>
          <t>TJU</t>
        </is>
      </c>
      <c r="L1204" s="18" t="inlineStr">
        <is>
          <t>airport</t>
        </is>
      </c>
      <c r="M1204" s="22" t="n">
        <v>0.429</v>
      </c>
      <c r="N1204" s="22" t="n">
        <v>0</v>
      </c>
      <c r="O1204" s="18" t="n"/>
      <c r="P1204" s="22">
        <f>IF(O1204="",(About!$B$5*M1204+About!$B$6*N1204)/(About!$B$5+About!$B$6),About!$B$5*M1204+About!$B$6*N1204+About!$B$7*O1204)</f>
        <v/>
      </c>
      <c r="Q1204" s="23" t="n">
        <v>37.9146</v>
      </c>
      <c r="R1204" s="23" t="n">
        <v>69.78449999999999</v>
      </c>
    </row>
    <row r="1205" ht="15" customHeight="1" s="12">
      <c r="A1205" s="18" t="inlineStr">
        <is>
          <t>Camagüey</t>
        </is>
      </c>
      <c r="B1205" s="18" t="inlineStr">
        <is>
          <t>Cuba</t>
        </is>
      </c>
      <c r="C1205" s="19" t="n">
        <v>9748007</v>
      </c>
      <c r="D1205" s="18" t="inlineStr">
        <is>
          <t>CU</t>
        </is>
      </c>
      <c r="E1205" s="18" t="inlineStr">
        <is>
          <t>05</t>
        </is>
      </c>
      <c r="F1205" s="20" t="n">
        <v>347562</v>
      </c>
      <c r="G1205" s="18" t="n"/>
      <c r="H1205" s="18" t="inlineStr">
        <is>
          <t>CMW</t>
        </is>
      </c>
      <c r="I1205" s="18" t="inlineStr">
        <is>
          <t>Ignacio Agramonte International Airport</t>
        </is>
      </c>
      <c r="J1205" s="21" t="n">
        <v>8.4</v>
      </c>
      <c r="K1205" s="18" t="inlineStr">
        <is>
          <t>CMW</t>
        </is>
      </c>
      <c r="L1205" s="18" t="inlineStr">
        <is>
          <t>100k +  pop + airport</t>
        </is>
      </c>
      <c r="M1205" s="22" t="n">
        <v>0.427</v>
      </c>
      <c r="N1205" s="22" t="n">
        <v>0</v>
      </c>
      <c r="O1205" s="18" t="n"/>
      <c r="P1205" s="22">
        <f>IF(O1205="",(About!$B$5*M1205+About!$B$6*N1205)/(About!$B$5+About!$B$6),About!$B$5*M1205+About!$B$6*N1205+About!$B$7*O1205)</f>
        <v/>
      </c>
      <c r="Q1205" s="23" t="n">
        <v>21.3808</v>
      </c>
      <c r="R1205" s="23" t="n">
        <v>-77.9169</v>
      </c>
    </row>
    <row r="1206" ht="15" customHeight="1" s="12">
      <c r="A1206" s="18" t="inlineStr">
        <is>
          <t>Popayán</t>
        </is>
      </c>
      <c r="B1206" s="18" t="inlineStr">
        <is>
          <t>Colombia</t>
        </is>
      </c>
      <c r="C1206" s="19" t="n">
        <v>53057212</v>
      </c>
      <c r="D1206" s="18" t="inlineStr">
        <is>
          <t>CO</t>
        </is>
      </c>
      <c r="E1206" s="18" t="inlineStr">
        <is>
          <t>09</t>
        </is>
      </c>
      <c r="F1206" s="20" t="n">
        <v>258653</v>
      </c>
      <c r="G1206" s="18" t="n"/>
      <c r="H1206" s="18" t="inlineStr">
        <is>
          <t>PPN</t>
        </is>
      </c>
      <c r="I1206" s="18" t="inlineStr">
        <is>
          <t>Guillermo León Valencia Airport</t>
        </is>
      </c>
      <c r="J1206" s="21" t="n">
        <v>1.8</v>
      </c>
      <c r="K1206" s="18" t="inlineStr">
        <is>
          <t>PPN</t>
        </is>
      </c>
      <c r="L1206" s="18" t="inlineStr">
        <is>
          <t>100k +  pop + airport</t>
        </is>
      </c>
      <c r="M1206" s="22" t="n">
        <v>0.428</v>
      </c>
      <c r="N1206" s="22" t="n">
        <v>0</v>
      </c>
      <c r="O1206" s="18" t="n"/>
      <c r="P1206" s="22">
        <f>IF(O1206="",(About!$B$5*M1206+About!$B$6*N1206)/(About!$B$5+About!$B$6),About!$B$5*M1206+About!$B$6*N1206+About!$B$7*O1206)</f>
        <v/>
      </c>
      <c r="Q1206" s="23" t="n">
        <v>2.4382</v>
      </c>
      <c r="R1206" s="23" t="n">
        <v>-76.61320000000001</v>
      </c>
    </row>
    <row r="1207" ht="15" customHeight="1" s="12">
      <c r="A1207" s="18" t="inlineStr">
        <is>
          <t>Gyumri</t>
        </is>
      </c>
      <c r="B1207" s="18" t="inlineStr">
        <is>
          <t>Armenia</t>
        </is>
      </c>
      <c r="C1207" s="19" t="n">
        <v>3096900</v>
      </c>
      <c r="D1207" s="18" t="inlineStr">
        <is>
          <t>AM</t>
        </is>
      </c>
      <c r="E1207" s="18" t="inlineStr">
        <is>
          <t>07</t>
        </is>
      </c>
      <c r="F1207" s="20" t="n">
        <v>148381</v>
      </c>
      <c r="G1207" s="18" t="n"/>
      <c r="H1207" s="18" t="inlineStr">
        <is>
          <t>LWN</t>
        </is>
      </c>
      <c r="I1207" s="18" t="inlineStr">
        <is>
          <t>Shirak International Airport</t>
        </is>
      </c>
      <c r="J1207" s="21" t="n">
        <v>5</v>
      </c>
      <c r="K1207" s="18" t="inlineStr">
        <is>
          <t>LWN</t>
        </is>
      </c>
      <c r="L1207" s="18" t="inlineStr">
        <is>
          <t>100k +  pop + airport</t>
        </is>
      </c>
      <c r="M1207" s="22" t="n">
        <v>0.428</v>
      </c>
      <c r="N1207" s="22" t="n">
        <v>0</v>
      </c>
      <c r="O1207" s="18" t="n"/>
      <c r="P1207" s="22">
        <f>IF(O1207="",(About!$B$5*M1207+About!$B$6*N1207)/(About!$B$5+About!$B$6),About!$B$5*M1207+About!$B$6*N1207+About!$B$7*O1207)</f>
        <v/>
      </c>
      <c r="Q1207" s="23" t="n">
        <v>40.7942</v>
      </c>
      <c r="R1207" s="23" t="n">
        <v>43.8453</v>
      </c>
    </row>
    <row r="1208" ht="15" customHeight="1" s="12">
      <c r="A1208" s="18" t="inlineStr">
        <is>
          <t>Tlemcen</t>
        </is>
      </c>
      <c r="B1208" s="18" t="inlineStr">
        <is>
          <t>Algeria</t>
        </is>
      </c>
      <c r="C1208" s="19" t="n">
        <v>47400000</v>
      </c>
      <c r="D1208" s="18" t="inlineStr">
        <is>
          <t>DZ</t>
        </is>
      </c>
      <c r="E1208" s="18" t="inlineStr">
        <is>
          <t>15</t>
        </is>
      </c>
      <c r="F1208" s="20" t="n">
        <v>132341</v>
      </c>
      <c r="G1208" s="18" t="n"/>
      <c r="H1208" s="18" t="inlineStr">
        <is>
          <t>TLM</t>
        </is>
      </c>
      <c r="I1208" s="18" t="inlineStr">
        <is>
          <t>Zenata – Messali El Hadj Airport</t>
        </is>
      </c>
      <c r="J1208" s="21" t="n">
        <v>19.8</v>
      </c>
      <c r="K1208" s="18" t="inlineStr">
        <is>
          <t>TLM</t>
        </is>
      </c>
      <c r="L1208" s="18" t="inlineStr">
        <is>
          <t>100k +  pop</t>
        </is>
      </c>
      <c r="M1208" s="22" t="n">
        <v>0.427</v>
      </c>
      <c r="N1208" s="22" t="n">
        <v>0</v>
      </c>
      <c r="O1208" s="18" t="n"/>
      <c r="P1208" s="22">
        <f>IF(O1208="",(About!$B$5*M1208+About!$B$6*N1208)/(About!$B$5+About!$B$6),About!$B$5*M1208+About!$B$6*N1208+About!$B$7*O1208)</f>
        <v/>
      </c>
      <c r="Q1208" s="23" t="n">
        <v>34.8783</v>
      </c>
      <c r="R1208" s="23" t="n">
        <v>-1.315</v>
      </c>
    </row>
    <row r="1209" ht="15" customHeight="1" s="12">
      <c r="A1209" s="18" t="inlineStr">
        <is>
          <t>Saint-Pierre</t>
        </is>
      </c>
      <c r="B1209" s="18" t="inlineStr">
        <is>
          <t>Réunion</t>
        </is>
      </c>
      <c r="C1209" s="19" t="n">
        <v>885000</v>
      </c>
      <c r="D1209" s="18" t="inlineStr">
        <is>
          <t>RE</t>
        </is>
      </c>
      <c r="E1209" s="18" t="inlineStr">
        <is>
          <t>RE</t>
        </is>
      </c>
      <c r="F1209" s="20" t="n">
        <v>76655</v>
      </c>
      <c r="G1209" s="18" t="n"/>
      <c r="H1209" s="18" t="inlineStr">
        <is>
          <t>ZSE</t>
        </is>
      </c>
      <c r="I1209" s="18" t="inlineStr">
        <is>
          <t>Saint-Pierre Pierrefonds Airport</t>
        </is>
      </c>
      <c r="J1209" s="21" t="n">
        <v>6.2</v>
      </c>
      <c r="K1209" s="18" t="inlineStr">
        <is>
          <t>ZSE</t>
        </is>
      </c>
      <c r="L1209" s="18" t="inlineStr">
        <is>
          <t>airport</t>
        </is>
      </c>
      <c r="M1209" s="22" t="n">
        <v>0.428</v>
      </c>
      <c r="N1209" s="22" t="n">
        <v>0</v>
      </c>
      <c r="O1209" s="18" t="n"/>
      <c r="P1209" s="22">
        <f>IF(O1209="",(About!$B$5*M1209+About!$B$6*N1209)/(About!$B$5+About!$B$6),About!$B$5*M1209+About!$B$6*N1209+About!$B$7*O1209)</f>
        <v/>
      </c>
      <c r="Q1209" s="23" t="n">
        <v>-21.3393</v>
      </c>
      <c r="R1209" s="23" t="n">
        <v>55.4781</v>
      </c>
    </row>
    <row r="1210" ht="15" customHeight="1" s="12">
      <c r="A1210" s="18" t="inlineStr">
        <is>
          <t>Saint-Louis</t>
        </is>
      </c>
      <c r="B1210" s="18" t="inlineStr">
        <is>
          <t>Réunion</t>
        </is>
      </c>
      <c r="C1210" s="19" t="n">
        <v>885000</v>
      </c>
      <c r="D1210" s="18" t="inlineStr">
        <is>
          <t>RE</t>
        </is>
      </c>
      <c r="E1210" s="18" t="inlineStr">
        <is>
          <t>RE</t>
        </is>
      </c>
      <c r="F1210" s="20" t="n">
        <v>47881</v>
      </c>
      <c r="G1210" s="18" t="n"/>
      <c r="H1210" s="18" t="inlineStr">
        <is>
          <t>ZSE</t>
        </is>
      </c>
      <c r="I1210" s="18" t="inlineStr">
        <is>
          <t>Saint-Pierre Pierrefonds Airport</t>
        </is>
      </c>
      <c r="J1210" s="21" t="n">
        <v>3.9</v>
      </c>
      <c r="K1210" s="18" t="inlineStr">
        <is>
          <t>ZSE</t>
        </is>
      </c>
      <c r="L1210" s="18" t="inlineStr">
        <is>
          <t>airport</t>
        </is>
      </c>
      <c r="M1210" s="22" t="n">
        <v>0.428</v>
      </c>
      <c r="N1210" s="22" t="n">
        <v>0</v>
      </c>
      <c r="O1210" s="18" t="n"/>
      <c r="P1210" s="22">
        <f>IF(O1210="",(About!$B$5*M1210+About!$B$6*N1210)/(About!$B$5+About!$B$6),About!$B$5*M1210+About!$B$6*N1210+About!$B$7*O1210)</f>
        <v/>
      </c>
      <c r="Q1210" s="23" t="n">
        <v>-21.2858</v>
      </c>
      <c r="R1210" s="23" t="n">
        <v>55.4112</v>
      </c>
    </row>
    <row r="1211" ht="15" customHeight="1" s="12">
      <c r="A1211" s="18" t="inlineStr">
        <is>
          <t>Franceville</t>
        </is>
      </c>
      <c r="B1211" s="18" t="inlineStr">
        <is>
          <t>Gabon</t>
        </is>
      </c>
      <c r="C1211" s="19" t="n">
        <v>2469296</v>
      </c>
      <c r="D1211" s="18" t="inlineStr">
        <is>
          <t>GA</t>
        </is>
      </c>
      <c r="E1211" s="18" t="inlineStr">
        <is>
          <t>02</t>
        </is>
      </c>
      <c r="F1211" s="20" t="n">
        <v>42967</v>
      </c>
      <c r="G1211" s="18" t="n"/>
      <c r="H1211" s="18" t="inlineStr">
        <is>
          <t>MVB</t>
        </is>
      </c>
      <c r="I1211" s="18" t="inlineStr">
        <is>
          <t>M'Vengue El Hadj Omar Bongo Ondimba International Airport</t>
        </is>
      </c>
      <c r="J1211" s="21" t="n">
        <v>16.4</v>
      </c>
      <c r="K1211" s="18" t="inlineStr">
        <is>
          <t>MVB</t>
        </is>
      </c>
      <c r="L1211" s="18" t="inlineStr">
        <is>
          <t>airport</t>
        </is>
      </c>
      <c r="M1211" s="22" t="n">
        <v>0.429</v>
      </c>
      <c r="N1211" s="22" t="n">
        <v>0</v>
      </c>
      <c r="O1211" s="18" t="n"/>
      <c r="P1211" s="22">
        <f>IF(O1211="",(About!$B$5*M1211+About!$B$6*N1211)/(About!$B$5+About!$B$6),About!$B$5*M1211+About!$B$6*N1211+About!$B$7*O1211)</f>
        <v/>
      </c>
      <c r="Q1211" s="23" t="n">
        <v>-1.6333</v>
      </c>
      <c r="R1211" s="23" t="n">
        <v>13.5836</v>
      </c>
    </row>
    <row r="1212" ht="15" customHeight="1" s="12">
      <c r="A1212" s="18" t="inlineStr">
        <is>
          <t>Rovaniemi</t>
        </is>
      </c>
      <c r="B1212" s="18" t="inlineStr">
        <is>
          <t>Finland</t>
        </is>
      </c>
      <c r="C1212" s="19" t="n">
        <v>5650152</v>
      </c>
      <c r="D1212" s="18" t="inlineStr">
        <is>
          <t>FI</t>
        </is>
      </c>
      <c r="E1212" s="18" t="inlineStr">
        <is>
          <t>19</t>
        </is>
      </c>
      <c r="F1212" s="20" t="n">
        <v>34781</v>
      </c>
      <c r="G1212" s="18" t="n"/>
      <c r="H1212" s="18" t="inlineStr">
        <is>
          <t>RVN</t>
        </is>
      </c>
      <c r="I1212" s="18" t="inlineStr">
        <is>
          <t>Rovaniemi Airport</t>
        </is>
      </c>
      <c r="J1212" s="21" t="n">
        <v>8.6</v>
      </c>
      <c r="K1212" s="18" t="inlineStr">
        <is>
          <t>RVN</t>
        </is>
      </c>
      <c r="L1212" s="18" t="inlineStr">
        <is>
          <t>airport</t>
        </is>
      </c>
      <c r="M1212" s="22" t="n">
        <v>0.426</v>
      </c>
      <c r="N1212" s="22" t="n">
        <v>0</v>
      </c>
      <c r="O1212" s="18" t="n"/>
      <c r="P1212" s="22">
        <f>IF(O1212="",(About!$B$5*M1212+About!$B$6*N1212)/(About!$B$5+About!$B$6),About!$B$5*M1212+About!$B$6*N1212+About!$B$7*O1212)</f>
        <v/>
      </c>
      <c r="Q1212" s="23" t="n">
        <v>66.5</v>
      </c>
      <c r="R1212" s="23" t="n">
        <v>25.7167</v>
      </c>
    </row>
    <row r="1213" ht="15" customHeight="1" s="12">
      <c r="A1213" s="18" t="inlineStr">
        <is>
          <t>Rājshāhi</t>
        </is>
      </c>
      <c r="B1213" s="18" t="inlineStr">
        <is>
          <t>Bangladesh</t>
        </is>
      </c>
      <c r="C1213" s="19" t="n">
        <v>169828911</v>
      </c>
      <c r="D1213" s="18" t="inlineStr">
        <is>
          <t>BD</t>
        </is>
      </c>
      <c r="E1213" s="18" t="inlineStr">
        <is>
          <t>83</t>
        </is>
      </c>
      <c r="F1213" s="20" t="n">
        <v>700133</v>
      </c>
      <c r="G1213" s="18" t="n"/>
      <c r="H1213" s="18" t="inlineStr">
        <is>
          <t>RJH</t>
        </is>
      </c>
      <c r="I1213" s="18" t="inlineStr">
        <is>
          <t>Shah Makhdum Airport</t>
        </is>
      </c>
      <c r="J1213" s="21" t="n">
        <v>7.2</v>
      </c>
      <c r="K1213" s="18" t="inlineStr">
        <is>
          <t>RJH</t>
        </is>
      </c>
      <c r="L1213" s="18" t="inlineStr">
        <is>
          <t>100k +  pop + airport</t>
        </is>
      </c>
      <c r="M1213" s="22" t="n">
        <v>0.425</v>
      </c>
      <c r="N1213" s="22" t="n">
        <v>0</v>
      </c>
      <c r="O1213" s="18" t="n"/>
      <c r="P1213" s="22">
        <f>IF(O1213="",(About!$B$5*M1213+About!$B$6*N1213)/(About!$B$5+About!$B$6),About!$B$5*M1213+About!$B$6*N1213+About!$B$7*O1213)</f>
        <v/>
      </c>
      <c r="Q1213" s="23" t="n">
        <v>24.374</v>
      </c>
      <c r="R1213" s="23" t="n">
        <v>88.6011</v>
      </c>
    </row>
    <row r="1214" ht="15" customHeight="1" s="12">
      <c r="A1214" s="18" t="inlineStr">
        <is>
          <t>Buenaventura</t>
        </is>
      </c>
      <c r="B1214" s="18" t="inlineStr">
        <is>
          <t>Colombia</t>
        </is>
      </c>
      <c r="C1214" s="19" t="n">
        <v>53057212</v>
      </c>
      <c r="D1214" s="18" t="inlineStr">
        <is>
          <t>CO</t>
        </is>
      </c>
      <c r="E1214" s="18" t="inlineStr">
        <is>
          <t>29</t>
        </is>
      </c>
      <c r="F1214" s="20" t="n">
        <v>240387</v>
      </c>
      <c r="G1214" s="18" t="n"/>
      <c r="H1214" s="18" t="inlineStr">
        <is>
          <t>BUN</t>
        </is>
      </c>
      <c r="I1214" s="18" t="inlineStr">
        <is>
          <t>Gerardo Tobar López Airport</t>
        </is>
      </c>
      <c r="J1214" s="21" t="n">
        <v>8.1</v>
      </c>
      <c r="K1214" s="18" t="inlineStr">
        <is>
          <t>BUN</t>
        </is>
      </c>
      <c r="L1214" s="18" t="inlineStr">
        <is>
          <t>100k +  pop + airport</t>
        </is>
      </c>
      <c r="M1214" s="22" t="n">
        <v>0.425</v>
      </c>
      <c r="N1214" s="22" t="n">
        <v>0</v>
      </c>
      <c r="O1214" s="18" t="n"/>
      <c r="P1214" s="22">
        <f>IF(O1214="",(About!$B$5*M1214+About!$B$6*N1214)/(About!$B$5+About!$B$6),About!$B$5*M1214+About!$B$6*N1214+About!$B$7*O1214)</f>
        <v/>
      </c>
      <c r="Q1214" s="23" t="n">
        <v>3.8801</v>
      </c>
      <c r="R1214" s="23" t="n">
        <v>-77.0312</v>
      </c>
    </row>
    <row r="1215" ht="15" customHeight="1" s="12">
      <c r="A1215" s="18" t="inlineStr">
        <is>
          <t>Huambo</t>
        </is>
      </c>
      <c r="B1215" s="18" t="inlineStr">
        <is>
          <t>Angola</t>
        </is>
      </c>
      <c r="C1215" s="19" t="n">
        <v>38778554</v>
      </c>
      <c r="D1215" s="18" t="inlineStr">
        <is>
          <t>AO</t>
        </is>
      </c>
      <c r="E1215" s="18" t="inlineStr">
        <is>
          <t>08</t>
        </is>
      </c>
      <c r="F1215" s="20" t="n">
        <v>226145</v>
      </c>
      <c r="G1215" s="18" t="n"/>
      <c r="H1215" s="18" t="inlineStr">
        <is>
          <t>NOV</t>
        </is>
      </c>
      <c r="I1215" s="18" t="inlineStr">
        <is>
          <t>Albano Machado Airport</t>
        </is>
      </c>
      <c r="J1215" s="21" t="n">
        <v>4.3</v>
      </c>
      <c r="K1215" s="18" t="inlineStr">
        <is>
          <t>NOV</t>
        </is>
      </c>
      <c r="L1215" s="18" t="inlineStr">
        <is>
          <t>100k +  pop + airport</t>
        </is>
      </c>
      <c r="M1215" s="22" t="n">
        <v>0.424</v>
      </c>
      <c r="N1215" s="22" t="n">
        <v>0</v>
      </c>
      <c r="O1215" s="18" t="n"/>
      <c r="P1215" s="22">
        <f>IF(O1215="",(About!$B$5*M1215+About!$B$6*N1215)/(About!$B$5+About!$B$6),About!$B$5*M1215+About!$B$6*N1215+About!$B$7*O1215)</f>
        <v/>
      </c>
      <c r="Q1215" s="23" t="n">
        <v>-12.7761</v>
      </c>
      <c r="R1215" s="23" t="n">
        <v>15.7392</v>
      </c>
    </row>
    <row r="1216" ht="15" customHeight="1" s="12">
      <c r="A1216" s="18" t="inlineStr">
        <is>
          <t>Barisāl</t>
        </is>
      </c>
      <c r="B1216" s="18" t="inlineStr">
        <is>
          <t>Bangladesh</t>
        </is>
      </c>
      <c r="C1216" s="19" t="n">
        <v>169828911</v>
      </c>
      <c r="D1216" s="18" t="inlineStr">
        <is>
          <t>BD</t>
        </is>
      </c>
      <c r="E1216" s="18" t="inlineStr">
        <is>
          <t>85</t>
        </is>
      </c>
      <c r="F1216" s="20" t="n">
        <v>202242</v>
      </c>
      <c r="G1216" s="18" t="n"/>
      <c r="H1216" s="18" t="inlineStr">
        <is>
          <t>BZL</t>
        </is>
      </c>
      <c r="I1216" s="18" t="inlineStr">
        <is>
          <t>Barisal Airport</t>
        </is>
      </c>
      <c r="J1216" s="21" t="n">
        <v>12.8</v>
      </c>
      <c r="K1216" s="18" t="inlineStr">
        <is>
          <t>BZL</t>
        </is>
      </c>
      <c r="L1216" s="18" t="inlineStr">
        <is>
          <t>100k +  pop + airport</t>
        </is>
      </c>
      <c r="M1216" s="22" t="n">
        <v>0.425</v>
      </c>
      <c r="N1216" s="22" t="n">
        <v>0</v>
      </c>
      <c r="O1216" s="18" t="n"/>
      <c r="P1216" s="22">
        <f>IF(O1216="",(About!$B$5*M1216+About!$B$6*N1216)/(About!$B$5+About!$B$6),About!$B$5*M1216+About!$B$6*N1216+About!$B$7*O1216)</f>
        <v/>
      </c>
      <c r="Q1216" s="23" t="n">
        <v>22.705</v>
      </c>
      <c r="R1216" s="23" t="n">
        <v>90.37009999999999</v>
      </c>
    </row>
    <row r="1217" ht="15" customHeight="1" s="12">
      <c r="A1217" s="18" t="inlineStr">
        <is>
          <t>Puthia</t>
        </is>
      </c>
      <c r="B1217" s="18" t="inlineStr">
        <is>
          <t>Bangladesh</t>
        </is>
      </c>
      <c r="C1217" s="19" t="n">
        <v>169828911</v>
      </c>
      <c r="D1217" s="18" t="inlineStr">
        <is>
          <t>BD</t>
        </is>
      </c>
      <c r="E1217" s="18" t="inlineStr">
        <is>
          <t>83</t>
        </is>
      </c>
      <c r="F1217" s="20" t="n">
        <v>159406</v>
      </c>
      <c r="G1217" s="18" t="n"/>
      <c r="H1217" s="18" t="inlineStr">
        <is>
          <t>RJH</t>
        </is>
      </c>
      <c r="I1217" s="18" t="inlineStr">
        <is>
          <t>Shah Makhdum Airport</t>
        </is>
      </c>
      <c r="J1217" s="21" t="n">
        <v>23.5</v>
      </c>
      <c r="K1217" s="18" t="inlineStr">
        <is>
          <t>RJH</t>
        </is>
      </c>
      <c r="L1217" s="18" t="inlineStr">
        <is>
          <t>100k +  pop</t>
        </is>
      </c>
      <c r="M1217" s="22" t="n">
        <v>0.425</v>
      </c>
      <c r="N1217" s="22" t="n">
        <v>0</v>
      </c>
      <c r="O1217" s="18" t="n"/>
      <c r="P1217" s="22">
        <f>IF(O1217="",(About!$B$5*M1217+About!$B$6*N1217)/(About!$B$5+About!$B$6),About!$B$5*M1217+About!$B$6*N1217+About!$B$7*O1217)</f>
        <v/>
      </c>
      <c r="Q1217" s="23" t="n">
        <v>24.3654</v>
      </c>
      <c r="R1217" s="23" t="n">
        <v>88.8343</v>
      </c>
    </row>
    <row r="1218" ht="15" customHeight="1" s="12">
      <c r="A1218" s="18" t="inlineStr">
        <is>
          <t>Grenoble</t>
        </is>
      </c>
      <c r="B1218" s="18" t="inlineStr">
        <is>
          <t>France</t>
        </is>
      </c>
      <c r="C1218" s="19" t="n">
        <v>69081996</v>
      </c>
      <c r="D1218" s="18" t="inlineStr">
        <is>
          <t>FR</t>
        </is>
      </c>
      <c r="E1218" s="18" t="inlineStr">
        <is>
          <t>84</t>
        </is>
      </c>
      <c r="F1218" s="20" t="n">
        <v>158552</v>
      </c>
      <c r="G1218" s="18" t="n"/>
      <c r="H1218" s="18" t="inlineStr">
        <is>
          <t>GNB</t>
        </is>
      </c>
      <c r="I1218" s="18" t="inlineStr">
        <is>
          <t>Grenoble Alpes Isère Airport</t>
        </is>
      </c>
      <c r="J1218" s="21" t="n">
        <v>36.5</v>
      </c>
      <c r="K1218" s="18" t="inlineStr">
        <is>
          <t>GNB</t>
        </is>
      </c>
      <c r="L1218" s="18" t="inlineStr">
        <is>
          <t>100k +  pop + airport</t>
        </is>
      </c>
      <c r="M1218" s="22" t="n">
        <v>0.423</v>
      </c>
      <c r="N1218" s="22" t="n">
        <v>0</v>
      </c>
      <c r="O1218" s="18" t="n"/>
      <c r="P1218" s="22">
        <f>IF(O1218="",(About!$B$5*M1218+About!$B$6*N1218)/(About!$B$5+About!$B$6),About!$B$5*M1218+About!$B$6*N1218+About!$B$7*O1218)</f>
        <v/>
      </c>
      <c r="Q1218" s="23" t="n">
        <v>45.1787</v>
      </c>
      <c r="R1218" s="23" t="n">
        <v>5.7148</v>
      </c>
    </row>
    <row r="1219" ht="15" customHeight="1" s="12">
      <c r="A1219" s="18" t="inlineStr">
        <is>
          <t>Béchar</t>
        </is>
      </c>
      <c r="B1219" s="18" t="inlineStr">
        <is>
          <t>Algeria</t>
        </is>
      </c>
      <c r="C1219" s="19" t="n">
        <v>47400000</v>
      </c>
      <c r="D1219" s="18" t="inlineStr">
        <is>
          <t>DZ</t>
        </is>
      </c>
      <c r="E1219" s="18" t="inlineStr">
        <is>
          <t>38</t>
        </is>
      </c>
      <c r="F1219" s="20" t="n">
        <v>143382</v>
      </c>
      <c r="G1219" s="18" t="n"/>
      <c r="H1219" s="18" t="inlineStr">
        <is>
          <t>CBH</t>
        </is>
      </c>
      <c r="I1219" s="18" t="inlineStr">
        <is>
          <t>Béchar Boudghene Ben Ali Lotfi Airport</t>
        </is>
      </c>
      <c r="J1219" s="21" t="n">
        <v>6</v>
      </c>
      <c r="K1219" s="18" t="inlineStr">
        <is>
          <t>CBH</t>
        </is>
      </c>
      <c r="L1219" s="18" t="inlineStr">
        <is>
          <t>100k +  pop + airport</t>
        </is>
      </c>
      <c r="M1219" s="22" t="n">
        <v>0.424</v>
      </c>
      <c r="N1219" s="22" t="n">
        <v>0</v>
      </c>
      <c r="O1219" s="18" t="n"/>
      <c r="P1219" s="22">
        <f>IF(O1219="",(About!$B$5*M1219+About!$B$6*N1219)/(About!$B$5+About!$B$6),About!$B$5*M1219+About!$B$6*N1219+About!$B$7*O1219)</f>
        <v/>
      </c>
      <c r="Q1219" s="23" t="n">
        <v>31.6167</v>
      </c>
      <c r="R1219" s="23" t="n">
        <v>-2.2167</v>
      </c>
    </row>
    <row r="1220" ht="15" customHeight="1" s="12">
      <c r="A1220" s="18" t="inlineStr">
        <is>
          <t>Karlovy Vary</t>
        </is>
      </c>
      <c r="B1220" s="18" t="inlineStr">
        <is>
          <t>Czechia</t>
        </is>
      </c>
      <c r="C1220" s="19" t="n">
        <v>10915839</v>
      </c>
      <c r="D1220" s="18" t="inlineStr">
        <is>
          <t>CZ</t>
        </is>
      </c>
      <c r="E1220" s="18" t="inlineStr">
        <is>
          <t>81</t>
        </is>
      </c>
      <c r="F1220" s="20" t="n">
        <v>51807</v>
      </c>
      <c r="G1220" s="18" t="n"/>
      <c r="H1220" s="18" t="inlineStr">
        <is>
          <t>KLV</t>
        </is>
      </c>
      <c r="I1220" s="18" t="inlineStr">
        <is>
          <t>Karlovy Vary Airport</t>
        </is>
      </c>
      <c r="J1220" s="21" t="n">
        <v>4.5</v>
      </c>
      <c r="K1220" s="18" t="inlineStr">
        <is>
          <t>KLV</t>
        </is>
      </c>
      <c r="L1220" s="18" t="inlineStr">
        <is>
          <t>airport</t>
        </is>
      </c>
      <c r="M1220" s="22" t="n">
        <v>0.424</v>
      </c>
      <c r="N1220" s="22" t="n">
        <v>0</v>
      </c>
      <c r="O1220" s="18" t="n"/>
      <c r="P1220" s="22">
        <f>IF(O1220="",(About!$B$5*M1220+About!$B$6*N1220)/(About!$B$5+About!$B$6),About!$B$5*M1220+About!$B$6*N1220+About!$B$7*O1220)</f>
        <v/>
      </c>
      <c r="Q1220" s="23" t="n">
        <v>50.2327</v>
      </c>
      <c r="R1220" s="23" t="n">
        <v>12.8712</v>
      </c>
    </row>
    <row r="1221" ht="15" customHeight="1" s="12">
      <c r="A1221" s="18" t="inlineStr">
        <is>
          <t>Nyala</t>
        </is>
      </c>
      <c r="B1221" s="18" t="inlineStr">
        <is>
          <t>Sudan</t>
        </is>
      </c>
      <c r="C1221" s="19" t="n">
        <v>51662000</v>
      </c>
      <c r="D1221" s="18" t="inlineStr">
        <is>
          <t>SD</t>
        </is>
      </c>
      <c r="E1221" s="18" t="inlineStr">
        <is>
          <t>49</t>
        </is>
      </c>
      <c r="F1221" s="20" t="n">
        <v>565734</v>
      </c>
      <c r="G1221" s="18" t="n"/>
      <c r="H1221" s="18" t="inlineStr">
        <is>
          <t>UYL</t>
        </is>
      </c>
      <c r="I1221" s="18" t="inlineStr">
        <is>
          <t>Nyala Airport</t>
        </is>
      </c>
      <c r="J1221" s="21" t="n">
        <v>8.199999999999999</v>
      </c>
      <c r="K1221" s="18" t="inlineStr">
        <is>
          <t>UYL</t>
        </is>
      </c>
      <c r="L1221" s="18" t="inlineStr">
        <is>
          <t>100k +  pop + airport</t>
        </is>
      </c>
      <c r="M1221" s="22" t="n">
        <v>0.422</v>
      </c>
      <c r="N1221" s="22" t="n">
        <v>0</v>
      </c>
      <c r="O1221" s="18" t="n"/>
      <c r="P1221" s="22">
        <f>IF(O1221="",(About!$B$5*M1221+About!$B$6*N1221)/(About!$B$5+About!$B$6),About!$B$5*M1221+About!$B$6*N1221+About!$B$7*O1221)</f>
        <v/>
      </c>
      <c r="Q1221" s="23" t="n">
        <v>12.0489</v>
      </c>
      <c r="R1221" s="23" t="n">
        <v>24.8807</v>
      </c>
    </row>
    <row r="1222" ht="15" customHeight="1" s="12">
      <c r="A1222" s="18" t="inlineStr">
        <is>
          <t>Campeche</t>
        </is>
      </c>
      <c r="B1222" s="18" t="inlineStr">
        <is>
          <t>Mexico</t>
        </is>
      </c>
      <c r="C1222" s="19" t="n">
        <v>131150866</v>
      </c>
      <c r="D1222" s="18" t="inlineStr">
        <is>
          <t>MX</t>
        </is>
      </c>
      <c r="E1222" s="18" t="inlineStr">
        <is>
          <t>04</t>
        </is>
      </c>
      <c r="F1222" s="20" t="n">
        <v>220389</v>
      </c>
      <c r="G1222" s="18" t="n"/>
      <c r="H1222" s="18" t="inlineStr">
        <is>
          <t>CPE</t>
        </is>
      </c>
      <c r="I1222" s="18" t="inlineStr">
        <is>
          <t>Ingeniero Alberto Acuña Ongay International Airport</t>
        </is>
      </c>
      <c r="J1222" s="21" t="n">
        <v>4.1</v>
      </c>
      <c r="K1222" s="18" t="inlineStr">
        <is>
          <t>CPE</t>
        </is>
      </c>
      <c r="L1222" s="18" t="inlineStr">
        <is>
          <t>100k +  pop + airport</t>
        </is>
      </c>
      <c r="M1222" s="22" t="n">
        <v>0.422</v>
      </c>
      <c r="N1222" s="22" t="n">
        <v>0</v>
      </c>
      <c r="O1222" s="18" t="n"/>
      <c r="P1222" s="22">
        <f>IF(O1222="",(About!$B$5*M1222+About!$B$6*N1222)/(About!$B$5+About!$B$6),About!$B$5*M1222+About!$B$6*N1222+About!$B$7*O1222)</f>
        <v/>
      </c>
      <c r="Q1222" s="23" t="n">
        <v>19.8439</v>
      </c>
      <c r="R1222" s="23" t="n">
        <v>-90.52549999999999</v>
      </c>
    </row>
    <row r="1223" ht="15" customHeight="1" s="12">
      <c r="A1223" s="18" t="inlineStr">
        <is>
          <t>La Romana</t>
        </is>
      </c>
      <c r="B1223" s="18" t="inlineStr">
        <is>
          <t>Dominican Republic</t>
        </is>
      </c>
      <c r="C1223" s="19" t="n">
        <v>10771504</v>
      </c>
      <c r="D1223" s="18" t="inlineStr">
        <is>
          <t>DO</t>
        </is>
      </c>
      <c r="E1223" s="18" t="inlineStr">
        <is>
          <t>12</t>
        </is>
      </c>
      <c r="F1223" s="20" t="n">
        <v>208437</v>
      </c>
      <c r="G1223" s="18" t="n"/>
      <c r="H1223" s="18" t="inlineStr">
        <is>
          <t>LRM</t>
        </is>
      </c>
      <c r="I1223" s="18" t="inlineStr">
        <is>
          <t>Casa De Campo International Airport</t>
        </is>
      </c>
      <c r="J1223" s="21" t="n">
        <v>7.1</v>
      </c>
      <c r="K1223" s="18" t="inlineStr">
        <is>
          <t>LRM</t>
        </is>
      </c>
      <c r="L1223" s="18" t="inlineStr">
        <is>
          <t>100k +  pop + airport</t>
        </is>
      </c>
      <c r="M1223" s="22" t="n">
        <v>0.423</v>
      </c>
      <c r="N1223" s="22" t="n">
        <v>0</v>
      </c>
      <c r="O1223" s="18" t="n"/>
      <c r="P1223" s="22">
        <f>IF(O1223="",(About!$B$5*M1223+About!$B$6*N1223)/(About!$B$5+About!$B$6),About!$B$5*M1223+About!$B$6*N1223+About!$B$7*O1223)</f>
        <v/>
      </c>
      <c r="Q1223" s="23" t="n">
        <v>18.4273</v>
      </c>
      <c r="R1223" s="23" t="n">
        <v>-68.97280000000001</v>
      </c>
    </row>
    <row r="1224" ht="15" customHeight="1" s="12">
      <c r="A1224" s="18" t="inlineStr">
        <is>
          <t>Puerto Natales</t>
        </is>
      </c>
      <c r="B1224" s="18" t="inlineStr">
        <is>
          <t>Chile</t>
        </is>
      </c>
      <c r="C1224" s="19" t="n">
        <v>20206953</v>
      </c>
      <c r="D1224" s="18" t="inlineStr">
        <is>
          <t>CL</t>
        </is>
      </c>
      <c r="E1224" s="18" t="inlineStr">
        <is>
          <t>10</t>
        </is>
      </c>
      <c r="F1224" s="20" t="n">
        <v>20000</v>
      </c>
      <c r="G1224" s="18" t="n"/>
      <c r="H1224" s="18" t="inlineStr">
        <is>
          <t>PNT</t>
        </is>
      </c>
      <c r="I1224" s="18" t="inlineStr">
        <is>
          <t>Lieutenant Julio Gallardo Airport</t>
        </is>
      </c>
      <c r="J1224" s="21" t="n">
        <v>6.8</v>
      </c>
      <c r="K1224" s="18" t="inlineStr">
        <is>
          <t>PNT+RYO</t>
        </is>
      </c>
      <c r="L1224" s="18" t="inlineStr">
        <is>
          <t>airport</t>
        </is>
      </c>
      <c r="M1224" s="22" t="n">
        <v>0.423</v>
      </c>
      <c r="N1224" s="22" t="n">
        <v>0</v>
      </c>
      <c r="O1224" s="18" t="n"/>
      <c r="P1224" s="22">
        <f>IF(O1224="",(About!$B$5*M1224+About!$B$6*N1224)/(About!$B$5+About!$B$6),About!$B$5*M1224+About!$B$6*N1224+About!$B$7*O1224)</f>
        <v/>
      </c>
      <c r="Q1224" s="23" t="n">
        <v>-51.7299</v>
      </c>
      <c r="R1224" s="23" t="n">
        <v>-72.506</v>
      </c>
    </row>
    <row r="1225" ht="15" customHeight="1" s="12">
      <c r="A1225" s="18" t="inlineStr">
        <is>
          <t>Mbuji-Mayi</t>
        </is>
      </c>
      <c r="B1225" s="18" t="inlineStr">
        <is>
          <t>DR Congo</t>
        </is>
      </c>
      <c r="C1225" s="19" t="n">
        <v>112832000</v>
      </c>
      <c r="D1225" s="18" t="inlineStr">
        <is>
          <t>CD</t>
        </is>
      </c>
      <c r="E1225" s="18" t="inlineStr">
        <is>
          <t>04</t>
        </is>
      </c>
      <c r="F1225" s="20" t="n">
        <v>874761</v>
      </c>
      <c r="G1225" s="18" t="n"/>
      <c r="H1225" s="18" t="inlineStr">
        <is>
          <t>MJM</t>
        </is>
      </c>
      <c r="I1225" s="18" t="inlineStr">
        <is>
          <t>Mbuji Mayi Airport</t>
        </is>
      </c>
      <c r="J1225" s="21" t="n">
        <v>2.8</v>
      </c>
      <c r="K1225" s="18" t="inlineStr">
        <is>
          <t>MJM</t>
        </is>
      </c>
      <c r="L1225" s="18" t="inlineStr">
        <is>
          <t>100k +  pop + airport</t>
        </is>
      </c>
      <c r="M1225" s="22" t="n">
        <v>0.42</v>
      </c>
      <c r="N1225" s="22" t="n">
        <v>0</v>
      </c>
      <c r="O1225" s="18" t="n"/>
      <c r="P1225" s="22">
        <f>IF(O1225="",(About!$B$5*M1225+About!$B$6*N1225)/(About!$B$5+About!$B$6),About!$B$5*M1225+About!$B$6*N1225+About!$B$7*O1225)</f>
        <v/>
      </c>
      <c r="Q1225" s="23" t="n">
        <v>-6.136</v>
      </c>
      <c r="R1225" s="23" t="n">
        <v>23.5898</v>
      </c>
    </row>
    <row r="1226" ht="15" customHeight="1" s="12">
      <c r="A1226" s="18" t="inlineStr">
        <is>
          <t>Arequipa</t>
        </is>
      </c>
      <c r="B1226" s="18" t="inlineStr">
        <is>
          <t>Peru</t>
        </is>
      </c>
      <c r="C1226" s="19" t="n">
        <v>34350244</v>
      </c>
      <c r="D1226" s="18" t="inlineStr">
        <is>
          <t>PE</t>
        </is>
      </c>
      <c r="E1226" s="18" t="inlineStr">
        <is>
          <t>04</t>
        </is>
      </c>
      <c r="F1226" s="20" t="n">
        <v>841130</v>
      </c>
      <c r="G1226" s="18" t="n"/>
      <c r="H1226" s="18" t="inlineStr">
        <is>
          <t>AQP</t>
        </is>
      </c>
      <c r="I1226" s="18" t="inlineStr">
        <is>
          <t>Rodríguez Ballón International Airport</t>
        </is>
      </c>
      <c r="J1226" s="21" t="n">
        <v>7.4</v>
      </c>
      <c r="K1226" s="18" t="inlineStr">
        <is>
          <t>AQP</t>
        </is>
      </c>
      <c r="L1226" s="18" t="inlineStr">
        <is>
          <t>100k +  pop + airport</t>
        </is>
      </c>
      <c r="M1226" s="22" t="n">
        <v>0.42</v>
      </c>
      <c r="N1226" s="22" t="n">
        <v>0</v>
      </c>
      <c r="O1226" s="18" t="n"/>
      <c r="P1226" s="22">
        <f>IF(O1226="",(About!$B$5*M1226+About!$B$6*N1226)/(About!$B$5+About!$B$6),About!$B$5*M1226+About!$B$6*N1226+About!$B$7*O1226)</f>
        <v/>
      </c>
      <c r="Q1226" s="23" t="n">
        <v>-16.3989</v>
      </c>
      <c r="R1226" s="23" t="n">
        <v>-71.535</v>
      </c>
    </row>
    <row r="1227" ht="15" customHeight="1" s="12">
      <c r="A1227" s="18" t="inlineStr">
        <is>
          <t>Jos</t>
        </is>
      </c>
      <c r="B1227" s="18" t="inlineStr">
        <is>
          <t>Nigeria</t>
        </is>
      </c>
      <c r="C1227" s="19" t="n">
        <v>223800000</v>
      </c>
      <c r="D1227" s="18" t="inlineStr">
        <is>
          <t>NG</t>
        </is>
      </c>
      <c r="E1227" s="18" t="inlineStr">
        <is>
          <t>49</t>
        </is>
      </c>
      <c r="F1227" s="20" t="n">
        <v>816824</v>
      </c>
      <c r="G1227" s="18" t="n"/>
      <c r="H1227" s="18" t="inlineStr">
        <is>
          <t>JOS</t>
        </is>
      </c>
      <c r="I1227" s="18" t="inlineStr">
        <is>
          <t>Yakubu Gowon Airport</t>
        </is>
      </c>
      <c r="J1227" s="21" t="n">
        <v>32.2</v>
      </c>
      <c r="K1227" s="18" t="inlineStr">
        <is>
          <t>JOS</t>
        </is>
      </c>
      <c r="L1227" s="18" t="inlineStr">
        <is>
          <t>100k +  pop + airport</t>
        </is>
      </c>
      <c r="M1227" s="22" t="n">
        <v>0.42</v>
      </c>
      <c r="N1227" s="22" t="n">
        <v>0</v>
      </c>
      <c r="O1227" s="18" t="n"/>
      <c r="P1227" s="22">
        <f>IF(O1227="",(About!$B$5*M1227+About!$B$6*N1227)/(About!$B$5+About!$B$6),About!$B$5*M1227+About!$B$6*N1227+About!$B$7*O1227)</f>
        <v/>
      </c>
      <c r="Q1227" s="23" t="n">
        <v>9.9285</v>
      </c>
      <c r="R1227" s="23" t="n">
        <v>8.892099999999999</v>
      </c>
    </row>
    <row r="1228" ht="15" customHeight="1" s="12">
      <c r="A1228" s="18" t="inlineStr">
        <is>
          <t>Łódź</t>
        </is>
      </c>
      <c r="B1228" s="18" t="inlineStr">
        <is>
          <t>Poland</t>
        </is>
      </c>
      <c r="C1228" s="19" t="n">
        <v>37281000</v>
      </c>
      <c r="D1228" s="18" t="inlineStr">
        <is>
          <t>PL</t>
        </is>
      </c>
      <c r="E1228" s="18" t="inlineStr">
        <is>
          <t>74</t>
        </is>
      </c>
      <c r="F1228" s="20" t="n">
        <v>768755</v>
      </c>
      <c r="G1228" s="18" t="n"/>
      <c r="H1228" s="18" t="inlineStr">
        <is>
          <t>LCJ</t>
        </is>
      </c>
      <c r="I1228" s="18" t="inlineStr">
        <is>
          <t>Łódź Władysław Reymont Airport</t>
        </is>
      </c>
      <c r="J1228" s="21" t="n">
        <v>7.5</v>
      </c>
      <c r="K1228" s="18" t="inlineStr">
        <is>
          <t>LCJ</t>
        </is>
      </c>
      <c r="L1228" s="18" t="inlineStr">
        <is>
          <t>100k +  pop + airport</t>
        </is>
      </c>
      <c r="M1228" s="22" t="n">
        <v>0.42</v>
      </c>
      <c r="N1228" s="22" t="n">
        <v>0</v>
      </c>
      <c r="O1228" s="18" t="n"/>
      <c r="P1228" s="22">
        <f>IF(O1228="",(About!$B$5*M1228+About!$B$6*N1228)/(About!$B$5+About!$B$6),About!$B$5*M1228+About!$B$6*N1228+About!$B$7*O1228)</f>
        <v/>
      </c>
      <c r="Q1228" s="23" t="n">
        <v>51.7706</v>
      </c>
      <c r="R1228" s="23" t="n">
        <v>19.4739</v>
      </c>
    </row>
    <row r="1229" ht="15" customHeight="1" s="12">
      <c r="A1229" s="18" t="inlineStr">
        <is>
          <t>Bahawalpur</t>
        </is>
      </c>
      <c r="B1229" s="18" t="inlineStr">
        <is>
          <t>Pakistan</t>
        </is>
      </c>
      <c r="C1229" s="19" t="n">
        <v>241499431</v>
      </c>
      <c r="D1229" s="18" t="inlineStr">
        <is>
          <t>PK</t>
        </is>
      </c>
      <c r="E1229" s="18" t="inlineStr">
        <is>
          <t>04</t>
        </is>
      </c>
      <c r="F1229" s="20" t="n">
        <v>552607</v>
      </c>
      <c r="G1229" s="18" t="n"/>
      <c r="H1229" s="18" t="inlineStr">
        <is>
          <t>BHV</t>
        </is>
      </c>
      <c r="I1229" s="18" t="inlineStr">
        <is>
          <t>Bahawalpur Airport</t>
        </is>
      </c>
      <c r="J1229" s="21" t="n">
        <v>6.9</v>
      </c>
      <c r="K1229" s="18" t="inlineStr">
        <is>
          <t>BHV</t>
        </is>
      </c>
      <c r="L1229" s="18" t="inlineStr">
        <is>
          <t>100k +  pop + airport</t>
        </is>
      </c>
      <c r="M1229" s="22" t="n">
        <v>0.42</v>
      </c>
      <c r="N1229" s="22" t="n">
        <v>0</v>
      </c>
      <c r="O1229" s="18" t="n"/>
      <c r="P1229" s="22">
        <f>IF(O1229="",(About!$B$5*M1229+About!$B$6*N1229)/(About!$B$5+About!$B$6),About!$B$5*M1229+About!$B$6*N1229+About!$B$7*O1229)</f>
        <v/>
      </c>
      <c r="Q1229" s="23" t="n">
        <v>29.3978</v>
      </c>
      <c r="R1229" s="23" t="n">
        <v>71.6752</v>
      </c>
    </row>
    <row r="1230" ht="15" customHeight="1" s="12">
      <c r="A1230" s="18" t="inlineStr">
        <is>
          <t>Eskişehir</t>
        </is>
      </c>
      <c r="B1230" s="18" t="inlineStr">
        <is>
          <t>Türkiye</t>
        </is>
      </c>
      <c r="C1230" s="19" t="n">
        <v>86092168</v>
      </c>
      <c r="D1230" s="18" t="inlineStr">
        <is>
          <t>TR</t>
        </is>
      </c>
      <c r="E1230" s="18" t="inlineStr">
        <is>
          <t>26</t>
        </is>
      </c>
      <c r="F1230" s="20" t="n">
        <v>514869</v>
      </c>
      <c r="G1230" s="18" t="n"/>
      <c r="H1230" s="18" t="inlineStr">
        <is>
          <t>AOE</t>
        </is>
      </c>
      <c r="I1230" s="18" t="inlineStr">
        <is>
          <t>Hasan Polatkan Airport</t>
        </is>
      </c>
      <c r="J1230" s="21" t="n">
        <v>3.9</v>
      </c>
      <c r="K1230" s="18" t="inlineStr">
        <is>
          <t>AOE</t>
        </is>
      </c>
      <c r="L1230" s="18" t="inlineStr">
        <is>
          <t>100k +  pop + airport</t>
        </is>
      </c>
      <c r="M1230" s="22" t="n">
        <v>0.42</v>
      </c>
      <c r="N1230" s="22" t="n">
        <v>0</v>
      </c>
      <c r="O1230" s="18" t="n"/>
      <c r="P1230" s="22">
        <f>IF(O1230="",(About!$B$5*M1230+About!$B$6*N1230)/(About!$B$5+About!$B$6),About!$B$5*M1230+About!$B$6*N1230+About!$B$7*O1230)</f>
        <v/>
      </c>
      <c r="Q1230" s="23" t="n">
        <v>39.7767</v>
      </c>
      <c r="R1230" s="23" t="n">
        <v>30.5206</v>
      </c>
    </row>
    <row r="1231" ht="15" customHeight="1" s="12">
      <c r="A1231" s="18" t="inlineStr">
        <is>
          <t>Biskra</t>
        </is>
      </c>
      <c r="B1231" s="18" t="inlineStr">
        <is>
          <t>Algeria</t>
        </is>
      </c>
      <c r="C1231" s="19" t="n">
        <v>47400000</v>
      </c>
      <c r="D1231" s="18" t="inlineStr">
        <is>
          <t>DZ</t>
        </is>
      </c>
      <c r="E1231" s="18" t="inlineStr">
        <is>
          <t>19</t>
        </is>
      </c>
      <c r="F1231" s="20" t="n">
        <v>307987</v>
      </c>
      <c r="G1231" s="18" t="n"/>
      <c r="H1231" s="18" t="inlineStr">
        <is>
          <t>BSK</t>
        </is>
      </c>
      <c r="I1231" s="18" t="inlineStr">
        <is>
          <t>Biskra - Mohamed Khider Airport</t>
        </is>
      </c>
      <c r="J1231" s="21" t="n">
        <v>6.4</v>
      </c>
      <c r="K1231" s="18" t="inlineStr">
        <is>
          <t>BSK</t>
        </is>
      </c>
      <c r="L1231" s="18" t="inlineStr">
        <is>
          <t>100k +  pop + airport</t>
        </is>
      </c>
      <c r="M1231" s="22" t="n">
        <v>0.421</v>
      </c>
      <c r="N1231" s="22" t="n">
        <v>0</v>
      </c>
      <c r="O1231" s="18" t="n"/>
      <c r="P1231" s="22">
        <f>IF(O1231="",(About!$B$5*M1231+About!$B$6*N1231)/(About!$B$5+About!$B$6),About!$B$5*M1231+About!$B$6*N1231+About!$B$7*O1231)</f>
        <v/>
      </c>
      <c r="Q1231" s="23" t="n">
        <v>34.8504</v>
      </c>
      <c r="R1231" s="23" t="n">
        <v>5.728</v>
      </c>
    </row>
    <row r="1232" ht="15" customHeight="1" s="12">
      <c r="A1232" s="18" t="inlineStr">
        <is>
          <t>Batna</t>
        </is>
      </c>
      <c r="B1232" s="18" t="inlineStr">
        <is>
          <t>Algeria</t>
        </is>
      </c>
      <c r="C1232" s="19" t="n">
        <v>47400000</v>
      </c>
      <c r="D1232" s="18" t="inlineStr">
        <is>
          <t>DZ</t>
        </is>
      </c>
      <c r="E1232" s="18" t="inlineStr">
        <is>
          <t>03</t>
        </is>
      </c>
      <c r="F1232" s="20" t="n">
        <v>280798</v>
      </c>
      <c r="G1232" s="18" t="n"/>
      <c r="H1232" s="18" t="inlineStr">
        <is>
          <t>BLJ</t>
        </is>
      </c>
      <c r="I1232" s="18" t="inlineStr">
        <is>
          <t>Batna Mostefa Ben Boulaid Airport</t>
        </is>
      </c>
      <c r="J1232" s="21" t="n">
        <v>25</v>
      </c>
      <c r="K1232" s="18" t="inlineStr">
        <is>
          <t>BLJ</t>
        </is>
      </c>
      <c r="L1232" s="18" t="inlineStr">
        <is>
          <t>100k +  pop + airport</t>
        </is>
      </c>
      <c r="M1232" s="22" t="n">
        <v>0.42</v>
      </c>
      <c r="N1232" s="22" t="n">
        <v>0</v>
      </c>
      <c r="O1232" s="18" t="n"/>
      <c r="P1232" s="22">
        <f>IF(O1232="",(About!$B$5*M1232+About!$B$6*N1232)/(About!$B$5+About!$B$6),About!$B$5*M1232+About!$B$6*N1232+About!$B$7*O1232)</f>
        <v/>
      </c>
      <c r="Q1232" s="23" t="n">
        <v>35.556</v>
      </c>
      <c r="R1232" s="23" t="n">
        <v>6.1741</v>
      </c>
    </row>
    <row r="1233" ht="15" customHeight="1" s="12">
      <c r="A1233" s="18" t="inlineStr">
        <is>
          <t>El Oued</t>
        </is>
      </c>
      <c r="B1233" s="18" t="inlineStr">
        <is>
          <t>Algeria</t>
        </is>
      </c>
      <c r="C1233" s="19" t="n">
        <v>47400000</v>
      </c>
      <c r="D1233" s="18" t="inlineStr">
        <is>
          <t>DZ</t>
        </is>
      </c>
      <c r="E1233" s="18" t="inlineStr">
        <is>
          <t>43</t>
        </is>
      </c>
      <c r="F1233" s="20" t="n">
        <v>134699</v>
      </c>
      <c r="G1233" s="18" t="n"/>
      <c r="H1233" s="18" t="inlineStr">
        <is>
          <t>ELU</t>
        </is>
      </c>
      <c r="I1233" s="18" t="inlineStr">
        <is>
          <t>Guemar Airport - مطار قمار بالوادي</t>
        </is>
      </c>
      <c r="J1233" s="21" t="n">
        <v>19</v>
      </c>
      <c r="K1233" s="18" t="inlineStr">
        <is>
          <t>ELU</t>
        </is>
      </c>
      <c r="L1233" s="18" t="inlineStr">
        <is>
          <t>100k +  pop</t>
        </is>
      </c>
      <c r="M1233" s="22" t="n">
        <v>0.42</v>
      </c>
      <c r="N1233" s="22" t="n">
        <v>0</v>
      </c>
      <c r="O1233" s="18" t="n"/>
      <c r="P1233" s="22">
        <f>IF(O1233="",(About!$B$5*M1233+About!$B$6*N1233)/(About!$B$5+About!$B$6),About!$B$5*M1233+About!$B$6*N1233+About!$B$7*O1233)</f>
        <v/>
      </c>
      <c r="Q1233" s="23" t="n">
        <v>33.3561</v>
      </c>
      <c r="R1233" s="23" t="n">
        <v>6.8632</v>
      </c>
    </row>
    <row r="1234" ht="15" customHeight="1" s="12">
      <c r="A1234" s="18" t="inlineStr">
        <is>
          <t>San Jose</t>
        </is>
      </c>
      <c r="B1234" s="18" t="inlineStr">
        <is>
          <t>Philippines</t>
        </is>
      </c>
      <c r="C1234" s="19" t="n">
        <v>114123600</v>
      </c>
      <c r="D1234" s="18" t="inlineStr">
        <is>
          <t>PH</t>
        </is>
      </c>
      <c r="E1234" s="18" t="inlineStr">
        <is>
          <t>41</t>
        </is>
      </c>
      <c r="F1234" s="20" t="n">
        <v>118807</v>
      </c>
      <c r="G1234" s="18" t="n"/>
      <c r="H1234" s="18" t="inlineStr">
        <is>
          <t>SJI</t>
        </is>
      </c>
      <c r="I1234" s="18" t="inlineStr">
        <is>
          <t>San Jose Airport</t>
        </is>
      </c>
      <c r="J1234" s="21" t="n">
        <v>2.4</v>
      </c>
      <c r="K1234" s="18" t="inlineStr">
        <is>
          <t>SJI</t>
        </is>
      </c>
      <c r="L1234" s="18" t="inlineStr">
        <is>
          <t>100k +  pop + airport</t>
        </is>
      </c>
      <c r="M1234" s="22" t="n">
        <v>0.42</v>
      </c>
      <c r="N1234" s="22" t="n">
        <v>0</v>
      </c>
      <c r="O1234" s="18" t="n"/>
      <c r="P1234" s="22">
        <f>IF(O1234="",(About!$B$5*M1234+About!$B$6*N1234)/(About!$B$5+About!$B$6),About!$B$5*M1234+About!$B$6*N1234+About!$B$7*O1234)</f>
        <v/>
      </c>
      <c r="Q1234" s="23" t="n">
        <v>12.3528</v>
      </c>
      <c r="R1234" s="23" t="n">
        <v>121.0676</v>
      </c>
    </row>
    <row r="1235" ht="15" customHeight="1" s="12">
      <c r="A1235" s="18" t="inlineStr">
        <is>
          <t>Puducherry</t>
        </is>
      </c>
      <c r="B1235" s="18" t="inlineStr">
        <is>
          <t>India</t>
        </is>
      </c>
      <c r="C1235" s="19" t="n">
        <v>1417492000</v>
      </c>
      <c r="D1235" s="18" t="inlineStr">
        <is>
          <t>IN</t>
        </is>
      </c>
      <c r="E1235" s="18" t="inlineStr">
        <is>
          <t>22</t>
        </is>
      </c>
      <c r="F1235" s="20" t="n">
        <v>227411</v>
      </c>
      <c r="G1235" s="18" t="n"/>
      <c r="H1235" s="18" t="inlineStr">
        <is>
          <t>PNY</t>
        </is>
      </c>
      <c r="I1235" s="18" t="inlineStr">
        <is>
          <t>Pondicherry Airport</t>
        </is>
      </c>
      <c r="J1235" s="21" t="n">
        <v>4.3</v>
      </c>
      <c r="K1235" s="18" t="inlineStr">
        <is>
          <t>PNY</t>
        </is>
      </c>
      <c r="L1235" s="18" t="inlineStr">
        <is>
          <t>100k +  pop + airport</t>
        </is>
      </c>
      <c r="M1235" s="22" t="n">
        <v>0.418</v>
      </c>
      <c r="N1235" s="22" t="n">
        <v>0</v>
      </c>
      <c r="O1235" s="18" t="n"/>
      <c r="P1235" s="22">
        <f>IF(O1235="",(About!$B$5*M1235+About!$B$6*N1235)/(About!$B$5+About!$B$6),About!$B$5*M1235+About!$B$6*N1235+About!$B$7*O1235)</f>
        <v/>
      </c>
      <c r="Q1235" s="23" t="n">
        <v>11.9338</v>
      </c>
      <c r="R1235" s="23" t="n">
        <v>79.82980000000001</v>
      </c>
    </row>
    <row r="1236" ht="15" customHeight="1" s="12">
      <c r="A1236" s="18" t="inlineStr">
        <is>
          <t>Chlef</t>
        </is>
      </c>
      <c r="B1236" s="18" t="inlineStr">
        <is>
          <t>Algeria</t>
        </is>
      </c>
      <c r="C1236" s="19" t="n">
        <v>47400000</v>
      </c>
      <c r="D1236" s="18" t="inlineStr">
        <is>
          <t>DZ</t>
        </is>
      </c>
      <c r="E1236" s="18" t="inlineStr">
        <is>
          <t>41</t>
        </is>
      </c>
      <c r="F1236" s="20" t="n">
        <v>178616</v>
      </c>
      <c r="G1236" s="18" t="n"/>
      <c r="H1236" s="18" t="inlineStr">
        <is>
          <t>CFK</t>
        </is>
      </c>
      <c r="I1236" s="18" t="inlineStr">
        <is>
          <t>Chlef Aboubakr Belkaid International Airport</t>
        </is>
      </c>
      <c r="J1236" s="21" t="n">
        <v>5.7</v>
      </c>
      <c r="K1236" s="18" t="inlineStr">
        <is>
          <t>CFK</t>
        </is>
      </c>
      <c r="L1236" s="18" t="inlineStr">
        <is>
          <t>100k +  pop + airport</t>
        </is>
      </c>
      <c r="M1236" s="22" t="n">
        <v>0.418</v>
      </c>
      <c r="N1236" s="22" t="n">
        <v>0</v>
      </c>
      <c r="O1236" s="18" t="n"/>
      <c r="P1236" s="22">
        <f>IF(O1236="",(About!$B$5*M1236+About!$B$6*N1236)/(About!$B$5+About!$B$6),About!$B$5*M1236+About!$B$6*N1236+About!$B$7*O1236)</f>
        <v/>
      </c>
      <c r="Q1236" s="23" t="n">
        <v>36.1653</v>
      </c>
      <c r="R1236" s="23" t="n">
        <v>1.3345</v>
      </c>
    </row>
    <row r="1237" ht="15" customHeight="1" s="12">
      <c r="A1237" s="18" t="inlineStr">
        <is>
          <t>Ech Chettia</t>
        </is>
      </c>
      <c r="B1237" s="18" t="inlineStr">
        <is>
          <t>Algeria</t>
        </is>
      </c>
      <c r="C1237" s="19" t="n">
        <v>47400000</v>
      </c>
      <c r="D1237" s="18" t="inlineStr">
        <is>
          <t>DZ</t>
        </is>
      </c>
      <c r="E1237" s="18" t="inlineStr">
        <is>
          <t>41</t>
        </is>
      </c>
      <c r="F1237" s="20" t="n">
        <v>167955</v>
      </c>
      <c r="G1237" s="18" t="n"/>
      <c r="H1237" s="18" t="inlineStr">
        <is>
          <t>CFK</t>
        </is>
      </c>
      <c r="I1237" s="18" t="inlineStr">
        <is>
          <t>Chlef Aboubakr Belkaid International Airport</t>
        </is>
      </c>
      <c r="J1237" s="21" t="n">
        <v>8</v>
      </c>
      <c r="K1237" s="18" t="inlineStr">
        <is>
          <t>CFK</t>
        </is>
      </c>
      <c r="L1237" s="18" t="inlineStr">
        <is>
          <t>100k +  pop + airport</t>
        </is>
      </c>
      <c r="M1237" s="22" t="n">
        <v>0.418</v>
      </c>
      <c r="N1237" s="22" t="n">
        <v>0</v>
      </c>
      <c r="O1237" s="18" t="n"/>
      <c r="P1237" s="22">
        <f>IF(O1237="",(About!$B$5*M1237+About!$B$6*N1237)/(About!$B$5+About!$B$6),About!$B$5*M1237+About!$B$6*N1237+About!$B$7*O1237)</f>
        <v/>
      </c>
      <c r="Q1237" s="23" t="n">
        <v>36.1959</v>
      </c>
      <c r="R1237" s="23" t="n">
        <v>1.2554</v>
      </c>
    </row>
    <row r="1238" ht="15" customHeight="1" s="12">
      <c r="A1238" s="18" t="inlineStr">
        <is>
          <t>Nay Pyi Taw</t>
        </is>
      </c>
      <c r="B1238" s="18" t="inlineStr">
        <is>
          <t>Myanmar</t>
        </is>
      </c>
      <c r="C1238" s="19" t="n">
        <v>51375327</v>
      </c>
      <c r="D1238" s="18" t="inlineStr">
        <is>
          <t>MM</t>
        </is>
      </c>
      <c r="E1238" s="18" t="inlineStr">
        <is>
          <t>18</t>
        </is>
      </c>
      <c r="F1238" s="20" t="n">
        <v>925000</v>
      </c>
      <c r="G1238" s="18" t="inlineStr">
        <is>
          <t>Yes</t>
        </is>
      </c>
      <c r="H1238" s="18" t="inlineStr">
        <is>
          <t>NYT</t>
        </is>
      </c>
      <c r="I1238" s="18" t="inlineStr">
        <is>
          <t>Nay Pyi Taw International Airport</t>
        </is>
      </c>
      <c r="J1238" s="21" t="n">
        <v>15.4</v>
      </c>
      <c r="K1238" s="18" t="inlineStr">
        <is>
          <t>NYT</t>
        </is>
      </c>
      <c r="L1238" s="18" t="inlineStr">
        <is>
          <t>100k +  pop + capital</t>
        </is>
      </c>
      <c r="M1238" s="22" t="n">
        <v>0.416</v>
      </c>
      <c r="N1238" s="22" t="n">
        <v>0</v>
      </c>
      <c r="O1238" s="18" t="n"/>
      <c r="P1238" s="22">
        <f>IF(O1238="",(About!$B$5*M1238+About!$B$6*N1238)/(About!$B$5+About!$B$6),About!$B$5*M1238+About!$B$6*N1238+About!$B$7*O1238)</f>
        <v/>
      </c>
      <c r="Q1238" s="23" t="n">
        <v>19.745</v>
      </c>
      <c r="R1238" s="23" t="n">
        <v>96.1297</v>
      </c>
    </row>
    <row r="1239" ht="15" customHeight="1" s="12">
      <c r="A1239" s="18" t="inlineStr">
        <is>
          <t>El Obeid</t>
        </is>
      </c>
      <c r="B1239" s="18" t="inlineStr">
        <is>
          <t>Sudan</t>
        </is>
      </c>
      <c r="C1239" s="19" t="n">
        <v>51662000</v>
      </c>
      <c r="D1239" s="18" t="inlineStr">
        <is>
          <t>SD</t>
        </is>
      </c>
      <c r="E1239" s="18" t="inlineStr">
        <is>
          <t>56</t>
        </is>
      </c>
      <c r="F1239" s="20" t="n">
        <v>393311</v>
      </c>
      <c r="G1239" s="18" t="n"/>
      <c r="H1239" s="18" t="inlineStr">
        <is>
          <t>EBD</t>
        </is>
      </c>
      <c r="I1239" s="18" t="inlineStr">
        <is>
          <t>El-Obeid Airport</t>
        </is>
      </c>
      <c r="J1239" s="21" t="n">
        <v>3.9</v>
      </c>
      <c r="K1239" s="18" t="inlineStr">
        <is>
          <t>EBD</t>
        </is>
      </c>
      <c r="L1239" s="18" t="inlineStr">
        <is>
          <t>100k +  pop + airport</t>
        </is>
      </c>
      <c r="M1239" s="22" t="n">
        <v>0.416</v>
      </c>
      <c r="N1239" s="22" t="n">
        <v>0</v>
      </c>
      <c r="O1239" s="18" t="n"/>
      <c r="P1239" s="22">
        <f>IF(O1239="",(About!$B$5*M1239+About!$B$6*N1239)/(About!$B$5+About!$B$6),About!$B$5*M1239+About!$B$6*N1239+About!$B$7*O1239)</f>
        <v/>
      </c>
      <c r="Q1239" s="23" t="n">
        <v>13.1842</v>
      </c>
      <c r="R1239" s="23" t="n">
        <v>30.2167</v>
      </c>
    </row>
    <row r="1240" ht="15" customHeight="1" s="12">
      <c r="A1240" s="18" t="inlineStr">
        <is>
          <t>El Fasher</t>
        </is>
      </c>
      <c r="B1240" s="18" t="inlineStr">
        <is>
          <t>Sudan</t>
        </is>
      </c>
      <c r="C1240" s="19" t="n">
        <v>51662000</v>
      </c>
      <c r="D1240" s="18" t="inlineStr">
        <is>
          <t>SD</t>
        </is>
      </c>
      <c r="E1240" s="18" t="inlineStr">
        <is>
          <t>55</t>
        </is>
      </c>
      <c r="F1240" s="20" t="n">
        <v>252609</v>
      </c>
      <c r="G1240" s="18" t="n"/>
      <c r="H1240" s="18" t="inlineStr">
        <is>
          <t>ELF</t>
        </is>
      </c>
      <c r="I1240" s="18" t="inlineStr">
        <is>
          <t>El Fasher Airport</t>
        </is>
      </c>
      <c r="J1240" s="21" t="n">
        <v>3</v>
      </c>
      <c r="K1240" s="18" t="inlineStr">
        <is>
          <t>ELF</t>
        </is>
      </c>
      <c r="L1240" s="18" t="inlineStr">
        <is>
          <t>100k +  pop + airport</t>
        </is>
      </c>
      <c r="M1240" s="22" t="n">
        <v>0.416</v>
      </c>
      <c r="N1240" s="22" t="n">
        <v>0</v>
      </c>
      <c r="O1240" s="18" t="n"/>
      <c r="P1240" s="22">
        <f>IF(O1240="",(About!$B$5*M1240+About!$B$6*N1240)/(About!$B$5+About!$B$6),About!$B$5*M1240+About!$B$6*N1240+About!$B$7*O1240)</f>
        <v/>
      </c>
      <c r="Q1240" s="23" t="n">
        <v>13.6279</v>
      </c>
      <c r="R1240" s="23" t="n">
        <v>25.3494</v>
      </c>
    </row>
    <row r="1241" ht="15" customHeight="1" s="12">
      <c r="A1241" s="18" t="inlineStr">
        <is>
          <t>Malakal</t>
        </is>
      </c>
      <c r="B1241" s="18" t="inlineStr">
        <is>
          <t>South Sudan</t>
        </is>
      </c>
      <c r="C1241" s="19" t="n">
        <v>15786898</v>
      </c>
      <c r="D1241" s="18" t="inlineStr">
        <is>
          <t>SS</t>
        </is>
      </c>
      <c r="E1241" s="18" t="inlineStr">
        <is>
          <t>11550575</t>
        </is>
      </c>
      <c r="F1241" s="20" t="n">
        <v>160765</v>
      </c>
      <c r="G1241" s="18" t="n"/>
      <c r="H1241" s="18" t="inlineStr">
        <is>
          <t>MAK</t>
        </is>
      </c>
      <c r="I1241" s="18" t="inlineStr">
        <is>
          <t>Malakal International Airport</t>
        </is>
      </c>
      <c r="J1241" s="21" t="n">
        <v>3</v>
      </c>
      <c r="K1241" s="18" t="inlineStr">
        <is>
          <t>MAK</t>
        </is>
      </c>
      <c r="L1241" s="18" t="inlineStr">
        <is>
          <t>100k +  pop + airport</t>
        </is>
      </c>
      <c r="M1241" s="22" t="n">
        <v>0.416</v>
      </c>
      <c r="N1241" s="22" t="n">
        <v>0</v>
      </c>
      <c r="O1241" s="18" t="n"/>
      <c r="P1241" s="22">
        <f>IF(O1241="",(About!$B$5*M1241+About!$B$6*N1241)/(About!$B$5+About!$B$6),About!$B$5*M1241+About!$B$6*N1241+About!$B$7*O1241)</f>
        <v/>
      </c>
      <c r="Q1241" s="23" t="n">
        <v>9.5334</v>
      </c>
      <c r="R1241" s="23" t="n">
        <v>31.6605</v>
      </c>
    </row>
    <row r="1242" ht="15" customHeight="1" s="12">
      <c r="A1242" s="18" t="inlineStr">
        <is>
          <t>Zonguldak</t>
        </is>
      </c>
      <c r="B1242" s="18" t="inlineStr">
        <is>
          <t>Türkiye</t>
        </is>
      </c>
      <c r="C1242" s="19" t="n">
        <v>86092168</v>
      </c>
      <c r="D1242" s="18" t="inlineStr">
        <is>
          <t>TR</t>
        </is>
      </c>
      <c r="E1242" s="18" t="inlineStr">
        <is>
          <t>85</t>
        </is>
      </c>
      <c r="F1242" s="20" t="n">
        <v>100229</v>
      </c>
      <c r="G1242" s="18" t="n"/>
      <c r="H1242" s="18" t="inlineStr">
        <is>
          <t>ONQ</t>
        </is>
      </c>
      <c r="I1242" s="18" t="inlineStr">
        <is>
          <t>Zonguldak Çaycuma Airport</t>
        </is>
      </c>
      <c r="J1242" s="21" t="n">
        <v>25.4</v>
      </c>
      <c r="K1242" s="18" t="inlineStr">
        <is>
          <t>ONQ</t>
        </is>
      </c>
      <c r="L1242" s="18" t="inlineStr">
        <is>
          <t>100k +  pop + airport</t>
        </is>
      </c>
      <c r="M1242" s="22" t="n">
        <v>0.417</v>
      </c>
      <c r="N1242" s="22" t="n">
        <v>0</v>
      </c>
      <c r="O1242" s="18" t="n"/>
      <c r="P1242" s="22">
        <f>IF(O1242="",(About!$B$5*M1242+About!$B$6*N1242)/(About!$B$5+About!$B$6),About!$B$5*M1242+About!$B$6*N1242+About!$B$7*O1242)</f>
        <v/>
      </c>
      <c r="Q1242" s="23" t="n">
        <v>41.4514</v>
      </c>
      <c r="R1242" s="23" t="n">
        <v>31.7931</v>
      </c>
    </row>
    <row r="1243" ht="15" customHeight="1" s="12">
      <c r="A1243" s="18" t="inlineStr">
        <is>
          <t>Essaouira</t>
        </is>
      </c>
      <c r="B1243" s="18" t="inlineStr">
        <is>
          <t>Morocco</t>
        </is>
      </c>
      <c r="C1243" s="19" t="n">
        <v>36828330</v>
      </c>
      <c r="D1243" s="18" t="inlineStr">
        <is>
          <t>MA</t>
        </is>
      </c>
      <c r="E1243" s="18" t="inlineStr">
        <is>
          <t>07</t>
        </is>
      </c>
      <c r="F1243" s="20" t="n">
        <v>70634</v>
      </c>
      <c r="G1243" s="18" t="n"/>
      <c r="H1243" s="18" t="inlineStr">
        <is>
          <t>ESU</t>
        </is>
      </c>
      <c r="I1243" s="18" t="inlineStr">
        <is>
          <t>Essaouira-Mogador Airport</t>
        </is>
      </c>
      <c r="J1243" s="21" t="n">
        <v>15.3</v>
      </c>
      <c r="K1243" s="18" t="inlineStr">
        <is>
          <t>ESU</t>
        </is>
      </c>
      <c r="L1243" s="18" t="inlineStr">
        <is>
          <t>airport</t>
        </is>
      </c>
      <c r="M1243" s="22" t="n">
        <v>0.416</v>
      </c>
      <c r="N1243" s="22" t="n">
        <v>0</v>
      </c>
      <c r="O1243" s="18" t="n"/>
      <c r="P1243" s="22">
        <f>IF(O1243="",(About!$B$5*M1243+About!$B$6*N1243)/(About!$B$5+About!$B$6),About!$B$5*M1243+About!$B$6*N1243+About!$B$7*O1243)</f>
        <v/>
      </c>
      <c r="Q1243" s="23" t="n">
        <v>31.5125</v>
      </c>
      <c r="R1243" s="23" t="n">
        <v>-9.77</v>
      </c>
    </row>
    <row r="1244" ht="15" customHeight="1" s="12">
      <c r="A1244" s="18" t="inlineStr">
        <is>
          <t>Santiago del Estero</t>
        </is>
      </c>
      <c r="B1244" s="18" t="inlineStr">
        <is>
          <t>Argentina</t>
        </is>
      </c>
      <c r="C1244" s="19" t="n">
        <v>46387098</v>
      </c>
      <c r="D1244" s="18" t="inlineStr">
        <is>
          <t>AR</t>
        </is>
      </c>
      <c r="E1244" s="18" t="inlineStr">
        <is>
          <t>22</t>
        </is>
      </c>
      <c r="F1244" s="20" t="n">
        <v>354692</v>
      </c>
      <c r="G1244" s="18" t="n"/>
      <c r="H1244" s="18" t="inlineStr">
        <is>
          <t>SDE</t>
        </is>
      </c>
      <c r="I1244" s="18" t="inlineStr">
        <is>
          <t>Vicecomodoro Angel D. La Paz Aragonés Airport</t>
        </is>
      </c>
      <c r="J1244" s="21" t="n">
        <v>5.8</v>
      </c>
      <c r="K1244" s="18" t="inlineStr">
        <is>
          <t>SDE</t>
        </is>
      </c>
      <c r="L1244" s="18" t="inlineStr">
        <is>
          <t>100k +  pop + airport</t>
        </is>
      </c>
      <c r="M1244" s="22" t="n">
        <v>0.414</v>
      </c>
      <c r="N1244" s="22" t="n">
        <v>0</v>
      </c>
      <c r="O1244" s="18" t="n"/>
      <c r="P1244" s="22">
        <f>IF(O1244="",(About!$B$5*M1244+About!$B$6*N1244)/(About!$B$5+About!$B$6),About!$B$5*M1244+About!$B$6*N1244+About!$B$7*O1244)</f>
        <v/>
      </c>
      <c r="Q1244" s="23" t="n">
        <v>-27.7951</v>
      </c>
      <c r="R1244" s="23" t="n">
        <v>-64.2615</v>
      </c>
    </row>
    <row r="1245" ht="15" customHeight="1" s="12">
      <c r="A1245" s="18" t="inlineStr">
        <is>
          <t>Le Havre</t>
        </is>
      </c>
      <c r="B1245" s="18" t="inlineStr">
        <is>
          <t>France</t>
        </is>
      </c>
      <c r="C1245" s="19" t="n">
        <v>69081996</v>
      </c>
      <c r="D1245" s="18" t="inlineStr">
        <is>
          <t>FR</t>
        </is>
      </c>
      <c r="E1245" s="18" t="inlineStr">
        <is>
          <t>28</t>
        </is>
      </c>
      <c r="F1245" s="20" t="n">
        <v>185972</v>
      </c>
      <c r="G1245" s="18" t="n"/>
      <c r="H1245" s="18" t="inlineStr">
        <is>
          <t>DOL</t>
        </is>
      </c>
      <c r="I1245" s="18" t="inlineStr">
        <is>
          <t>Deauville Normandie airport</t>
        </is>
      </c>
      <c r="J1245" s="21" t="n">
        <v>14.7</v>
      </c>
      <c r="K1245" s="18" t="inlineStr">
        <is>
          <t>DOL</t>
        </is>
      </c>
      <c r="L1245" s="18" t="inlineStr">
        <is>
          <t>100k +  pop</t>
        </is>
      </c>
      <c r="M1245" s="22" t="n">
        <v>0.414</v>
      </c>
      <c r="N1245" s="22" t="n">
        <v>0</v>
      </c>
      <c r="O1245" s="18" t="n"/>
      <c r="P1245" s="22">
        <f>IF(O1245="",(About!$B$5*M1245+About!$B$6*N1245)/(About!$B$5+About!$B$6),About!$B$5*M1245+About!$B$6*N1245+About!$B$7*O1245)</f>
        <v/>
      </c>
      <c r="Q1245" s="23" t="n">
        <v>49.4938</v>
      </c>
      <c r="R1245" s="23" t="n">
        <v>0.1077</v>
      </c>
    </row>
    <row r="1246" ht="15" customHeight="1" s="12">
      <c r="A1246" s="18" t="inlineStr">
        <is>
          <t>Pago Pago</t>
        </is>
      </c>
      <c r="B1246" s="18" t="inlineStr">
        <is>
          <t>American Samoa</t>
        </is>
      </c>
      <c r="C1246" s="19" t="n">
        <v>49710</v>
      </c>
      <c r="D1246" s="18" t="inlineStr">
        <is>
          <t>AS</t>
        </is>
      </c>
      <c r="E1246" s="18" t="inlineStr">
        <is>
          <t>010</t>
        </is>
      </c>
      <c r="F1246" s="20" t="n">
        <v>11500</v>
      </c>
      <c r="G1246" s="18" t="inlineStr">
        <is>
          <t>Yes</t>
        </is>
      </c>
      <c r="H1246" s="18" t="inlineStr">
        <is>
          <t>PPG</t>
        </is>
      </c>
      <c r="I1246" s="18" t="inlineStr">
        <is>
          <t>Pago Pago International Airport</t>
        </is>
      </c>
      <c r="J1246" s="21" t="n">
        <v>5.9</v>
      </c>
      <c r="K1246" s="18" t="inlineStr">
        <is>
          <t>PPG</t>
        </is>
      </c>
      <c r="L1246" s="18" t="inlineStr">
        <is>
          <t>capital</t>
        </is>
      </c>
      <c r="M1246" s="22" t="n">
        <v>0.413</v>
      </c>
      <c r="N1246" s="22" t="n">
        <v>0</v>
      </c>
      <c r="O1246" s="18" t="n"/>
      <c r="P1246" s="22">
        <f>IF(O1246="",(About!$B$5*M1246+About!$B$6*N1246)/(About!$B$5+About!$B$6),About!$B$5*M1246+About!$B$6*N1246+About!$B$7*O1246)</f>
        <v/>
      </c>
      <c r="Q1246" s="23" t="n">
        <v>-14.2781</v>
      </c>
      <c r="R1246" s="23" t="n">
        <v>-170.7025</v>
      </c>
    </row>
    <row r="1247" ht="15" customHeight="1" s="12">
      <c r="A1247" s="18" t="inlineStr">
        <is>
          <t>Saint-Pierre</t>
        </is>
      </c>
      <c r="B1247" s="18" t="inlineStr">
        <is>
          <t>Saint Pierre and Miquelon</t>
        </is>
      </c>
      <c r="C1247" s="19" t="n">
        <v>5819</v>
      </c>
      <c r="D1247" s="18" t="inlineStr">
        <is>
          <t>PM</t>
        </is>
      </c>
      <c r="E1247" s="18" t="inlineStr">
        <is>
          <t>97502</t>
        </is>
      </c>
      <c r="F1247" s="20" t="n">
        <v>6200</v>
      </c>
      <c r="G1247" s="18" t="inlineStr">
        <is>
          <t>Yes</t>
        </is>
      </c>
      <c r="H1247" s="18" t="inlineStr">
        <is>
          <t>FSP</t>
        </is>
      </c>
      <c r="I1247" s="18" t="inlineStr">
        <is>
          <t>Saint-Pierre Pointe-Blanche Airport</t>
        </is>
      </c>
      <c r="J1247" s="21" t="n">
        <v>1.8</v>
      </c>
      <c r="K1247" s="18" t="inlineStr">
        <is>
          <t>FSP</t>
        </is>
      </c>
      <c r="L1247" s="18" t="inlineStr">
        <is>
          <t>capital</t>
        </is>
      </c>
      <c r="M1247" s="22" t="n">
        <v>0.413</v>
      </c>
      <c r="N1247" s="22" t="n">
        <v>0</v>
      </c>
      <c r="O1247" s="18" t="n"/>
      <c r="P1247" s="22">
        <f>IF(O1247="",(About!$B$5*M1247+About!$B$6*N1247)/(About!$B$5+About!$B$6),About!$B$5*M1247+About!$B$6*N1247+About!$B$7*O1247)</f>
        <v/>
      </c>
      <c r="Q1247" s="23" t="n">
        <v>46.7791</v>
      </c>
      <c r="R1247" s="23" t="n">
        <v>-56.1773</v>
      </c>
    </row>
    <row r="1248" ht="15" customHeight="1" s="12">
      <c r="A1248" s="18" t="inlineStr">
        <is>
          <t>Jamestown</t>
        </is>
      </c>
      <c r="B1248" s="18" t="inlineStr">
        <is>
          <t>Saint Helena, Ascension and Tristan da Cunha</t>
        </is>
      </c>
      <c r="C1248" s="19" t="n">
        <v>5651</v>
      </c>
      <c r="D1248" s="18" t="inlineStr">
        <is>
          <t>SH</t>
        </is>
      </c>
      <c r="E1248" s="18" t="inlineStr">
        <is>
          <t>02</t>
        </is>
      </c>
      <c r="F1248" s="20" t="n">
        <v>637</v>
      </c>
      <c r="G1248" s="18" t="inlineStr">
        <is>
          <t>Yes</t>
        </is>
      </c>
      <c r="H1248" s="18" t="inlineStr">
        <is>
          <t>HLE</t>
        </is>
      </c>
      <c r="I1248" s="18" t="inlineStr">
        <is>
          <t>Saint Helena International Airport</t>
        </is>
      </c>
      <c r="J1248" s="21" t="n">
        <v>7.9</v>
      </c>
      <c r="K1248" s="18" t="inlineStr">
        <is>
          <t>HLE</t>
        </is>
      </c>
      <c r="L1248" s="18" t="inlineStr">
        <is>
          <t>capital</t>
        </is>
      </c>
      <c r="M1248" s="22" t="n">
        <v>0.414</v>
      </c>
      <c r="N1248" s="22" t="n">
        <v>0</v>
      </c>
      <c r="O1248" s="18" t="n"/>
      <c r="P1248" s="22">
        <f>IF(O1248="",(About!$B$5*M1248+About!$B$6*N1248)/(About!$B$5+About!$B$6),About!$B$5*M1248+About!$B$6*N1248+About!$B$7*O1248)</f>
        <v/>
      </c>
      <c r="Q1248" s="23" t="n">
        <v>-15.9387</v>
      </c>
      <c r="R1248" s="23" t="n">
        <v>-5.7168</v>
      </c>
    </row>
    <row r="1249" ht="15" customHeight="1" s="12">
      <c r="A1249" s="18" t="inlineStr">
        <is>
          <t>Alofi</t>
        </is>
      </c>
      <c r="B1249" s="18" t="inlineStr">
        <is>
          <t>Niue</t>
        </is>
      </c>
      <c r="C1249" s="19" t="n">
        <v>1681</v>
      </c>
      <c r="D1249" s="18" t="inlineStr">
        <is>
          <t>NU</t>
        </is>
      </c>
      <c r="E1249" s="18" t="inlineStr">
        <is>
          <t>00</t>
        </is>
      </c>
      <c r="F1249" s="20" t="n">
        <v>624</v>
      </c>
      <c r="G1249" s="18" t="inlineStr">
        <is>
          <t>Yes</t>
        </is>
      </c>
      <c r="H1249" s="18" t="inlineStr">
        <is>
          <t>IUE</t>
        </is>
      </c>
      <c r="I1249" s="18" t="inlineStr">
        <is>
          <t>Niue International Airport</t>
        </is>
      </c>
      <c r="J1249" s="21" t="n">
        <v>2.9</v>
      </c>
      <c r="K1249" s="18" t="inlineStr">
        <is>
          <t>IUE</t>
        </is>
      </c>
      <c r="L1249" s="18" t="inlineStr">
        <is>
          <t>capital</t>
        </is>
      </c>
      <c r="M1249" s="22" t="n">
        <v>0.413</v>
      </c>
      <c r="N1249" s="22" t="n">
        <v>0</v>
      </c>
      <c r="O1249" s="18" t="n"/>
      <c r="P1249" s="22">
        <f>IF(O1249="",(About!$B$5*M1249+About!$B$6*N1249)/(About!$B$5+About!$B$6),About!$B$5*M1249+About!$B$6*N1249+About!$B$7*O1249)</f>
        <v/>
      </c>
      <c r="Q1249" s="23" t="n">
        <v>-19.0545</v>
      </c>
      <c r="R1249" s="23" t="n">
        <v>-169.9177</v>
      </c>
    </row>
    <row r="1250" ht="15" customHeight="1" s="12">
      <c r="A1250" s="18" t="inlineStr">
        <is>
          <t>Jijel</t>
        </is>
      </c>
      <c r="B1250" s="18" t="inlineStr">
        <is>
          <t>Algeria</t>
        </is>
      </c>
      <c r="C1250" s="19" t="n">
        <v>47400000</v>
      </c>
      <c r="D1250" s="18" t="inlineStr">
        <is>
          <t>DZ</t>
        </is>
      </c>
      <c r="E1250" s="18" t="inlineStr">
        <is>
          <t>24</t>
        </is>
      </c>
      <c r="F1250" s="20" t="n">
        <v>148000</v>
      </c>
      <c r="G1250" s="18" t="n"/>
      <c r="H1250" s="18" t="inlineStr">
        <is>
          <t>GJL</t>
        </is>
      </c>
      <c r="I1250" s="18" t="inlineStr">
        <is>
          <t>Jijel Ferhat Abbas Airport</t>
        </is>
      </c>
      <c r="J1250" s="21" t="n">
        <v>10.3</v>
      </c>
      <c r="K1250" s="18" t="inlineStr">
        <is>
          <t>GJL</t>
        </is>
      </c>
      <c r="L1250" s="18" t="inlineStr">
        <is>
          <t>100k +  pop</t>
        </is>
      </c>
      <c r="M1250" s="22" t="n">
        <v>0.409</v>
      </c>
      <c r="N1250" s="22" t="n">
        <v>0</v>
      </c>
      <c r="O1250" s="18" t="n"/>
      <c r="P1250" s="22">
        <f>IF(O1250="",(About!$B$5*M1250+About!$B$6*N1250)/(About!$B$5+About!$B$6),About!$B$5*M1250+About!$B$6*N1250+About!$B$7*O1250)</f>
        <v/>
      </c>
      <c r="Q1250" s="23" t="n">
        <v>36.821</v>
      </c>
      <c r="R1250" s="23" t="n">
        <v>5.7635</v>
      </c>
    </row>
    <row r="1251" ht="15" customHeight="1" s="12">
      <c r="A1251" s="18" t="inlineStr">
        <is>
          <t>Poprad</t>
        </is>
      </c>
      <c r="B1251" s="18" t="inlineStr">
        <is>
          <t>Slovakia</t>
        </is>
      </c>
      <c r="C1251" s="19" t="n">
        <v>5405368</v>
      </c>
      <c r="D1251" s="18" t="inlineStr">
        <is>
          <t>SK</t>
        </is>
      </c>
      <c r="E1251" s="18" t="inlineStr">
        <is>
          <t>05</t>
        </is>
      </c>
      <c r="F1251" s="20" t="n">
        <v>57431</v>
      </c>
      <c r="G1251" s="18" t="n"/>
      <c r="H1251" s="18" t="inlineStr">
        <is>
          <t>TAT</t>
        </is>
      </c>
      <c r="I1251" s="18" t="inlineStr">
        <is>
          <t>Poprad-Tatry Airport</t>
        </is>
      </c>
      <c r="J1251" s="21" t="n">
        <v>4.3</v>
      </c>
      <c r="K1251" s="18" t="inlineStr">
        <is>
          <t>TAT</t>
        </is>
      </c>
      <c r="L1251" s="18" t="inlineStr">
        <is>
          <t>airport</t>
        </is>
      </c>
      <c r="M1251" s="22" t="n">
        <v>0.409</v>
      </c>
      <c r="N1251" s="22" t="n">
        <v>0</v>
      </c>
      <c r="O1251" s="18" t="n"/>
      <c r="P1251" s="22">
        <f>IF(O1251="",(About!$B$5*M1251+About!$B$6*N1251)/(About!$B$5+About!$B$6),About!$B$5*M1251+About!$B$6*N1251+About!$B$7*O1251)</f>
        <v/>
      </c>
      <c r="Q1251" s="23" t="n">
        <v>49.0614</v>
      </c>
      <c r="R1251" s="23" t="n">
        <v>20.298</v>
      </c>
    </row>
    <row r="1252" ht="15" customHeight="1" s="12">
      <c r="A1252" s="18" t="inlineStr">
        <is>
          <t>Tozeur</t>
        </is>
      </c>
      <c r="B1252" s="18" t="inlineStr">
        <is>
          <t>Tunisia</t>
        </is>
      </c>
      <c r="C1252" s="19" t="n">
        <v>11972169</v>
      </c>
      <c r="D1252" s="18" t="inlineStr">
        <is>
          <t>TN</t>
        </is>
      </c>
      <c r="E1252" s="18" t="inlineStr">
        <is>
          <t>35</t>
        </is>
      </c>
      <c r="F1252" s="20" t="n">
        <v>34943</v>
      </c>
      <c r="G1252" s="18" t="n"/>
      <c r="H1252" s="18" t="inlineStr">
        <is>
          <t>TOE</t>
        </is>
      </c>
      <c r="I1252" s="18" t="inlineStr">
        <is>
          <t>Tozeur Nefta International Airport</t>
        </is>
      </c>
      <c r="J1252" s="21" t="n">
        <v>3.1</v>
      </c>
      <c r="K1252" s="18" t="inlineStr">
        <is>
          <t>TOE</t>
        </is>
      </c>
      <c r="L1252" s="18" t="inlineStr">
        <is>
          <t>airport</t>
        </is>
      </c>
      <c r="M1252" s="22" t="n">
        <v>0.41</v>
      </c>
      <c r="N1252" s="22" t="n">
        <v>0</v>
      </c>
      <c r="O1252" s="18" t="n"/>
      <c r="P1252" s="22">
        <f>IF(O1252="",(About!$B$5*M1252+About!$B$6*N1252)/(About!$B$5+About!$B$6),About!$B$5*M1252+About!$B$6*N1252+About!$B$7*O1252)</f>
        <v/>
      </c>
      <c r="Q1252" s="23" t="n">
        <v>33.9197</v>
      </c>
      <c r="R1252" s="23" t="n">
        <v>8.1335</v>
      </c>
    </row>
    <row r="1253" ht="15" customHeight="1" s="12">
      <c r="A1253" s="18" t="inlineStr">
        <is>
          <t>Yaren</t>
        </is>
      </c>
      <c r="B1253" s="18" t="inlineStr">
        <is>
          <t>Nauru</t>
        </is>
      </c>
      <c r="C1253" s="19" t="n">
        <v>11680</v>
      </c>
      <c r="D1253" s="18" t="inlineStr">
        <is>
          <t>NR</t>
        </is>
      </c>
      <c r="E1253" s="18" t="inlineStr">
        <is>
          <t>14</t>
        </is>
      </c>
      <c r="F1253" s="20" t="n">
        <v>1100</v>
      </c>
      <c r="G1253" s="18" t="inlineStr">
        <is>
          <t>Yes</t>
        </is>
      </c>
      <c r="H1253" s="18" t="inlineStr">
        <is>
          <t>INU</t>
        </is>
      </c>
      <c r="I1253" s="18" t="inlineStr">
        <is>
          <t>Nauru International Airport</t>
        </is>
      </c>
      <c r="J1253" s="21" t="n">
        <v>0.7</v>
      </c>
      <c r="K1253" s="18" t="inlineStr">
        <is>
          <t>INU</t>
        </is>
      </c>
      <c r="L1253" s="18" t="inlineStr">
        <is>
          <t>capital</t>
        </is>
      </c>
      <c r="M1253" s="22" t="n">
        <v>0.411</v>
      </c>
      <c r="N1253" s="22" t="n">
        <v>0</v>
      </c>
      <c r="O1253" s="18" t="n"/>
      <c r="P1253" s="22">
        <f>IF(O1253="",(About!$B$5*M1253+About!$B$6*N1253)/(About!$B$5+About!$B$6),About!$B$5*M1253+About!$B$6*N1253+About!$B$7*O1253)</f>
        <v/>
      </c>
      <c r="Q1253" s="23" t="n">
        <v>-0.5508</v>
      </c>
      <c r="R1253" s="23" t="n">
        <v>166.9252</v>
      </c>
    </row>
    <row r="1254" ht="15" customHeight="1" s="12">
      <c r="A1254" s="18" t="inlineStr">
        <is>
          <t>Tébessa</t>
        </is>
      </c>
      <c r="B1254" s="18" t="inlineStr">
        <is>
          <t>Algeria</t>
        </is>
      </c>
      <c r="C1254" s="19" t="n">
        <v>47400000</v>
      </c>
      <c r="D1254" s="18" t="inlineStr">
        <is>
          <t>DZ</t>
        </is>
      </c>
      <c r="E1254" s="18" t="inlineStr">
        <is>
          <t>33</t>
        </is>
      </c>
      <c r="F1254" s="20" t="n">
        <v>634332</v>
      </c>
      <c r="G1254" s="18" t="n"/>
      <c r="H1254" s="18" t="inlineStr">
        <is>
          <t>TEE</t>
        </is>
      </c>
      <c r="I1254" s="18" t="inlineStr">
        <is>
          <t>Cheikh Larbi Tébessi Airport</t>
        </is>
      </c>
      <c r="J1254" s="21" t="n">
        <v>3.1</v>
      </c>
      <c r="K1254" s="18" t="inlineStr">
        <is>
          <t>TEE</t>
        </is>
      </c>
      <c r="L1254" s="18" t="inlineStr">
        <is>
          <t>100k +  pop + airport</t>
        </is>
      </c>
      <c r="M1254" s="22" t="n">
        <v>0.407</v>
      </c>
      <c r="N1254" s="22" t="n">
        <v>0</v>
      </c>
      <c r="O1254" s="18" t="n"/>
      <c r="P1254" s="22">
        <f>IF(O1254="",(About!$B$5*M1254+About!$B$6*N1254)/(About!$B$5+About!$B$6),About!$B$5*M1254+About!$B$6*N1254+About!$B$7*O1254)</f>
        <v/>
      </c>
      <c r="Q1254" s="23" t="n">
        <v>35.4042</v>
      </c>
      <c r="R1254" s="23" t="n">
        <v>8.1242</v>
      </c>
    </row>
    <row r="1255" ht="15" customHeight="1" s="12">
      <c r="A1255" s="18" t="inlineStr">
        <is>
          <t>Taitung City</t>
        </is>
      </c>
      <c r="B1255" s="18" t="inlineStr">
        <is>
          <t>Taiwan</t>
        </is>
      </c>
      <c r="C1255" s="19" t="n">
        <v>23262544</v>
      </c>
      <c r="D1255" s="18" t="inlineStr">
        <is>
          <t>TW</t>
        </is>
      </c>
      <c r="E1255" s="18" t="inlineStr">
        <is>
          <t>04</t>
        </is>
      </c>
      <c r="F1255" s="20" t="n">
        <v>109584</v>
      </c>
      <c r="G1255" s="18" t="n"/>
      <c r="H1255" s="18" t="inlineStr">
        <is>
          <t>TTT</t>
        </is>
      </c>
      <c r="I1255" s="18" t="inlineStr">
        <is>
          <t>Taitung Airport</t>
        </is>
      </c>
      <c r="J1255" s="21" t="n">
        <v>4.4</v>
      </c>
      <c r="K1255" s="18" t="inlineStr">
        <is>
          <t>TTT</t>
        </is>
      </c>
      <c r="L1255" s="18" t="inlineStr">
        <is>
          <t>100k +  pop + airport</t>
        </is>
      </c>
      <c r="M1255" s="22" t="n">
        <v>0.408</v>
      </c>
      <c r="N1255" s="22" t="n">
        <v>0</v>
      </c>
      <c r="O1255" s="18" t="n"/>
      <c r="P1255" s="22">
        <f>IF(O1255="",(About!$B$5*M1255+About!$B$6*N1255)/(About!$B$5+About!$B$6),About!$B$5*M1255+About!$B$6*N1255+About!$B$7*O1255)</f>
        <v/>
      </c>
      <c r="Q1255" s="23" t="n">
        <v>22.7583</v>
      </c>
      <c r="R1255" s="23" t="n">
        <v>121.1444</v>
      </c>
    </row>
    <row r="1256" ht="15" customHeight="1" s="12">
      <c r="A1256" s="18" t="inlineStr">
        <is>
          <t>Sanaa</t>
        </is>
      </c>
      <c r="B1256" s="18" t="inlineStr">
        <is>
          <t>Yemen</t>
        </is>
      </c>
      <c r="C1256" s="19" t="n">
        <v>32684503</v>
      </c>
      <c r="D1256" s="18" t="inlineStr">
        <is>
          <t>YE</t>
        </is>
      </c>
      <c r="E1256" s="18" t="inlineStr">
        <is>
          <t>16</t>
        </is>
      </c>
      <c r="F1256" s="20" t="n">
        <v>1937451</v>
      </c>
      <c r="G1256" s="18" t="inlineStr">
        <is>
          <t>Yes</t>
        </is>
      </c>
      <c r="H1256" s="18" t="inlineStr">
        <is>
          <t>SAH</t>
        </is>
      </c>
      <c r="I1256" s="18" t="inlineStr">
        <is>
          <t>Sanaa International Airport</t>
        </is>
      </c>
      <c r="J1256" s="21" t="n">
        <v>13.6</v>
      </c>
      <c r="K1256" s="18" t="inlineStr">
        <is>
          <t>SAH</t>
        </is>
      </c>
      <c r="L1256" s="18" t="inlineStr">
        <is>
          <t>100k +  pop + capital + airport</t>
        </is>
      </c>
      <c r="M1256" s="22" t="n">
        <v>0.406</v>
      </c>
      <c r="N1256" s="22" t="n">
        <v>0</v>
      </c>
      <c r="O1256" s="18" t="n"/>
      <c r="P1256" s="22">
        <f>IF(O1256="",(About!$B$5*M1256+About!$B$6*N1256)/(About!$B$5+About!$B$6),About!$B$5*M1256+About!$B$6*N1256+About!$B$7*O1256)</f>
        <v/>
      </c>
      <c r="Q1256" s="23" t="n">
        <v>15.3547</v>
      </c>
      <c r="R1256" s="23" t="n">
        <v>44.2067</v>
      </c>
    </row>
    <row r="1257" ht="15" customHeight="1" s="12">
      <c r="A1257" s="18" t="inlineStr">
        <is>
          <t>Aleppo</t>
        </is>
      </c>
      <c r="B1257" s="18" t="inlineStr">
        <is>
          <t>Syria</t>
        </is>
      </c>
      <c r="C1257" s="19" t="n">
        <v>25620427</v>
      </c>
      <c r="D1257" s="18" t="inlineStr">
        <is>
          <t>SY</t>
        </is>
      </c>
      <c r="E1257" s="18" t="inlineStr">
        <is>
          <t>09</t>
        </is>
      </c>
      <c r="F1257" s="20" t="n">
        <v>1602264</v>
      </c>
      <c r="G1257" s="18" t="n"/>
      <c r="H1257" s="18" t="inlineStr">
        <is>
          <t>ALP</t>
        </is>
      </c>
      <c r="I1257" s="18" t="inlineStr">
        <is>
          <t>Aleppo International Airport</t>
        </is>
      </c>
      <c r="J1257" s="21" t="n">
        <v>6.3</v>
      </c>
      <c r="K1257" s="18" t="inlineStr">
        <is>
          <t>ALP</t>
        </is>
      </c>
      <c r="L1257" s="18" t="inlineStr">
        <is>
          <t>100k +  pop + airport</t>
        </is>
      </c>
      <c r="M1257" s="22" t="n">
        <v>0.405</v>
      </c>
      <c r="N1257" s="22" t="n">
        <v>0</v>
      </c>
      <c r="O1257" s="18" t="n"/>
      <c r="P1257" s="22">
        <f>IF(O1257="",(About!$B$5*M1257+About!$B$6*N1257)/(About!$B$5+About!$B$6),About!$B$5*M1257+About!$B$6*N1257+About!$B$7*O1257)</f>
        <v/>
      </c>
      <c r="Q1257" s="23" t="n">
        <v>36.2012</v>
      </c>
      <c r="R1257" s="23" t="n">
        <v>37.1612</v>
      </c>
    </row>
    <row r="1258" ht="15" customHeight="1" s="12">
      <c r="A1258" s="18" t="inlineStr">
        <is>
          <t>Sanandaj</t>
        </is>
      </c>
      <c r="B1258" s="18" t="inlineStr">
        <is>
          <t>Iran</t>
        </is>
      </c>
      <c r="C1258" s="19" t="n">
        <v>87134000</v>
      </c>
      <c r="D1258" s="18" t="inlineStr">
        <is>
          <t>IR</t>
        </is>
      </c>
      <c r="E1258" s="18" t="inlineStr">
        <is>
          <t>16</t>
        </is>
      </c>
      <c r="F1258" s="20" t="n">
        <v>349176</v>
      </c>
      <c r="G1258" s="18" t="n"/>
      <c r="H1258" s="18" t="inlineStr">
        <is>
          <t>SDG</t>
        </is>
      </c>
      <c r="I1258" s="18" t="inlineStr">
        <is>
          <t>Sanandaj Airport</t>
        </is>
      </c>
      <c r="J1258" s="21" t="n">
        <v>7.7</v>
      </c>
      <c r="K1258" s="18" t="inlineStr">
        <is>
          <t>SDG</t>
        </is>
      </c>
      <c r="L1258" s="18" t="inlineStr">
        <is>
          <t>100k +  pop + airport</t>
        </is>
      </c>
      <c r="M1258" s="22" t="n">
        <v>0.407</v>
      </c>
      <c r="N1258" s="22" t="n">
        <v>0</v>
      </c>
      <c r="O1258" s="18" t="n"/>
      <c r="P1258" s="22">
        <f>IF(O1258="",(About!$B$5*M1258+About!$B$6*N1258)/(About!$B$5+About!$B$6),About!$B$5*M1258+About!$B$6*N1258+About!$B$7*O1258)</f>
        <v/>
      </c>
      <c r="Q1258" s="23" t="n">
        <v>35.315</v>
      </c>
      <c r="R1258" s="23" t="n">
        <v>46.9988</v>
      </c>
    </row>
    <row r="1259" ht="15" customHeight="1" s="12">
      <c r="A1259" s="18" t="inlineStr">
        <is>
          <t>Mbandaka</t>
        </is>
      </c>
      <c r="B1259" s="18" t="inlineStr">
        <is>
          <t>DR Congo</t>
        </is>
      </c>
      <c r="C1259" s="19" t="n">
        <v>112832000</v>
      </c>
      <c r="D1259" s="18" t="inlineStr">
        <is>
          <t>CD</t>
        </is>
      </c>
      <c r="E1259" s="18" t="inlineStr">
        <is>
          <t>02</t>
        </is>
      </c>
      <c r="F1259" s="20" t="n">
        <v>184185</v>
      </c>
      <c r="G1259" s="18" t="n"/>
      <c r="H1259" s="18" t="inlineStr">
        <is>
          <t>MDK</t>
        </is>
      </c>
      <c r="I1259" s="18" t="inlineStr">
        <is>
          <t>Mbandaka Airport</t>
        </is>
      </c>
      <c r="J1259" s="21" t="n">
        <v>4.3</v>
      </c>
      <c r="K1259" s="18" t="inlineStr">
        <is>
          <t>MDK</t>
        </is>
      </c>
      <c r="L1259" s="18" t="inlineStr">
        <is>
          <t>100k +  pop + airport</t>
        </is>
      </c>
      <c r="M1259" s="22" t="n">
        <v>0.406</v>
      </c>
      <c r="N1259" s="22" t="n">
        <v>0</v>
      </c>
      <c r="O1259" s="18" t="n"/>
      <c r="P1259" s="22">
        <f>IF(O1259="",(About!$B$5*M1259+About!$B$6*N1259)/(About!$B$5+About!$B$6),About!$B$5*M1259+About!$B$6*N1259+About!$B$7*O1259)</f>
        <v/>
      </c>
      <c r="Q1259" s="23" t="n">
        <v>0.0486</v>
      </c>
      <c r="R1259" s="23" t="n">
        <v>18.2603</v>
      </c>
    </row>
    <row r="1260" ht="15" customHeight="1" s="12">
      <c r="A1260" s="18" t="inlineStr">
        <is>
          <t>Roskilde</t>
        </is>
      </c>
      <c r="B1260" s="18" t="inlineStr">
        <is>
          <t>Denmark</t>
        </is>
      </c>
      <c r="C1260" s="19" t="n">
        <v>6031247</v>
      </c>
      <c r="D1260" s="18" t="inlineStr">
        <is>
          <t>DK</t>
        </is>
      </c>
      <c r="E1260" s="18" t="inlineStr">
        <is>
          <t>20</t>
        </is>
      </c>
      <c r="F1260" s="20" t="n">
        <v>44285</v>
      </c>
      <c r="G1260" s="18" t="n"/>
      <c r="H1260" s="18" t="inlineStr">
        <is>
          <t>RKE</t>
        </is>
      </c>
      <c r="I1260" s="18" t="inlineStr">
        <is>
          <t>Copenhagen Roskilde Airport</t>
        </is>
      </c>
      <c r="J1260" s="21" t="n">
        <v>7</v>
      </c>
      <c r="K1260" s="18" t="inlineStr">
        <is>
          <t>RKE</t>
        </is>
      </c>
      <c r="L1260" s="18" t="inlineStr">
        <is>
          <t>airport</t>
        </is>
      </c>
      <c r="M1260" s="22" t="n">
        <v>0.406</v>
      </c>
      <c r="N1260" s="22" t="n">
        <v>0</v>
      </c>
      <c r="O1260" s="18" t="n"/>
      <c r="P1260" s="22">
        <f>IF(O1260="",(About!$B$5*M1260+About!$B$6*N1260)/(About!$B$5+About!$B$6),About!$B$5*M1260+About!$B$6*N1260+About!$B$7*O1260)</f>
        <v/>
      </c>
      <c r="Q1260" s="23" t="n">
        <v>55.6415</v>
      </c>
      <c r="R1260" s="23" t="n">
        <v>12.0803</v>
      </c>
    </row>
    <row r="1261" ht="15" customHeight="1" s="12">
      <c r="A1261" s="18" t="inlineStr">
        <is>
          <t>Odense</t>
        </is>
      </c>
      <c r="B1261" s="18" t="inlineStr">
        <is>
          <t>Denmark</t>
        </is>
      </c>
      <c r="C1261" s="19" t="n">
        <v>6031247</v>
      </c>
      <c r="D1261" s="18" t="inlineStr">
        <is>
          <t>DK</t>
        </is>
      </c>
      <c r="E1261" s="18" t="inlineStr">
        <is>
          <t>21</t>
        </is>
      </c>
      <c r="F1261" s="20" t="n">
        <v>145931</v>
      </c>
      <c r="G1261" s="18" t="n"/>
      <c r="H1261" s="18" t="inlineStr">
        <is>
          <t>ODE</t>
        </is>
      </c>
      <c r="I1261" s="18" t="inlineStr">
        <is>
          <t>Odense Hans Christian Andersen Airport</t>
        </is>
      </c>
      <c r="J1261" s="21" t="n">
        <v>9.6</v>
      </c>
      <c r="K1261" s="18" t="inlineStr">
        <is>
          <t>ODE</t>
        </is>
      </c>
      <c r="L1261" s="18" t="inlineStr">
        <is>
          <t>100k +  pop + airport</t>
        </is>
      </c>
      <c r="M1261" s="22" t="n">
        <v>0.403</v>
      </c>
      <c r="N1261" s="22" t="n">
        <v>0</v>
      </c>
      <c r="O1261" s="18" t="n"/>
      <c r="P1261" s="22">
        <f>IF(O1261="",(About!$B$5*M1261+About!$B$6*N1261)/(About!$B$5+About!$B$6),About!$B$5*M1261+About!$B$6*N1261+About!$B$7*O1261)</f>
        <v/>
      </c>
      <c r="Q1261" s="23" t="n">
        <v>55.3959</v>
      </c>
      <c r="R1261" s="23" t="n">
        <v>10.3883</v>
      </c>
    </row>
    <row r="1262" ht="15" customHeight="1" s="12">
      <c r="A1262" s="18" t="inlineStr">
        <is>
          <t>Mostar</t>
        </is>
      </c>
      <c r="B1262" s="18" t="inlineStr">
        <is>
          <t>Bosnia and Herzegovina</t>
        </is>
      </c>
      <c r="C1262" s="19" t="n">
        <v>3412000</v>
      </c>
      <c r="D1262" s="18" t="inlineStr">
        <is>
          <t>BA</t>
        </is>
      </c>
      <c r="E1262" s="18" t="inlineStr">
        <is>
          <t>01</t>
        </is>
      </c>
      <c r="F1262" s="20" t="n">
        <v>104518</v>
      </c>
      <c r="G1262" s="18" t="n"/>
      <c r="H1262" s="18" t="inlineStr">
        <is>
          <t>OMO</t>
        </is>
      </c>
      <c r="I1262" s="18" t="inlineStr">
        <is>
          <t>Mostar International Airport</t>
        </is>
      </c>
      <c r="J1262" s="21" t="n">
        <v>7.4</v>
      </c>
      <c r="K1262" s="18" t="inlineStr">
        <is>
          <t>OMO</t>
        </is>
      </c>
      <c r="L1262" s="18" t="inlineStr">
        <is>
          <t>100k +  pop + airport</t>
        </is>
      </c>
      <c r="M1262" s="22" t="n">
        <v>0.404</v>
      </c>
      <c r="N1262" s="22" t="n">
        <v>0</v>
      </c>
      <c r="O1262" s="18" t="n"/>
      <c r="P1262" s="22">
        <f>IF(O1262="",(About!$B$5*M1262+About!$B$6*N1262)/(About!$B$5+About!$B$6),About!$B$5*M1262+About!$B$6*N1262+About!$B$7*O1262)</f>
        <v/>
      </c>
      <c r="Q1262" s="23" t="n">
        <v>43.3433</v>
      </c>
      <c r="R1262" s="23" t="n">
        <v>17.8081</v>
      </c>
    </row>
    <row r="1263" ht="15" customHeight="1" s="12">
      <c r="A1263" s="18" t="inlineStr">
        <is>
          <t>Xi’an</t>
        </is>
      </c>
      <c r="B1263" s="18" t="inlineStr">
        <is>
          <t>China</t>
        </is>
      </c>
      <c r="C1263" s="19" t="n">
        <v>1404890000</v>
      </c>
      <c r="D1263" s="18" t="inlineStr">
        <is>
          <t>CN</t>
        </is>
      </c>
      <c r="E1263" s="18" t="inlineStr">
        <is>
          <t>26</t>
        </is>
      </c>
      <c r="F1263" s="20" t="n">
        <v>6501190</v>
      </c>
      <c r="G1263" s="18" t="n"/>
      <c r="H1263" s="18" t="n"/>
      <c r="I1263" s="18" t="n"/>
      <c r="J1263" s="18" t="n"/>
      <c r="K1263" s="18" t="n"/>
      <c r="L1263" s="18" t="inlineStr">
        <is>
          <t>100k +  pop</t>
        </is>
      </c>
      <c r="M1263" s="22" t="n">
        <v>0</v>
      </c>
      <c r="N1263" s="22" t="n">
        <v>0</v>
      </c>
      <c r="O1263" s="18" t="n"/>
      <c r="P1263" s="22">
        <f>IF(O1263="",(About!$B$5*M1263+About!$B$6*N1263)/(About!$B$5+About!$B$6),About!$B$5*M1263+About!$B$6*N1263+About!$B$7*O1263)</f>
        <v/>
      </c>
      <c r="Q1263" s="23" t="n">
        <v>34.2583</v>
      </c>
      <c r="R1263" s="23" t="n">
        <v>108.9286</v>
      </c>
    </row>
    <row r="1264" ht="15" customHeight="1" s="12">
      <c r="A1264" s="18" t="inlineStr">
        <is>
          <t>Tai’an</t>
        </is>
      </c>
      <c r="B1264" s="18" t="inlineStr">
        <is>
          <t>China</t>
        </is>
      </c>
      <c r="C1264" s="19" t="n">
        <v>1404890000</v>
      </c>
      <c r="D1264" s="18" t="inlineStr">
        <is>
          <t>CN</t>
        </is>
      </c>
      <c r="E1264" s="18" t="inlineStr">
        <is>
          <t>25</t>
        </is>
      </c>
      <c r="F1264" s="20" t="n">
        <v>5499000</v>
      </c>
      <c r="G1264" s="18" t="n"/>
      <c r="H1264" s="18" t="n"/>
      <c r="I1264" s="18" t="n"/>
      <c r="J1264" s="18" t="n"/>
      <c r="K1264" s="18" t="n"/>
      <c r="L1264" s="18" t="inlineStr">
        <is>
          <t>100k +  pop</t>
        </is>
      </c>
      <c r="M1264" s="22" t="n">
        <v>0</v>
      </c>
      <c r="N1264" s="22" t="n">
        <v>0</v>
      </c>
      <c r="O1264" s="18" t="n"/>
      <c r="P1264" s="22">
        <f>IF(O1264="",(About!$B$5*M1264+About!$B$6*N1264)/(About!$B$5+About!$B$6),About!$B$5*M1264+About!$B$6*N1264+About!$B$7*O1264)</f>
        <v/>
      </c>
      <c r="Q1264" s="23" t="n">
        <v>36.1853</v>
      </c>
      <c r="R1264" s="23" t="n">
        <v>117.12</v>
      </c>
    </row>
    <row r="1265" ht="15" customHeight="1" s="12">
      <c r="A1265" s="18" t="inlineStr">
        <is>
          <t>Suzhou</t>
        </is>
      </c>
      <c r="B1265" s="18" t="inlineStr">
        <is>
          <t>China</t>
        </is>
      </c>
      <c r="C1265" s="19" t="n">
        <v>1404890000</v>
      </c>
      <c r="D1265" s="18" t="inlineStr">
        <is>
          <t>CN</t>
        </is>
      </c>
      <c r="E1265" s="18" t="inlineStr">
        <is>
          <t>04</t>
        </is>
      </c>
      <c r="F1265" s="20" t="n">
        <v>5345961</v>
      </c>
      <c r="G1265" s="18" t="n"/>
      <c r="H1265" s="18" t="n"/>
      <c r="I1265" s="18" t="n"/>
      <c r="J1265" s="18" t="n"/>
      <c r="K1265" s="18" t="n"/>
      <c r="L1265" s="18" t="inlineStr">
        <is>
          <t>100k +  pop</t>
        </is>
      </c>
      <c r="M1265" s="22" t="n">
        <v>0</v>
      </c>
      <c r="N1265" s="22" t="n">
        <v>0</v>
      </c>
      <c r="O1265" s="18" t="n"/>
      <c r="P1265" s="22">
        <f>IF(O1265="",(About!$B$5*M1265+About!$B$6*N1265)/(About!$B$5+About!$B$6),About!$B$5*M1265+About!$B$6*N1265+About!$B$7*O1265)</f>
        <v/>
      </c>
      <c r="Q1265" s="23" t="n">
        <v>31.3041</v>
      </c>
      <c r="R1265" s="23" t="n">
        <v>120.5954</v>
      </c>
    </row>
    <row r="1266" ht="15" customHeight="1" s="12">
      <c r="A1266" s="18" t="inlineStr">
        <is>
          <t>Jinan</t>
        </is>
      </c>
      <c r="B1266" s="18" t="inlineStr">
        <is>
          <t>China</t>
        </is>
      </c>
      <c r="C1266" s="19" t="n">
        <v>1404890000</v>
      </c>
      <c r="D1266" s="18" t="inlineStr">
        <is>
          <t>CN</t>
        </is>
      </c>
      <c r="E1266" s="18" t="inlineStr">
        <is>
          <t>25</t>
        </is>
      </c>
      <c r="F1266" s="20" t="n">
        <v>4335989</v>
      </c>
      <c r="G1266" s="18" t="n"/>
      <c r="H1266" s="18" t="n"/>
      <c r="I1266" s="18" t="n"/>
      <c r="J1266" s="18" t="n"/>
      <c r="K1266" s="18" t="n"/>
      <c r="L1266" s="18" t="inlineStr">
        <is>
          <t>100k +  pop</t>
        </is>
      </c>
      <c r="M1266" s="22" t="n">
        <v>0</v>
      </c>
      <c r="N1266" s="22" t="n">
        <v>0</v>
      </c>
      <c r="O1266" s="18" t="n"/>
      <c r="P1266" s="22">
        <f>IF(O1266="",(About!$B$5*M1266+About!$B$6*N1266)/(About!$B$5+About!$B$6),About!$B$5*M1266+About!$B$6*N1266+About!$B$7*O1266)</f>
        <v/>
      </c>
      <c r="Q1266" s="23" t="n">
        <v>36.6683</v>
      </c>
      <c r="R1266" s="23" t="n">
        <v>116.9972</v>
      </c>
    </row>
    <row r="1267" ht="15" customHeight="1" s="12">
      <c r="A1267" s="18" t="inlineStr">
        <is>
          <t>Qingdao</t>
        </is>
      </c>
      <c r="B1267" s="18" t="inlineStr">
        <is>
          <t>China</t>
        </is>
      </c>
      <c r="C1267" s="19" t="n">
        <v>1404890000</v>
      </c>
      <c r="D1267" s="18" t="inlineStr">
        <is>
          <t>CN</t>
        </is>
      </c>
      <c r="E1267" s="18" t="inlineStr">
        <is>
          <t>25</t>
        </is>
      </c>
      <c r="F1267" s="20" t="n">
        <v>3718835</v>
      </c>
      <c r="G1267" s="18" t="n"/>
      <c r="H1267" s="18" t="n"/>
      <c r="I1267" s="18" t="n"/>
      <c r="J1267" s="18" t="n"/>
      <c r="K1267" s="18" t="n"/>
      <c r="L1267" s="18" t="inlineStr">
        <is>
          <t>100k +  pop</t>
        </is>
      </c>
      <c r="M1267" s="22" t="n">
        <v>0</v>
      </c>
      <c r="N1267" s="22" t="n">
        <v>0</v>
      </c>
      <c r="O1267" s="18" t="n"/>
      <c r="P1267" s="22">
        <f>IF(O1267="",(About!$B$5*M1267+About!$B$6*N1267)/(About!$B$5+About!$B$6),About!$B$5*M1267+About!$B$6*N1267+About!$B$7*O1267)</f>
        <v/>
      </c>
      <c r="Q1267" s="23" t="n">
        <v>36.0649</v>
      </c>
      <c r="R1267" s="23" t="n">
        <v>120.3804</v>
      </c>
    </row>
    <row r="1268" ht="15" customHeight="1" s="12">
      <c r="A1268" s="18" t="inlineStr">
        <is>
          <t>Pyongyang</t>
        </is>
      </c>
      <c r="B1268" s="18" t="inlineStr">
        <is>
          <t>North Korea</t>
        </is>
      </c>
      <c r="C1268" s="19" t="n">
        <v>25950000</v>
      </c>
      <c r="D1268" s="18" t="inlineStr">
        <is>
          <t>KP</t>
        </is>
      </c>
      <c r="E1268" s="18" t="inlineStr">
        <is>
          <t>12</t>
        </is>
      </c>
      <c r="F1268" s="20" t="n">
        <v>3222000</v>
      </c>
      <c r="G1268" s="18" t="inlineStr">
        <is>
          <t>Yes</t>
        </is>
      </c>
      <c r="H1268" s="18" t="inlineStr">
        <is>
          <t>FNJ</t>
        </is>
      </c>
      <c r="I1268" s="18" t="inlineStr">
        <is>
          <t>Pyongyang Sunan International Airport</t>
        </is>
      </c>
      <c r="J1268" s="21" t="n">
        <v>22.4</v>
      </c>
      <c r="K1268" s="18" t="inlineStr">
        <is>
          <t>FNJ</t>
        </is>
      </c>
      <c r="L1268" s="18" t="inlineStr">
        <is>
          <t>100k +  pop + capital + airport</t>
        </is>
      </c>
      <c r="M1268" s="22" t="n">
        <v>0</v>
      </c>
      <c r="N1268" s="22" t="n">
        <v>0</v>
      </c>
      <c r="O1268" s="18" t="n"/>
      <c r="P1268" s="22">
        <f>IF(O1268="",(About!$B$5*M1268+About!$B$6*N1268)/(About!$B$5+About!$B$6),About!$B$5*M1268+About!$B$6*N1268+About!$B$7*O1268)</f>
        <v/>
      </c>
      <c r="Q1268" s="23" t="n">
        <v>39.0339</v>
      </c>
      <c r="R1268" s="23" t="n">
        <v>125.7543</v>
      </c>
    </row>
    <row r="1269" ht="15" customHeight="1" s="12">
      <c r="A1269" s="18" t="inlineStr">
        <is>
          <t>Kyiv</t>
        </is>
      </c>
      <c r="B1269" s="18" t="inlineStr">
        <is>
          <t>Ukraine</t>
        </is>
      </c>
      <c r="C1269" s="19" t="n">
        <v>28700000</v>
      </c>
      <c r="D1269" s="18" t="inlineStr">
        <is>
          <t>UA</t>
        </is>
      </c>
      <c r="E1269" s="18" t="inlineStr">
        <is>
          <t>12</t>
        </is>
      </c>
      <c r="F1269" s="20" t="n">
        <v>2797553</v>
      </c>
      <c r="G1269" s="18" t="inlineStr">
        <is>
          <t>Yes</t>
        </is>
      </c>
      <c r="H1269" s="18" t="n"/>
      <c r="I1269" s="18" t="n"/>
      <c r="J1269" s="18" t="n"/>
      <c r="K1269" s="18" t="n"/>
      <c r="L1269" s="18" t="inlineStr">
        <is>
          <t>100k +  pop + capital</t>
        </is>
      </c>
      <c r="M1269" s="22" t="n">
        <v>0</v>
      </c>
      <c r="N1269" s="22" t="n">
        <v>0</v>
      </c>
      <c r="O1269" s="18" t="n"/>
      <c r="P1269" s="22">
        <f>IF(O1269="",(About!$B$5*M1269+About!$B$6*N1269)/(About!$B$5+About!$B$6),About!$B$5*M1269+About!$B$6*N1269+About!$B$7*O1269)</f>
        <v/>
      </c>
      <c r="Q1269" s="23" t="n">
        <v>50.4547</v>
      </c>
      <c r="R1269" s="23" t="n">
        <v>30.5238</v>
      </c>
    </row>
    <row r="1270" ht="15" customHeight="1" s="12">
      <c r="A1270" s="18" t="inlineStr">
        <is>
          <t>Lanzhou</t>
        </is>
      </c>
      <c r="B1270" s="18" t="inlineStr">
        <is>
          <t>China</t>
        </is>
      </c>
      <c r="C1270" s="19" t="n">
        <v>1404890000</v>
      </c>
      <c r="D1270" s="18" t="inlineStr">
        <is>
          <t>CN</t>
        </is>
      </c>
      <c r="E1270" s="18" t="inlineStr">
        <is>
          <t>15</t>
        </is>
      </c>
      <c r="F1270" s="20" t="n">
        <v>2628426</v>
      </c>
      <c r="G1270" s="18" t="n"/>
      <c r="H1270" s="18" t="n"/>
      <c r="I1270" s="18" t="n"/>
      <c r="J1270" s="18" t="n"/>
      <c r="K1270" s="18" t="n"/>
      <c r="L1270" s="18" t="inlineStr">
        <is>
          <t>100k +  pop</t>
        </is>
      </c>
      <c r="M1270" s="22" t="n">
        <v>0</v>
      </c>
      <c r="N1270" s="22" t="n">
        <v>0</v>
      </c>
      <c r="O1270" s="18" t="n"/>
      <c r="P1270" s="22">
        <f>IF(O1270="",(About!$B$5*M1270+About!$B$6*N1270)/(About!$B$5+About!$B$6),About!$B$5*M1270+About!$B$6*N1270+About!$B$7*O1270)</f>
        <v/>
      </c>
      <c r="Q1270" s="23" t="n">
        <v>36.057</v>
      </c>
      <c r="R1270" s="23" t="n">
        <v>103.8399</v>
      </c>
    </row>
    <row r="1271" ht="15" customHeight="1" s="12">
      <c r="A1271" s="18" t="inlineStr">
        <is>
          <t>Kowloon</t>
        </is>
      </c>
      <c r="B1271" s="18" t="inlineStr">
        <is>
          <t>Hong Kong (SAR)</t>
        </is>
      </c>
      <c r="C1271" s="19" t="n">
        <v>7510800</v>
      </c>
      <c r="D1271" s="18" t="inlineStr">
        <is>
          <t>HK</t>
        </is>
      </c>
      <c r="E1271" s="18" t="inlineStr">
        <is>
          <t>KKC</t>
        </is>
      </c>
      <c r="F1271" s="20" t="n">
        <v>2019533</v>
      </c>
      <c r="G1271" s="18" t="n"/>
      <c r="H1271" s="18" t="inlineStr">
        <is>
          <t>HHP</t>
        </is>
      </c>
      <c r="I1271" s="18" t="inlineStr">
        <is>
          <t>Shun Tak Heliport</t>
        </is>
      </c>
      <c r="J1271" s="21" t="n">
        <v>4.4</v>
      </c>
      <c r="K1271" s="18" t="inlineStr">
        <is>
          <t>HHP</t>
        </is>
      </c>
      <c r="L1271" s="18" t="inlineStr">
        <is>
          <t>100k +  pop + airport</t>
        </is>
      </c>
      <c r="M1271" s="22" t="n">
        <v>0</v>
      </c>
      <c r="N1271" s="22" t="n">
        <v>0</v>
      </c>
      <c r="O1271" s="18" t="n"/>
      <c r="P1271" s="22">
        <f>IF(O1271="",(About!$B$5*M1271+About!$B$6*N1271)/(About!$B$5+About!$B$6),About!$B$5*M1271+About!$B$6*N1271+About!$B$7*O1271)</f>
        <v/>
      </c>
      <c r="Q1271" s="23" t="n">
        <v>22.3167</v>
      </c>
      <c r="R1271" s="23" t="n">
        <v>114.1833</v>
      </c>
    </row>
    <row r="1272" ht="15" customHeight="1" s="12">
      <c r="A1272" s="18" t="inlineStr">
        <is>
          <t>Maracay</t>
        </is>
      </c>
      <c r="B1272" s="18" t="inlineStr">
        <is>
          <t>Venezuela</t>
        </is>
      </c>
      <c r="C1272" s="19" t="n">
        <v>28517000</v>
      </c>
      <c r="D1272" s="18" t="inlineStr">
        <is>
          <t>VE</t>
        </is>
      </c>
      <c r="E1272" s="18" t="inlineStr">
        <is>
          <t>04</t>
        </is>
      </c>
      <c r="F1272" s="20" t="n">
        <v>1754256</v>
      </c>
      <c r="G1272" s="18" t="n"/>
      <c r="H1272" s="18" t="n"/>
      <c r="I1272" s="18" t="n"/>
      <c r="J1272" s="18" t="n"/>
      <c r="K1272" s="18" t="n"/>
      <c r="L1272" s="18" t="inlineStr">
        <is>
          <t>100k +  pop</t>
        </is>
      </c>
      <c r="M1272" s="22" t="n">
        <v>0</v>
      </c>
      <c r="N1272" s="22" t="n">
        <v>0</v>
      </c>
      <c r="O1272" s="18" t="n"/>
      <c r="P1272" s="22">
        <f>IF(O1272="",(About!$B$5*M1272+About!$B$6*N1272)/(About!$B$5+About!$B$6),About!$B$5*M1272+About!$B$6*N1272+About!$B$7*O1272)</f>
        <v/>
      </c>
      <c r="Q1272" s="23" t="n">
        <v>10.2354</v>
      </c>
      <c r="R1272" s="23" t="n">
        <v>-67.5911</v>
      </c>
    </row>
    <row r="1273" ht="15" customHeight="1" s="12">
      <c r="A1273" s="18" t="inlineStr">
        <is>
          <t>Mosul</t>
        </is>
      </c>
      <c r="B1273" s="18" t="inlineStr">
        <is>
          <t>Iraq</t>
        </is>
      </c>
      <c r="C1273" s="19" t="n">
        <v>46118793</v>
      </c>
      <c r="D1273" s="18" t="inlineStr">
        <is>
          <t>IQ</t>
        </is>
      </c>
      <c r="E1273" s="18" t="inlineStr">
        <is>
          <t>15</t>
        </is>
      </c>
      <c r="F1273" s="20" t="n">
        <v>1739800</v>
      </c>
      <c r="G1273" s="18" t="n"/>
      <c r="H1273" s="18" t="n"/>
      <c r="I1273" s="18" t="n"/>
      <c r="J1273" s="18" t="n"/>
      <c r="K1273" s="18" t="n"/>
      <c r="L1273" s="18" t="inlineStr">
        <is>
          <t>100k +  pop</t>
        </is>
      </c>
      <c r="M1273" s="22" t="n">
        <v>0</v>
      </c>
      <c r="N1273" s="22" t="n">
        <v>0</v>
      </c>
      <c r="O1273" s="18" t="n"/>
      <c r="P1273" s="22">
        <f>IF(O1273="",(About!$B$5*M1273+About!$B$6*N1273)/(About!$B$5+About!$B$6),About!$B$5*M1273+About!$B$6*N1273+About!$B$7*O1273)</f>
        <v/>
      </c>
      <c r="Q1273" s="23" t="n">
        <v>36.335</v>
      </c>
      <c r="R1273" s="23" t="n">
        <v>43.1189</v>
      </c>
    </row>
    <row r="1274" ht="15" customHeight="1" s="12">
      <c r="A1274" s="18" t="inlineStr">
        <is>
          <t>Soweto</t>
        </is>
      </c>
      <c r="B1274" s="18" t="inlineStr">
        <is>
          <t>South Africa</t>
        </is>
      </c>
      <c r="C1274" s="19" t="n">
        <v>63100945</v>
      </c>
      <c r="D1274" s="18" t="inlineStr">
        <is>
          <t>ZA</t>
        </is>
      </c>
      <c r="E1274" s="18" t="inlineStr">
        <is>
          <t>06</t>
        </is>
      </c>
      <c r="F1274" s="20" t="n">
        <v>1695047</v>
      </c>
      <c r="G1274" s="18" t="n"/>
      <c r="H1274" s="18" t="n"/>
      <c r="I1274" s="18" t="n"/>
      <c r="J1274" s="18" t="n"/>
      <c r="K1274" s="18" t="n"/>
      <c r="L1274" s="18" t="inlineStr">
        <is>
          <t>100k +  pop</t>
        </is>
      </c>
      <c r="M1274" s="22" t="n">
        <v>0</v>
      </c>
      <c r="N1274" s="22" t="n">
        <v>0</v>
      </c>
      <c r="O1274" s="18" t="n"/>
      <c r="P1274" s="22">
        <f>IF(O1274="",(About!$B$5*M1274+About!$B$6*N1274)/(About!$B$5+About!$B$6),About!$B$5*M1274+About!$B$6*N1274+About!$B$7*O1274)</f>
        <v/>
      </c>
      <c r="Q1274" s="23" t="n">
        <v>-26.2678</v>
      </c>
      <c r="R1274" s="23" t="n">
        <v>27.8585</v>
      </c>
    </row>
    <row r="1275" ht="15" customHeight="1" s="12">
      <c r="A1275" s="18" t="inlineStr">
        <is>
          <t>Pretoria</t>
        </is>
      </c>
      <c r="B1275" s="18" t="inlineStr">
        <is>
          <t>South Africa</t>
        </is>
      </c>
      <c r="C1275" s="19" t="n">
        <v>63100945</v>
      </c>
      <c r="D1275" s="18" t="inlineStr">
        <is>
          <t>ZA</t>
        </is>
      </c>
      <c r="E1275" s="18" t="inlineStr">
        <is>
          <t>06</t>
        </is>
      </c>
      <c r="F1275" s="20" t="n">
        <v>1619438</v>
      </c>
      <c r="G1275" s="18" t="inlineStr">
        <is>
          <t>Yes</t>
        </is>
      </c>
      <c r="H1275" s="18" t="n"/>
      <c r="I1275" s="18" t="n"/>
      <c r="J1275" s="18" t="n"/>
      <c r="K1275" s="18" t="n"/>
      <c r="L1275" s="18" t="inlineStr">
        <is>
          <t>100k +  pop + capital</t>
        </is>
      </c>
      <c r="M1275" s="22" t="n">
        <v>0</v>
      </c>
      <c r="N1275" s="22" t="n">
        <v>0</v>
      </c>
      <c r="O1275" s="18" t="n"/>
      <c r="P1275" s="22">
        <f>IF(O1275="",(About!$B$5*M1275+About!$B$6*N1275)/(About!$B$5+About!$B$6),About!$B$5*M1275+About!$B$6*N1275+About!$B$7*O1275)</f>
        <v/>
      </c>
      <c r="Q1275" s="23" t="n">
        <v>-25.7449</v>
      </c>
      <c r="R1275" s="23" t="n">
        <v>28.1878</v>
      </c>
    </row>
    <row r="1276" ht="15" customHeight="1" s="12">
      <c r="A1276" s="18" t="inlineStr">
        <is>
          <t>Phnom Penh</t>
        </is>
      </c>
      <c r="B1276" s="18" t="inlineStr">
        <is>
          <t>Cambodia</t>
        </is>
      </c>
      <c r="C1276" s="19" t="n">
        <v>17577760</v>
      </c>
      <c r="D1276" s="18" t="inlineStr">
        <is>
          <t>KH</t>
        </is>
      </c>
      <c r="E1276" s="18" t="inlineStr">
        <is>
          <t>22</t>
        </is>
      </c>
      <c r="F1276" s="20" t="n">
        <v>1573544</v>
      </c>
      <c r="G1276" s="18" t="inlineStr">
        <is>
          <t>Yes</t>
        </is>
      </c>
      <c r="H1276" s="18" t="inlineStr">
        <is>
          <t>KTI</t>
        </is>
      </c>
      <c r="I1276" s="18" t="inlineStr">
        <is>
          <t>Techo International Airport</t>
        </is>
      </c>
      <c r="J1276" s="21" t="n">
        <v>22.5</v>
      </c>
      <c r="K1276" s="18" t="inlineStr">
        <is>
          <t>KTI</t>
        </is>
      </c>
      <c r="L1276" s="18" t="inlineStr">
        <is>
          <t>100k +  pop + capital</t>
        </is>
      </c>
      <c r="M1276" s="22" t="n">
        <v>0</v>
      </c>
      <c r="N1276" s="22" t="n">
        <v>0</v>
      </c>
      <c r="O1276" s="18" t="n"/>
      <c r="P1276" s="22">
        <f>IF(O1276="",(About!$B$5*M1276+About!$B$6*N1276)/(About!$B$5+About!$B$6),About!$B$5*M1276+About!$B$6*N1276+About!$B$7*O1276)</f>
        <v/>
      </c>
      <c r="Q1276" s="23" t="n">
        <v>11.5625</v>
      </c>
      <c r="R1276" s="23" t="n">
        <v>104.916</v>
      </c>
    </row>
    <row r="1277" ht="15" customHeight="1" s="12">
      <c r="A1277" s="18" t="inlineStr">
        <is>
          <t>Daejeon</t>
        </is>
      </c>
      <c r="B1277" s="18" t="inlineStr">
        <is>
          <t>South Korea</t>
        </is>
      </c>
      <c r="C1277" s="19" t="n">
        <v>51111158</v>
      </c>
      <c r="D1277" s="18" t="inlineStr">
        <is>
          <t>KR</t>
        </is>
      </c>
      <c r="E1277" s="18" t="inlineStr">
        <is>
          <t>19</t>
        </is>
      </c>
      <c r="F1277" s="20" t="n">
        <v>1475221</v>
      </c>
      <c r="G1277" s="18" t="n"/>
      <c r="H1277" s="18" t="n"/>
      <c r="I1277" s="18" t="n"/>
      <c r="J1277" s="18" t="n"/>
      <c r="K1277" s="18" t="n"/>
      <c r="L1277" s="18" t="inlineStr">
        <is>
          <t>100k +  pop</t>
        </is>
      </c>
      <c r="M1277" s="22" t="n">
        <v>0</v>
      </c>
      <c r="N1277" s="22" t="n">
        <v>0</v>
      </c>
      <c r="O1277" s="18" t="n"/>
      <c r="P1277" s="22">
        <f>IF(O1277="",(About!$B$5*M1277+About!$B$6*N1277)/(About!$B$5+About!$B$6),About!$B$5*M1277+About!$B$6*N1277+About!$B$7*O1277)</f>
        <v/>
      </c>
      <c r="Q1277" s="23" t="n">
        <v>36.3491</v>
      </c>
      <c r="R1277" s="23" t="n">
        <v>127.3849</v>
      </c>
    </row>
    <row r="1278" ht="15" customHeight="1" s="12">
      <c r="A1278" s="18" t="inlineStr">
        <is>
          <t>Karaj</t>
        </is>
      </c>
      <c r="B1278" s="18" t="inlineStr">
        <is>
          <t>Iran</t>
        </is>
      </c>
      <c r="C1278" s="19" t="n">
        <v>87134000</v>
      </c>
      <c r="D1278" s="18" t="inlineStr">
        <is>
          <t>IR</t>
        </is>
      </c>
      <c r="E1278" s="18" t="inlineStr">
        <is>
          <t>44</t>
        </is>
      </c>
      <c r="F1278" s="20" t="n">
        <v>1448075</v>
      </c>
      <c r="G1278" s="18" t="n"/>
      <c r="H1278" s="18" t="inlineStr">
        <is>
          <t>PYK</t>
        </is>
      </c>
      <c r="I1278" s="18" t="inlineStr">
        <is>
          <t>Payam International Airport</t>
        </is>
      </c>
      <c r="J1278" s="21" t="n">
        <v>16.1</v>
      </c>
      <c r="K1278" s="18" t="inlineStr">
        <is>
          <t>PYK</t>
        </is>
      </c>
      <c r="L1278" s="18" t="inlineStr">
        <is>
          <t>100k +  pop + airport</t>
        </is>
      </c>
      <c r="M1278" s="22" t="n">
        <v>0</v>
      </c>
      <c r="N1278" s="22" t="n">
        <v>0</v>
      </c>
      <c r="O1278" s="18" t="n"/>
      <c r="P1278" s="22">
        <f>IF(O1278="",(About!$B$5*M1278+About!$B$6*N1278)/(About!$B$5+About!$B$6),About!$B$5*M1278+About!$B$6*N1278+About!$B$7*O1278)</f>
        <v/>
      </c>
      <c r="Q1278" s="23" t="n">
        <v>35.8327</v>
      </c>
      <c r="R1278" s="23" t="n">
        <v>50.9915</v>
      </c>
    </row>
    <row r="1279" ht="15" customHeight="1" s="12">
      <c r="A1279" s="18" t="inlineStr">
        <is>
          <t>Kharkiv</t>
        </is>
      </c>
      <c r="B1279" s="18" t="inlineStr">
        <is>
          <t>Ukraine</t>
        </is>
      </c>
      <c r="C1279" s="19" t="n">
        <v>28700000</v>
      </c>
      <c r="D1279" s="18" t="inlineStr">
        <is>
          <t>UA</t>
        </is>
      </c>
      <c r="E1279" s="18" t="inlineStr">
        <is>
          <t>07</t>
        </is>
      </c>
      <c r="F1279" s="20" t="n">
        <v>1430885</v>
      </c>
      <c r="G1279" s="18" t="n"/>
      <c r="H1279" s="18" t="n"/>
      <c r="I1279" s="18" t="n"/>
      <c r="J1279" s="18" t="n"/>
      <c r="K1279" s="18" t="n"/>
      <c r="L1279" s="18" t="inlineStr">
        <is>
          <t>100k +  pop</t>
        </is>
      </c>
      <c r="M1279" s="22" t="n">
        <v>0</v>
      </c>
      <c r="N1279" s="22" t="n">
        <v>0</v>
      </c>
      <c r="O1279" s="18" t="n"/>
      <c r="P1279" s="22">
        <f>IF(O1279="",(About!$B$5*M1279+About!$B$6*N1279)/(About!$B$5+About!$B$6),About!$B$5*M1279+About!$B$6*N1279+About!$B$7*O1279)</f>
        <v/>
      </c>
      <c r="Q1279" s="23" t="n">
        <v>49.9808</v>
      </c>
      <c r="R1279" s="23" t="n">
        <v>36.2527</v>
      </c>
    </row>
    <row r="1280" ht="15" customHeight="1" s="12">
      <c r="A1280" s="18" t="inlineStr">
        <is>
          <t>Bursa</t>
        </is>
      </c>
      <c r="B1280" s="18" t="inlineStr">
        <is>
          <t>Türkiye</t>
        </is>
      </c>
      <c r="C1280" s="19" t="n">
        <v>86092168</v>
      </c>
      <c r="D1280" s="18" t="inlineStr">
        <is>
          <t>TR</t>
        </is>
      </c>
      <c r="E1280" s="18" t="inlineStr">
        <is>
          <t>16</t>
        </is>
      </c>
      <c r="F1280" s="20" t="n">
        <v>1412701</v>
      </c>
      <c r="G1280" s="18" t="n"/>
      <c r="H1280" s="18" t="n"/>
      <c r="I1280" s="18" t="n"/>
      <c r="J1280" s="18" t="n"/>
      <c r="K1280" s="18" t="n"/>
      <c r="L1280" s="18" t="inlineStr">
        <is>
          <t>100k +  pop</t>
        </is>
      </c>
      <c r="M1280" s="22" t="n">
        <v>0</v>
      </c>
      <c r="N1280" s="22" t="n">
        <v>0</v>
      </c>
      <c r="O1280" s="18" t="n"/>
      <c r="P1280" s="22">
        <f>IF(O1280="",(About!$B$5*M1280+About!$B$6*N1280)/(About!$B$5+About!$B$6),About!$B$5*M1280+About!$B$6*N1280+About!$B$7*O1280)</f>
        <v/>
      </c>
      <c r="Q1280" s="23" t="n">
        <v>40.1956</v>
      </c>
      <c r="R1280" s="23" t="n">
        <v>29.0601</v>
      </c>
    </row>
    <row r="1281" ht="15" customHeight="1" s="12">
      <c r="A1281" s="18" t="inlineStr">
        <is>
          <t>Hyderabad</t>
        </is>
      </c>
      <c r="B1281" s="18" t="inlineStr">
        <is>
          <t>Pakistan</t>
        </is>
      </c>
      <c r="C1281" s="19" t="n">
        <v>241499431</v>
      </c>
      <c r="D1281" s="18" t="inlineStr">
        <is>
          <t>PK</t>
        </is>
      </c>
      <c r="E1281" s="18" t="inlineStr">
        <is>
          <t>05</t>
        </is>
      </c>
      <c r="F1281" s="20" t="n">
        <v>1386330</v>
      </c>
      <c r="G1281" s="18" t="n"/>
      <c r="H1281" s="18" t="inlineStr">
        <is>
          <t>HDD</t>
        </is>
      </c>
      <c r="I1281" s="18" t="inlineStr">
        <is>
          <t>Hyderabad Airport</t>
        </is>
      </c>
      <c r="J1281" s="21" t="n">
        <v>8.300000000000001</v>
      </c>
      <c r="K1281" s="18" t="inlineStr">
        <is>
          <t>HDD</t>
        </is>
      </c>
      <c r="L1281" s="18" t="inlineStr">
        <is>
          <t>100k +  pop + airport</t>
        </is>
      </c>
      <c r="M1281" s="22" t="n">
        <v>0</v>
      </c>
      <c r="N1281" s="22" t="n">
        <v>0</v>
      </c>
      <c r="O1281" s="18" t="n"/>
      <c r="P1281" s="22">
        <f>IF(O1281="",(About!$B$5*M1281+About!$B$6*N1281)/(About!$B$5+About!$B$6),About!$B$5*M1281+About!$B$6*N1281+About!$B$7*O1281)</f>
        <v/>
      </c>
      <c r="Q1281" s="23" t="n">
        <v>25.3924</v>
      </c>
      <c r="R1281" s="23" t="n">
        <v>68.3737</v>
      </c>
    </row>
    <row r="1282" ht="15" customHeight="1" s="12">
      <c r="A1282" s="18" t="inlineStr">
        <is>
          <t>Gujranwala</t>
        </is>
      </c>
      <c r="B1282" s="18" t="inlineStr">
        <is>
          <t>Pakistan</t>
        </is>
      </c>
      <c r="C1282" s="19" t="n">
        <v>241499431</v>
      </c>
      <c r="D1282" s="18" t="inlineStr">
        <is>
          <t>PK</t>
        </is>
      </c>
      <c r="E1282" s="18" t="inlineStr">
        <is>
          <t>04</t>
        </is>
      </c>
      <c r="F1282" s="20" t="n">
        <v>1384471</v>
      </c>
      <c r="G1282" s="18" t="n"/>
      <c r="H1282" s="18" t="n"/>
      <c r="I1282" s="18" t="n"/>
      <c r="J1282" s="18" t="n"/>
      <c r="K1282" s="18" t="n"/>
      <c r="L1282" s="18" t="inlineStr">
        <is>
          <t>100k +  pop</t>
        </is>
      </c>
      <c r="M1282" s="22" t="n">
        <v>0</v>
      </c>
      <c r="N1282" s="22" t="n">
        <v>0</v>
      </c>
      <c r="O1282" s="18" t="n"/>
      <c r="P1282" s="22">
        <f>IF(O1282="",(About!$B$5*M1282+About!$B$6*N1282)/(About!$B$5+About!$B$6),About!$B$5*M1282+About!$B$6*N1282+About!$B$7*O1282)</f>
        <v/>
      </c>
      <c r="Q1282" s="23" t="n">
        <v>32.1557</v>
      </c>
      <c r="R1282" s="23" t="n">
        <v>74.187</v>
      </c>
    </row>
    <row r="1283" ht="15" customHeight="1" s="12">
      <c r="A1283" s="18" t="inlineStr">
        <is>
          <t>Kampala</t>
        </is>
      </c>
      <c r="B1283" s="18" t="inlineStr">
        <is>
          <t>Uganda</t>
        </is>
      </c>
      <c r="C1283" s="19" t="n">
        <v>45905417</v>
      </c>
      <c r="D1283" s="18" t="inlineStr">
        <is>
          <t>UG</t>
        </is>
      </c>
      <c r="E1283" s="18" t="inlineStr">
        <is>
          <t>C</t>
        </is>
      </c>
      <c r="F1283" s="20" t="n">
        <v>1353189</v>
      </c>
      <c r="G1283" s="18" t="inlineStr">
        <is>
          <t>Yes</t>
        </is>
      </c>
      <c r="H1283" s="18" t="n"/>
      <c r="I1283" s="18" t="n"/>
      <c r="J1283" s="18" t="n"/>
      <c r="K1283" s="18" t="n"/>
      <c r="L1283" s="18" t="inlineStr">
        <is>
          <t>100k +  pop + capital</t>
        </is>
      </c>
      <c r="M1283" s="22" t="n">
        <v>0</v>
      </c>
      <c r="N1283" s="22" t="n">
        <v>0</v>
      </c>
      <c r="O1283" s="18" t="n"/>
      <c r="P1283" s="22">
        <f>IF(O1283="",(About!$B$5*M1283+About!$B$6*N1283)/(About!$B$5+About!$B$6),About!$B$5*M1283+About!$B$6*N1283+About!$B$7*O1283)</f>
        <v/>
      </c>
      <c r="Q1283" s="23" t="n">
        <v>0.3163</v>
      </c>
      <c r="R1283" s="23" t="n">
        <v>32.5822</v>
      </c>
    </row>
    <row r="1284" ht="15" customHeight="1" s="12">
      <c r="A1284" s="18" t="inlineStr">
        <is>
          <t>Khulna</t>
        </is>
      </c>
      <c r="B1284" s="18" t="inlineStr">
        <is>
          <t>Bangladesh</t>
        </is>
      </c>
      <c r="C1284" s="19" t="n">
        <v>169828911</v>
      </c>
      <c r="D1284" s="18" t="inlineStr">
        <is>
          <t>BD</t>
        </is>
      </c>
      <c r="E1284" s="18" t="inlineStr">
        <is>
          <t>82</t>
        </is>
      </c>
      <c r="F1284" s="20" t="n">
        <v>1342339</v>
      </c>
      <c r="G1284" s="18" t="n"/>
      <c r="H1284" s="18" t="n"/>
      <c r="I1284" s="18" t="n"/>
      <c r="J1284" s="18" t="n"/>
      <c r="K1284" s="18" t="n"/>
      <c r="L1284" s="18" t="inlineStr">
        <is>
          <t>100k +  pop</t>
        </is>
      </c>
      <c r="M1284" s="22" t="n">
        <v>0</v>
      </c>
      <c r="N1284" s="22" t="n">
        <v>0</v>
      </c>
      <c r="O1284" s="18" t="n"/>
      <c r="P1284" s="22">
        <f>IF(O1284="",(About!$B$5*M1284+About!$B$6*N1284)/(About!$B$5+About!$B$6),About!$B$5*M1284+About!$B$6*N1284+About!$B$7*O1284)</f>
        <v/>
      </c>
      <c r="Q1284" s="23" t="n">
        <v>22.8098</v>
      </c>
      <c r="R1284" s="23" t="n">
        <v>89.56440000000001</v>
      </c>
    </row>
    <row r="1285" ht="15" customHeight="1" s="12">
      <c r="A1285" s="18" t="inlineStr">
        <is>
          <t>Budta</t>
        </is>
      </c>
      <c r="B1285" s="18" t="inlineStr">
        <is>
          <t>Philippines</t>
        </is>
      </c>
      <c r="C1285" s="19" t="n">
        <v>114123600</v>
      </c>
      <c r="D1285" s="18" t="inlineStr">
        <is>
          <t>PH</t>
        </is>
      </c>
      <c r="E1285" s="18" t="inlineStr">
        <is>
          <t>14</t>
        </is>
      </c>
      <c r="F1285" s="20" t="n">
        <v>1273715</v>
      </c>
      <c r="G1285" s="18" t="n"/>
      <c r="H1285" s="18" t="n"/>
      <c r="I1285" s="18" t="n"/>
      <c r="J1285" s="18" t="n"/>
      <c r="K1285" s="18" t="n"/>
      <c r="L1285" s="18" t="inlineStr">
        <is>
          <t>100k +  pop</t>
        </is>
      </c>
      <c r="M1285" s="22" t="n">
        <v>0</v>
      </c>
      <c r="N1285" s="22" t="n">
        <v>0</v>
      </c>
      <c r="O1285" s="18" t="n"/>
      <c r="P1285" s="22">
        <f>IF(O1285="",(About!$B$5*M1285+About!$B$6*N1285)/(About!$B$5+About!$B$6),About!$B$5*M1285+About!$B$6*N1285+About!$B$7*O1285)</f>
        <v/>
      </c>
      <c r="Q1285" s="23" t="n">
        <v>7.2042</v>
      </c>
      <c r="R1285" s="23" t="n">
        <v>124.4397</v>
      </c>
    </row>
    <row r="1286" ht="15" customHeight="1" s="12">
      <c r="A1286" s="18" t="inlineStr">
        <is>
          <t>Suwon</t>
        </is>
      </c>
      <c r="B1286" s="18" t="inlineStr">
        <is>
          <t>South Korea</t>
        </is>
      </c>
      <c r="C1286" s="19" t="n">
        <v>51111158</v>
      </c>
      <c r="D1286" s="18" t="inlineStr">
        <is>
          <t>KR</t>
        </is>
      </c>
      <c r="E1286" s="18" t="inlineStr">
        <is>
          <t>13</t>
        </is>
      </c>
      <c r="F1286" s="20" t="n">
        <v>1242724</v>
      </c>
      <c r="G1286" s="18" t="n"/>
      <c r="H1286" s="18" t="n"/>
      <c r="I1286" s="18" t="n"/>
      <c r="J1286" s="18" t="n"/>
      <c r="K1286" s="18" t="n"/>
      <c r="L1286" s="18" t="inlineStr">
        <is>
          <t>100k +  pop</t>
        </is>
      </c>
      <c r="M1286" s="22" t="n">
        <v>0</v>
      </c>
      <c r="N1286" s="22" t="n">
        <v>0</v>
      </c>
      <c r="O1286" s="18" t="n"/>
      <c r="P1286" s="22">
        <f>IF(O1286="",(About!$B$5*M1286+About!$B$6*N1286)/(About!$B$5+About!$B$6),About!$B$5*M1286+About!$B$6*N1286+About!$B$7*O1286)</f>
        <v/>
      </c>
      <c r="Q1286" s="23" t="n">
        <v>37.2911</v>
      </c>
      <c r="R1286" s="23" t="n">
        <v>127.0089</v>
      </c>
    </row>
    <row r="1287" ht="15" customHeight="1" s="12">
      <c r="A1287" s="18" t="inlineStr">
        <is>
          <t>Fuzhou</t>
        </is>
      </c>
      <c r="B1287" s="18" t="inlineStr">
        <is>
          <t>China</t>
        </is>
      </c>
      <c r="C1287" s="19" t="n">
        <v>1404890000</v>
      </c>
      <c r="D1287" s="18" t="inlineStr">
        <is>
          <t>CN</t>
        </is>
      </c>
      <c r="E1287" s="18" t="inlineStr">
        <is>
          <t>07</t>
        </is>
      </c>
      <c r="F1287" s="20" t="n">
        <v>1179720</v>
      </c>
      <c r="G1287" s="18" t="n"/>
      <c r="H1287" s="18" t="n"/>
      <c r="I1287" s="18" t="n"/>
      <c r="J1287" s="18" t="n"/>
      <c r="K1287" s="18" t="n"/>
      <c r="L1287" s="18" t="inlineStr">
        <is>
          <t>100k +  pop</t>
        </is>
      </c>
      <c r="M1287" s="22" t="n">
        <v>0</v>
      </c>
      <c r="N1287" s="22" t="n">
        <v>0</v>
      </c>
      <c r="O1287" s="18" t="n"/>
      <c r="P1287" s="22">
        <f>IF(O1287="",(About!$B$5*M1287+About!$B$6*N1287)/(About!$B$5+About!$B$6),About!$B$5*M1287+About!$B$6*N1287+About!$B$7*O1287)</f>
        <v/>
      </c>
      <c r="Q1287" s="23" t="n">
        <v>26.0614</v>
      </c>
      <c r="R1287" s="23" t="n">
        <v>119.3061</v>
      </c>
    </row>
    <row r="1288" ht="15" customHeight="1" s="12">
      <c r="A1288" s="18" t="inlineStr">
        <is>
          <t>Malingao</t>
        </is>
      </c>
      <c r="B1288" s="18" t="inlineStr">
        <is>
          <t>Philippines</t>
        </is>
      </c>
      <c r="C1288" s="19" t="n">
        <v>114123600</v>
      </c>
      <c r="D1288" s="18" t="inlineStr">
        <is>
          <t>PH</t>
        </is>
      </c>
      <c r="E1288" s="18" t="inlineStr">
        <is>
          <t>12</t>
        </is>
      </c>
      <c r="F1288" s="20" t="n">
        <v>1121974</v>
      </c>
      <c r="G1288" s="18" t="n"/>
      <c r="H1288" s="18" t="n"/>
      <c r="I1288" s="18" t="n"/>
      <c r="J1288" s="18" t="n"/>
      <c r="K1288" s="18" t="n"/>
      <c r="L1288" s="18" t="inlineStr">
        <is>
          <t>100k +  pop</t>
        </is>
      </c>
      <c r="M1288" s="22" t="n">
        <v>0</v>
      </c>
      <c r="N1288" s="22" t="n">
        <v>0</v>
      </c>
      <c r="O1288" s="18" t="n"/>
      <c r="P1288" s="22">
        <f>IF(O1288="",(About!$B$5*M1288+About!$B$6*N1288)/(About!$B$5+About!$B$6),About!$B$5*M1288+About!$B$6*N1288+About!$B$7*O1288)</f>
        <v/>
      </c>
      <c r="Q1288" s="23" t="n">
        <v>7.1608</v>
      </c>
      <c r="R1288" s="23" t="n">
        <v>124.475</v>
      </c>
    </row>
    <row r="1289" ht="15" customHeight="1" s="12">
      <c r="A1289" s="18" t="inlineStr">
        <is>
          <t>Odessa</t>
        </is>
      </c>
      <c r="B1289" s="18" t="inlineStr">
        <is>
          <t>Ukraine</t>
        </is>
      </c>
      <c r="C1289" s="19" t="n">
        <v>28700000</v>
      </c>
      <c r="D1289" s="18" t="inlineStr">
        <is>
          <t>UA</t>
        </is>
      </c>
      <c r="E1289" s="18" t="inlineStr">
        <is>
          <t>17</t>
        </is>
      </c>
      <c r="F1289" s="20" t="n">
        <v>1001558</v>
      </c>
      <c r="G1289" s="18" t="n"/>
      <c r="H1289" s="18" t="n"/>
      <c r="I1289" s="18" t="n"/>
      <c r="J1289" s="18" t="n"/>
      <c r="K1289" s="18" t="n"/>
      <c r="L1289" s="18" t="inlineStr">
        <is>
          <t>100k +  pop</t>
        </is>
      </c>
      <c r="M1289" s="22" t="n">
        <v>0</v>
      </c>
      <c r="N1289" s="22" t="n">
        <v>0</v>
      </c>
      <c r="O1289" s="18" t="n"/>
      <c r="P1289" s="22">
        <f>IF(O1289="",(About!$B$5*M1289+About!$B$6*N1289)/(About!$B$5+About!$B$6),About!$B$5*M1289+About!$B$6*N1289+About!$B$7*O1289)</f>
        <v/>
      </c>
      <c r="Q1289" s="23" t="n">
        <v>46.4775</v>
      </c>
      <c r="R1289" s="23" t="n">
        <v>30.7326</v>
      </c>
    </row>
    <row r="1290" ht="15" customHeight="1" s="12">
      <c r="A1290" s="18" t="inlineStr">
        <is>
          <t>Kaifeng</t>
        </is>
      </c>
      <c r="B1290" s="18" t="inlineStr">
        <is>
          <t>China</t>
        </is>
      </c>
      <c r="C1290" s="19" t="n">
        <v>1404890000</v>
      </c>
      <c r="D1290" s="18" t="inlineStr">
        <is>
          <t>CN</t>
        </is>
      </c>
      <c r="E1290" s="18" t="inlineStr">
        <is>
          <t>09</t>
        </is>
      </c>
      <c r="F1290" s="20" t="n">
        <v>900000</v>
      </c>
      <c r="G1290" s="18" t="n"/>
      <c r="H1290" s="18" t="n"/>
      <c r="I1290" s="18" t="n"/>
      <c r="J1290" s="18" t="n"/>
      <c r="K1290" s="18" t="n"/>
      <c r="L1290" s="18" t="inlineStr">
        <is>
          <t>100k +  pop</t>
        </is>
      </c>
      <c r="M1290" s="22" t="n">
        <v>0</v>
      </c>
      <c r="N1290" s="22" t="n">
        <v>0</v>
      </c>
      <c r="O1290" s="18" t="n"/>
      <c r="P1290" s="22">
        <f>IF(O1290="",(About!$B$5*M1290+About!$B$6*N1290)/(About!$B$5+About!$B$6),About!$B$5*M1290+About!$B$6*N1290+About!$B$7*O1290)</f>
        <v/>
      </c>
      <c r="Q1290" s="23" t="n">
        <v>34.7986</v>
      </c>
      <c r="R1290" s="23" t="n">
        <v>114.3074</v>
      </c>
    </row>
    <row r="1291" ht="15" customHeight="1" s="12">
      <c r="A1291" s="18" t="inlineStr">
        <is>
          <t>Qom</t>
        </is>
      </c>
      <c r="B1291" s="18" t="inlineStr">
        <is>
          <t>Iran</t>
        </is>
      </c>
      <c r="C1291" s="19" t="n">
        <v>87134000</v>
      </c>
      <c r="D1291" s="18" t="inlineStr">
        <is>
          <t>IR</t>
        </is>
      </c>
      <c r="E1291" s="18" t="inlineStr">
        <is>
          <t>39</t>
        </is>
      </c>
      <c r="F1291" s="20" t="n">
        <v>900000</v>
      </c>
      <c r="G1291" s="18" t="n"/>
      <c r="H1291" s="18" t="n"/>
      <c r="I1291" s="18" t="n"/>
      <c r="J1291" s="18" t="n"/>
      <c r="K1291" s="18" t="n"/>
      <c r="L1291" s="18" t="inlineStr">
        <is>
          <t>100k +  pop</t>
        </is>
      </c>
      <c r="M1291" s="22" t="n">
        <v>0</v>
      </c>
      <c r="N1291" s="22" t="n">
        <v>0</v>
      </c>
      <c r="O1291" s="18" t="n"/>
      <c r="P1291" s="22">
        <f>IF(O1291="",(About!$B$5*M1291+About!$B$6*N1291)/(About!$B$5+About!$B$6),About!$B$5*M1291+About!$B$6*N1291+About!$B$7*O1291)</f>
        <v/>
      </c>
      <c r="Q1291" s="23" t="n">
        <v>34.6401</v>
      </c>
      <c r="R1291" s="23" t="n">
        <v>50.8764</v>
      </c>
    </row>
    <row r="1292" ht="15" customHeight="1" s="12">
      <c r="A1292" s="18" t="inlineStr">
        <is>
          <t>Bishkek</t>
        </is>
      </c>
      <c r="B1292" s="18" t="inlineStr">
        <is>
          <t>Kyrgyzstan</t>
        </is>
      </c>
      <c r="C1292" s="19" t="n">
        <v>7404300</v>
      </c>
      <c r="D1292" s="18" t="inlineStr">
        <is>
          <t>KG</t>
        </is>
      </c>
      <c r="E1292" s="18" t="inlineStr">
        <is>
          <t>01</t>
        </is>
      </c>
      <c r="F1292" s="20" t="n">
        <v>900000</v>
      </c>
      <c r="G1292" s="18" t="inlineStr">
        <is>
          <t>Yes</t>
        </is>
      </c>
      <c r="H1292" s="18" t="inlineStr">
        <is>
          <t>BSZ</t>
        </is>
      </c>
      <c r="I1292" s="18" t="inlineStr">
        <is>
          <t>Manas International Airport</t>
        </is>
      </c>
      <c r="J1292" s="21" t="n">
        <v>23.2</v>
      </c>
      <c r="K1292" s="18" t="inlineStr">
        <is>
          <t>BSZ</t>
        </is>
      </c>
      <c r="L1292" s="18" t="inlineStr">
        <is>
          <t>100k +  pop + capital + airport</t>
        </is>
      </c>
      <c r="M1292" s="22" t="n">
        <v>0</v>
      </c>
      <c r="N1292" s="22" t="n">
        <v>0</v>
      </c>
      <c r="O1292" s="18" t="n"/>
      <c r="P1292" s="22">
        <f>IF(O1292="",(About!$B$5*M1292+About!$B$6*N1292)/(About!$B$5+About!$B$6),About!$B$5*M1292+About!$B$6*N1292+About!$B$7*O1292)</f>
        <v/>
      </c>
      <c r="Q1292" s="23" t="n">
        <v>42.87</v>
      </c>
      <c r="R1292" s="23" t="n">
        <v>74.59</v>
      </c>
    </row>
    <row r="1293" ht="15" customHeight="1" s="12">
      <c r="A1293" s="18" t="inlineStr">
        <is>
          <t>Ulan Bator</t>
        </is>
      </c>
      <c r="B1293" s="18" t="inlineStr">
        <is>
          <t>Mongolia</t>
        </is>
      </c>
      <c r="C1293" s="19" t="n">
        <v>3544835</v>
      </c>
      <c r="D1293" s="18" t="inlineStr">
        <is>
          <t>MN</t>
        </is>
      </c>
      <c r="E1293" s="18" t="inlineStr">
        <is>
          <t>20</t>
        </is>
      </c>
      <c r="F1293" s="20" t="n">
        <v>844818</v>
      </c>
      <c r="G1293" s="18" t="inlineStr">
        <is>
          <t>Yes</t>
        </is>
      </c>
      <c r="H1293" s="18" t="n"/>
      <c r="I1293" s="18" t="n"/>
      <c r="J1293" s="18" t="n"/>
      <c r="K1293" s="18" t="n"/>
      <c r="L1293" s="18" t="inlineStr">
        <is>
          <t>100k +  pop + capital</t>
        </is>
      </c>
      <c r="M1293" s="22" t="n">
        <v>0</v>
      </c>
      <c r="N1293" s="22" t="n">
        <v>0</v>
      </c>
      <c r="O1293" s="18" t="n"/>
      <c r="P1293" s="22">
        <f>IF(O1293="",(About!$B$5*M1293+About!$B$6*N1293)/(About!$B$5+About!$B$6),About!$B$5*M1293+About!$B$6*N1293+About!$B$7*O1293)</f>
        <v/>
      </c>
      <c r="Q1293" s="23" t="n">
        <v>47.9077</v>
      </c>
      <c r="R1293" s="23" t="n">
        <v>106.8832</v>
      </c>
    </row>
    <row r="1294" ht="15" customHeight="1" s="12">
      <c r="A1294" s="18" t="inlineStr">
        <is>
          <t>Takeo</t>
        </is>
      </c>
      <c r="B1294" s="18" t="inlineStr">
        <is>
          <t>Cambodia</t>
        </is>
      </c>
      <c r="C1294" s="19" t="n">
        <v>17577760</v>
      </c>
      <c r="D1294" s="18" t="inlineStr">
        <is>
          <t>KH</t>
        </is>
      </c>
      <c r="E1294" s="18" t="inlineStr">
        <is>
          <t>19</t>
        </is>
      </c>
      <c r="F1294" s="20" t="n">
        <v>843931</v>
      </c>
      <c r="G1294" s="18" t="n"/>
      <c r="H1294" s="18" t="n"/>
      <c r="I1294" s="18" t="n"/>
      <c r="J1294" s="18" t="n"/>
      <c r="K1294" s="18" t="n"/>
      <c r="L1294" s="18" t="inlineStr">
        <is>
          <t>100k +  pop</t>
        </is>
      </c>
      <c r="M1294" s="22" t="n">
        <v>0</v>
      </c>
      <c r="N1294" s="22" t="n">
        <v>0</v>
      </c>
      <c r="O1294" s="18" t="n"/>
      <c r="P1294" s="22">
        <f>IF(O1294="",(About!$B$5*M1294+About!$B$6*N1294)/(About!$B$5+About!$B$6),About!$B$5*M1294+About!$B$6*N1294+About!$B$7*O1294)</f>
        <v/>
      </c>
      <c r="Q1294" s="23" t="n">
        <v>10.9908</v>
      </c>
      <c r="R1294" s="23" t="n">
        <v>104.785</v>
      </c>
    </row>
    <row r="1295" ht="15" customHeight="1" s="12">
      <c r="A1295" s="18" t="inlineStr">
        <is>
          <t>Nanning</t>
        </is>
      </c>
      <c r="B1295" s="18" t="inlineStr">
        <is>
          <t>China</t>
        </is>
      </c>
      <c r="C1295" s="19" t="n">
        <v>1404890000</v>
      </c>
      <c r="D1295" s="18" t="inlineStr">
        <is>
          <t>CN</t>
        </is>
      </c>
      <c r="E1295" s="18" t="inlineStr">
        <is>
          <t>16</t>
        </is>
      </c>
      <c r="F1295" s="20" t="n">
        <v>803788</v>
      </c>
      <c r="G1295" s="18" t="n"/>
      <c r="H1295" s="18" t="n"/>
      <c r="I1295" s="18" t="n"/>
      <c r="J1295" s="18" t="n"/>
      <c r="K1295" s="18" t="n"/>
      <c r="L1295" s="18" t="inlineStr">
        <is>
          <t>100k +  pop</t>
        </is>
      </c>
      <c r="M1295" s="22" t="n">
        <v>0</v>
      </c>
      <c r="N1295" s="22" t="n">
        <v>0</v>
      </c>
      <c r="O1295" s="18" t="n"/>
      <c r="P1295" s="22">
        <f>IF(O1295="",(About!$B$5*M1295+About!$B$6*N1295)/(About!$B$5+About!$B$6),About!$B$5*M1295+About!$B$6*N1295+About!$B$7*O1295)</f>
        <v/>
      </c>
      <c r="Q1295" s="23" t="n">
        <v>22.8167</v>
      </c>
      <c r="R1295" s="23" t="n">
        <v>108.3167</v>
      </c>
    </row>
    <row r="1296" ht="15" customHeight="1" s="12">
      <c r="A1296" s="18" t="inlineStr">
        <is>
          <t>Bogor</t>
        </is>
      </c>
      <c r="B1296" s="18" t="inlineStr">
        <is>
          <t>Indonesia</t>
        </is>
      </c>
      <c r="C1296" s="19" t="n">
        <v>288315089</v>
      </c>
      <c r="D1296" s="18" t="inlineStr">
        <is>
          <t>ID</t>
        </is>
      </c>
      <c r="E1296" s="18" t="inlineStr">
        <is>
          <t>30</t>
        </is>
      </c>
      <c r="F1296" s="20" t="n">
        <v>800000</v>
      </c>
      <c r="G1296" s="18" t="n"/>
      <c r="H1296" s="18" t="n"/>
      <c r="I1296" s="18" t="n"/>
      <c r="J1296" s="18" t="n"/>
      <c r="K1296" s="18" t="n"/>
      <c r="L1296" s="18" t="inlineStr">
        <is>
          <t>100k +  pop</t>
        </is>
      </c>
      <c r="M1296" s="22" t="n">
        <v>0</v>
      </c>
      <c r="N1296" s="22" t="n">
        <v>0</v>
      </c>
      <c r="O1296" s="18" t="n"/>
      <c r="P1296" s="22">
        <f>IF(O1296="",(About!$B$5*M1296+About!$B$6*N1296)/(About!$B$5+About!$B$6),About!$B$5*M1296+About!$B$6*N1296+About!$B$7*O1296)</f>
        <v/>
      </c>
      <c r="Q1296" s="23" t="n">
        <v>-6.5944</v>
      </c>
      <c r="R1296" s="23" t="n">
        <v>106.7892</v>
      </c>
    </row>
    <row r="1297" ht="15" customHeight="1" s="12">
      <c r="A1297" s="18" t="inlineStr">
        <is>
          <t>Zarqa</t>
        </is>
      </c>
      <c r="B1297" s="18" t="inlineStr">
        <is>
          <t>Jordan</t>
        </is>
      </c>
      <c r="C1297" s="19" t="n">
        <v>11937000</v>
      </c>
      <c r="D1297" s="18" t="inlineStr">
        <is>
          <t>JO</t>
        </is>
      </c>
      <c r="E1297" s="18" t="inlineStr">
        <is>
          <t>17</t>
        </is>
      </c>
      <c r="F1297" s="20" t="n">
        <v>792665</v>
      </c>
      <c r="G1297" s="18" t="n"/>
      <c r="H1297" s="18" t="inlineStr">
        <is>
          <t>ADJ</t>
        </is>
      </c>
      <c r="I1297" s="18" t="inlineStr">
        <is>
          <t>Marka International (Amman Civil) Airport</t>
        </is>
      </c>
      <c r="J1297" s="21" t="n">
        <v>14.4</v>
      </c>
      <c r="K1297" s="18" t="inlineStr">
        <is>
          <t>ADJ</t>
        </is>
      </c>
      <c r="L1297" s="18" t="inlineStr">
        <is>
          <t>100k +  pop</t>
        </is>
      </c>
      <c r="M1297" s="22" t="n">
        <v>0</v>
      </c>
      <c r="N1297" s="22" t="n">
        <v>0</v>
      </c>
      <c r="O1297" s="18" t="n"/>
      <c r="P1297" s="22">
        <f>IF(O1297="",(About!$B$5*M1297+About!$B$6*N1297)/(About!$B$5+About!$B$6),About!$B$5*M1297+About!$B$6*N1297+About!$B$7*O1297)</f>
        <v/>
      </c>
      <c r="Q1297" s="23" t="n">
        <v>32.0727</v>
      </c>
      <c r="R1297" s="23" t="n">
        <v>36.088</v>
      </c>
    </row>
    <row r="1298" ht="15" customHeight="1" s="12">
      <c r="A1298" s="18" t="inlineStr">
        <is>
          <t>Çankaya</t>
        </is>
      </c>
      <c r="B1298" s="18" t="inlineStr">
        <is>
          <t>Türkiye</t>
        </is>
      </c>
      <c r="C1298" s="19" t="n">
        <v>86092168</v>
      </c>
      <c r="D1298" s="18" t="inlineStr">
        <is>
          <t>TR</t>
        </is>
      </c>
      <c r="E1298" s="18" t="inlineStr">
        <is>
          <t>68</t>
        </is>
      </c>
      <c r="F1298" s="20" t="n">
        <v>792189</v>
      </c>
      <c r="G1298" s="18" t="n"/>
      <c r="H1298" s="18" t="n"/>
      <c r="I1298" s="18" t="n"/>
      <c r="J1298" s="18" t="n"/>
      <c r="K1298" s="18" t="n"/>
      <c r="L1298" s="18" t="inlineStr">
        <is>
          <t>100k +  pop</t>
        </is>
      </c>
      <c r="M1298" s="22" t="n">
        <v>0</v>
      </c>
      <c r="N1298" s="22" t="n">
        <v>0</v>
      </c>
      <c r="O1298" s="18" t="n"/>
      <c r="P1298" s="22">
        <f>IF(O1298="",(About!$B$5*M1298+About!$B$6*N1298)/(About!$B$5+About!$B$6),About!$B$5*M1298+About!$B$6*N1298+About!$B$7*O1298)</f>
        <v/>
      </c>
      <c r="Q1298" s="23" t="n">
        <v>39.9179</v>
      </c>
      <c r="R1298" s="23" t="n">
        <v>32.8627</v>
      </c>
    </row>
    <row r="1299" ht="15" customHeight="1" s="12">
      <c r="A1299" s="18" t="inlineStr">
        <is>
          <t>Pasragad Branch</t>
        </is>
      </c>
      <c r="B1299" s="18" t="inlineStr">
        <is>
          <t>Iran</t>
        </is>
      </c>
      <c r="C1299" s="19" t="n">
        <v>87134000</v>
      </c>
      <c r="D1299" s="18" t="inlineStr">
        <is>
          <t>IR</t>
        </is>
      </c>
      <c r="E1299" s="18" t="inlineStr">
        <is>
          <t>09</t>
        </is>
      </c>
      <c r="F1299" s="20" t="n">
        <v>787878</v>
      </c>
      <c r="G1299" s="18" t="n"/>
      <c r="H1299" s="18" t="inlineStr">
        <is>
          <t>HDM</t>
        </is>
      </c>
      <c r="I1299" s="18" t="inlineStr">
        <is>
          <t>Hamadan Airport</t>
        </is>
      </c>
      <c r="J1299" s="21" t="n">
        <v>12.8</v>
      </c>
      <c r="K1299" s="18" t="inlineStr">
        <is>
          <t>HDM</t>
        </is>
      </c>
      <c r="L1299" s="18" t="inlineStr">
        <is>
          <t>100k +  pop</t>
        </is>
      </c>
      <c r="M1299" s="22" t="n">
        <v>0</v>
      </c>
      <c r="N1299" s="22" t="n">
        <v>0</v>
      </c>
      <c r="O1299" s="18" t="n"/>
      <c r="P1299" s="22">
        <f>IF(O1299="",(About!$B$5*M1299+About!$B$6*N1299)/(About!$B$5+About!$B$6),About!$B$5*M1299+About!$B$6*N1299+About!$B$7*O1299)</f>
        <v/>
      </c>
      <c r="Q1299" s="23" t="n">
        <v>34.7777</v>
      </c>
      <c r="R1299" s="23" t="n">
        <v>48.4717</v>
      </c>
    </row>
    <row r="1300" ht="15" customHeight="1" s="12">
      <c r="A1300" s="18" t="inlineStr">
        <is>
          <t>Homs</t>
        </is>
      </c>
      <c r="B1300" s="18" t="inlineStr">
        <is>
          <t>Syria</t>
        </is>
      </c>
      <c r="C1300" s="19" t="n">
        <v>25620427</v>
      </c>
      <c r="D1300" s="18" t="inlineStr">
        <is>
          <t>SY</t>
        </is>
      </c>
      <c r="E1300" s="18" t="inlineStr">
        <is>
          <t>11</t>
        </is>
      </c>
      <c r="F1300" s="20" t="n">
        <v>775404</v>
      </c>
      <c r="G1300" s="18" t="n"/>
      <c r="H1300" s="18" t="n"/>
      <c r="I1300" s="18" t="n"/>
      <c r="J1300" s="18" t="n"/>
      <c r="K1300" s="18" t="n"/>
      <c r="L1300" s="18" t="inlineStr">
        <is>
          <t>100k +  pop</t>
        </is>
      </c>
      <c r="M1300" s="22" t="n">
        <v>0</v>
      </c>
      <c r="N1300" s="22" t="n">
        <v>0</v>
      </c>
      <c r="O1300" s="18" t="n"/>
      <c r="P1300" s="22">
        <f>IF(O1300="",(About!$B$5*M1300+About!$B$6*N1300)/(About!$B$5+About!$B$6),About!$B$5*M1300+About!$B$6*N1300+About!$B$7*O1300)</f>
        <v/>
      </c>
      <c r="Q1300" s="23" t="n">
        <v>34.7268</v>
      </c>
      <c r="R1300" s="23" t="n">
        <v>36.7234</v>
      </c>
    </row>
    <row r="1301" ht="15" customHeight="1" s="12">
      <c r="A1301" s="18" t="inlineStr">
        <is>
          <t>Xining</t>
        </is>
      </c>
      <c r="B1301" s="18" t="inlineStr">
        <is>
          <t>China</t>
        </is>
      </c>
      <c r="C1301" s="19" t="n">
        <v>1404890000</v>
      </c>
      <c r="D1301" s="18" t="inlineStr">
        <is>
          <t>CN</t>
        </is>
      </c>
      <c r="E1301" s="18" t="inlineStr">
        <is>
          <t>06</t>
        </is>
      </c>
      <c r="F1301" s="20" t="n">
        <v>767531</v>
      </c>
      <c r="G1301" s="18" t="n"/>
      <c r="H1301" s="18" t="n"/>
      <c r="I1301" s="18" t="n"/>
      <c r="J1301" s="18" t="n"/>
      <c r="K1301" s="18" t="n"/>
      <c r="L1301" s="18" t="inlineStr">
        <is>
          <t>100k +  pop</t>
        </is>
      </c>
      <c r="M1301" s="22" t="n">
        <v>0</v>
      </c>
      <c r="N1301" s="22" t="n">
        <v>0</v>
      </c>
      <c r="O1301" s="18" t="n"/>
      <c r="P1301" s="22">
        <f>IF(O1301="",(About!$B$5*M1301+About!$B$6*N1301)/(About!$B$5+About!$B$6),About!$B$5*M1301+About!$B$6*N1301+About!$B$7*O1301)</f>
        <v/>
      </c>
      <c r="Q1301" s="23" t="n">
        <v>36.6255</v>
      </c>
      <c r="R1301" s="23" t="n">
        <v>101.7574</v>
      </c>
    </row>
    <row r="1302" ht="15" customHeight="1" s="12">
      <c r="A1302" s="18" t="inlineStr">
        <is>
          <t>Qinhuangdao</t>
        </is>
      </c>
      <c r="B1302" s="18" t="inlineStr">
        <is>
          <t>China</t>
        </is>
      </c>
      <c r="C1302" s="19" t="n">
        <v>1404890000</v>
      </c>
      <c r="D1302" s="18" t="inlineStr">
        <is>
          <t>CN</t>
        </is>
      </c>
      <c r="E1302" s="18" t="inlineStr">
        <is>
          <t>10</t>
        </is>
      </c>
      <c r="F1302" s="20" t="n">
        <v>759718</v>
      </c>
      <c r="G1302" s="18" t="n"/>
      <c r="H1302" s="18" t="n"/>
      <c r="I1302" s="18" t="n"/>
      <c r="J1302" s="18" t="n"/>
      <c r="K1302" s="18" t="n"/>
      <c r="L1302" s="18" t="inlineStr">
        <is>
          <t>100k +  pop</t>
        </is>
      </c>
      <c r="M1302" s="22" t="n">
        <v>0</v>
      </c>
      <c r="N1302" s="22" t="n">
        <v>0</v>
      </c>
      <c r="O1302" s="18" t="n"/>
      <c r="P1302" s="22">
        <f>IF(O1302="",(About!$B$5*M1302+About!$B$6*N1302)/(About!$B$5+About!$B$6),About!$B$5*M1302+About!$B$6*N1302+About!$B$7*O1302)</f>
        <v/>
      </c>
      <c r="Q1302" s="23" t="n">
        <v>39.9317</v>
      </c>
      <c r="R1302" s="23" t="n">
        <v>119.5883</v>
      </c>
    </row>
    <row r="1303" ht="15" customHeight="1" s="12">
      <c r="A1303" s="18" t="inlineStr">
        <is>
          <t>Muzaffarābād</t>
        </is>
      </c>
      <c r="B1303" s="18" t="inlineStr">
        <is>
          <t>Pakistan</t>
        </is>
      </c>
      <c r="C1303" s="19" t="n">
        <v>241499431</v>
      </c>
      <c r="D1303" s="18" t="inlineStr">
        <is>
          <t>PK</t>
        </is>
      </c>
      <c r="E1303" s="18" t="inlineStr">
        <is>
          <t>06</t>
        </is>
      </c>
      <c r="F1303" s="20" t="n">
        <v>725000</v>
      </c>
      <c r="G1303" s="18" t="n"/>
      <c r="H1303" s="18" t="inlineStr">
        <is>
          <t>MFG</t>
        </is>
      </c>
      <c r="I1303" s="18" t="inlineStr">
        <is>
          <t>Muzaffarabad Airport</t>
        </is>
      </c>
      <c r="J1303" s="21" t="n">
        <v>4.9</v>
      </c>
      <c r="K1303" s="18" t="inlineStr">
        <is>
          <t>MFG</t>
        </is>
      </c>
      <c r="L1303" s="18" t="inlineStr">
        <is>
          <t>100k +  pop + airport</t>
        </is>
      </c>
      <c r="M1303" s="22" t="n">
        <v>0</v>
      </c>
      <c r="N1303" s="22" t="n">
        <v>0</v>
      </c>
      <c r="O1303" s="18" t="n"/>
      <c r="P1303" s="22">
        <f>IF(O1303="",(About!$B$5*M1303+About!$B$6*N1303)/(About!$B$5+About!$B$6),About!$B$5*M1303+About!$B$6*N1303+About!$B$7*O1303)</f>
        <v/>
      </c>
      <c r="Q1303" s="23" t="n">
        <v>34.37</v>
      </c>
      <c r="R1303" s="23" t="n">
        <v>73.4708</v>
      </c>
    </row>
    <row r="1304" ht="15" customHeight="1" s="12">
      <c r="A1304" s="18" t="inlineStr">
        <is>
          <t>Jeonju</t>
        </is>
      </c>
      <c r="B1304" s="18" t="inlineStr">
        <is>
          <t>South Korea</t>
        </is>
      </c>
      <c r="C1304" s="19" t="n">
        <v>51111158</v>
      </c>
      <c r="D1304" s="18" t="inlineStr">
        <is>
          <t>KR</t>
        </is>
      </c>
      <c r="E1304" s="18" t="inlineStr">
        <is>
          <t>03</t>
        </is>
      </c>
      <c r="F1304" s="20" t="n">
        <v>711424</v>
      </c>
      <c r="G1304" s="18" t="n"/>
      <c r="H1304" s="18" t="n"/>
      <c r="I1304" s="18" t="n"/>
      <c r="J1304" s="18" t="n"/>
      <c r="K1304" s="18" t="n"/>
      <c r="L1304" s="18" t="inlineStr">
        <is>
          <t>100k +  pop</t>
        </is>
      </c>
      <c r="M1304" s="22" t="n">
        <v>0</v>
      </c>
      <c r="N1304" s="22" t="n">
        <v>0</v>
      </c>
      <c r="O1304" s="18" t="n"/>
      <c r="P1304" s="22">
        <f>IF(O1304="",(About!$B$5*M1304+About!$B$6*N1304)/(About!$B$5+About!$B$6),About!$B$5*M1304+About!$B$6*N1304+About!$B$7*O1304)</f>
        <v/>
      </c>
      <c r="Q1304" s="23" t="n">
        <v>35.8219</v>
      </c>
      <c r="R1304" s="23" t="n">
        <v>127.1489</v>
      </c>
    </row>
    <row r="1305" ht="15" customHeight="1" s="12">
      <c r="A1305" s="18" t="inlineStr">
        <is>
          <t>Battagram</t>
        </is>
      </c>
      <c r="B1305" s="18" t="inlineStr">
        <is>
          <t>Pakistan</t>
        </is>
      </c>
      <c r="C1305" s="19" t="n">
        <v>241499431</v>
      </c>
      <c r="D1305" s="18" t="inlineStr">
        <is>
          <t>PK</t>
        </is>
      </c>
      <c r="E1305" s="18" t="inlineStr">
        <is>
          <t>03</t>
        </is>
      </c>
      <c r="F1305" s="20" t="n">
        <v>700000</v>
      </c>
      <c r="G1305" s="18" t="n"/>
      <c r="H1305" s="18" t="n"/>
      <c r="I1305" s="18" t="n"/>
      <c r="J1305" s="18" t="n"/>
      <c r="K1305" s="18" t="n"/>
      <c r="L1305" s="18" t="inlineStr">
        <is>
          <t>100k +  pop</t>
        </is>
      </c>
      <c r="M1305" s="22" t="n">
        <v>0</v>
      </c>
      <c r="N1305" s="22" t="n">
        <v>0</v>
      </c>
      <c r="O1305" s="18" t="n"/>
      <c r="P1305" s="22">
        <f>IF(O1305="",(About!$B$5*M1305+About!$B$6*N1305)/(About!$B$5+About!$B$6),About!$B$5*M1305+About!$B$6*N1305+About!$B$7*O1305)</f>
        <v/>
      </c>
      <c r="Q1305" s="23" t="n">
        <v>34.6772</v>
      </c>
      <c r="R1305" s="23" t="n">
        <v>73.02330000000001</v>
      </c>
    </row>
    <row r="1306" ht="15" customHeight="1" s="12">
      <c r="A1306" s="18" t="inlineStr">
        <is>
          <t>La Plata</t>
        </is>
      </c>
      <c r="B1306" s="18" t="inlineStr">
        <is>
          <t>Argentina</t>
        </is>
      </c>
      <c r="C1306" s="19" t="n">
        <v>46387098</v>
      </c>
      <c r="D1306" s="18" t="inlineStr">
        <is>
          <t>AR</t>
        </is>
      </c>
      <c r="E1306" s="18" t="inlineStr">
        <is>
          <t>01</t>
        </is>
      </c>
      <c r="F1306" s="20" t="n">
        <v>694167</v>
      </c>
      <c r="G1306" s="18" t="n"/>
      <c r="H1306" s="18" t="n"/>
      <c r="I1306" s="18" t="n"/>
      <c r="J1306" s="18" t="n"/>
      <c r="K1306" s="18" t="n"/>
      <c r="L1306" s="18" t="inlineStr">
        <is>
          <t>100k +  pop</t>
        </is>
      </c>
      <c r="M1306" s="22" t="n">
        <v>0</v>
      </c>
      <c r="N1306" s="22" t="n">
        <v>0</v>
      </c>
      <c r="O1306" s="18" t="n"/>
      <c r="P1306" s="22">
        <f>IF(O1306="",(About!$B$5*M1306+About!$B$6*N1306)/(About!$B$5+About!$B$6),About!$B$5*M1306+About!$B$6*N1306+About!$B$7*O1306)</f>
        <v/>
      </c>
      <c r="Q1306" s="23" t="n">
        <v>-34.9215</v>
      </c>
      <c r="R1306" s="23" t="n">
        <v>-57.9545</v>
      </c>
    </row>
    <row r="1307" ht="15" customHeight="1" s="12">
      <c r="A1307" s="18" t="inlineStr">
        <is>
          <t>Sheffield</t>
        </is>
      </c>
      <c r="B1307" s="18" t="inlineStr">
        <is>
          <t>United Kingdom</t>
        </is>
      </c>
      <c r="C1307" s="19" t="n">
        <v>69487000</v>
      </c>
      <c r="D1307" s="18" t="inlineStr">
        <is>
          <t>GB</t>
        </is>
      </c>
      <c r="E1307" s="18" t="inlineStr">
        <is>
          <t>ENG</t>
        </is>
      </c>
      <c r="F1307" s="20" t="n">
        <v>685368</v>
      </c>
      <c r="G1307" s="18" t="n"/>
      <c r="H1307" s="18" t="n"/>
      <c r="I1307" s="18" t="n"/>
      <c r="J1307" s="18" t="n"/>
      <c r="K1307" s="18" t="n"/>
      <c r="L1307" s="18" t="inlineStr">
        <is>
          <t>100k +  pop</t>
        </is>
      </c>
      <c r="M1307" s="22" t="n">
        <v>0</v>
      </c>
      <c r="N1307" s="22" t="n">
        <v>0</v>
      </c>
      <c r="O1307" s="18" t="n"/>
      <c r="P1307" s="22">
        <f>IF(O1307="",(About!$B$5*M1307+About!$B$6*N1307)/(About!$B$5+About!$B$6),About!$B$5*M1307+About!$B$6*N1307+About!$B$7*O1307)</f>
        <v/>
      </c>
      <c r="Q1307" s="23" t="n">
        <v>53.383</v>
      </c>
      <c r="R1307" s="23" t="n">
        <v>-1.4659</v>
      </c>
    </row>
    <row r="1308" ht="15" customHeight="1" s="12">
      <c r="A1308" s="18" t="inlineStr">
        <is>
          <t>Ansan-si</t>
        </is>
      </c>
      <c r="B1308" s="18" t="inlineStr">
        <is>
          <t>South Korea</t>
        </is>
      </c>
      <c r="C1308" s="19" t="n">
        <v>51111158</v>
      </c>
      <c r="D1308" s="18" t="inlineStr">
        <is>
          <t>KR</t>
        </is>
      </c>
      <c r="E1308" s="18" t="inlineStr">
        <is>
          <t>13</t>
        </is>
      </c>
      <c r="F1308" s="20" t="n">
        <v>650728</v>
      </c>
      <c r="G1308" s="18" t="n"/>
      <c r="H1308" s="18" t="n"/>
      <c r="I1308" s="18" t="n"/>
      <c r="J1308" s="18" t="n"/>
      <c r="K1308" s="18" t="n"/>
      <c r="L1308" s="18" t="inlineStr">
        <is>
          <t>100k +  pop</t>
        </is>
      </c>
      <c r="M1308" s="22" t="n">
        <v>0</v>
      </c>
      <c r="N1308" s="22" t="n">
        <v>0</v>
      </c>
      <c r="O1308" s="18" t="n"/>
      <c r="P1308" s="22">
        <f>IF(O1308="",(About!$B$5*M1308+About!$B$6*N1308)/(About!$B$5+About!$B$6),About!$B$5*M1308+About!$B$6*N1308+About!$B$7*O1308)</f>
        <v/>
      </c>
      <c r="Q1308" s="23" t="n">
        <v>37.3236</v>
      </c>
      <c r="R1308" s="23" t="n">
        <v>126.8219</v>
      </c>
    </row>
    <row r="1309" ht="15" customHeight="1" s="12">
      <c r="A1309" s="18" t="inlineStr">
        <is>
          <t>Guilin</t>
        </is>
      </c>
      <c r="B1309" s="18" t="inlineStr">
        <is>
          <t>China</t>
        </is>
      </c>
      <c r="C1309" s="19" t="n">
        <v>1404890000</v>
      </c>
      <c r="D1309" s="18" t="inlineStr">
        <is>
          <t>CN</t>
        </is>
      </c>
      <c r="E1309" s="18" t="inlineStr">
        <is>
          <t>16</t>
        </is>
      </c>
      <c r="F1309" s="20" t="n">
        <v>649352</v>
      </c>
      <c r="G1309" s="18" t="n"/>
      <c r="H1309" s="18" t="n"/>
      <c r="I1309" s="18" t="n"/>
      <c r="J1309" s="18" t="n"/>
      <c r="K1309" s="18" t="n"/>
      <c r="L1309" s="18" t="inlineStr">
        <is>
          <t>100k +  pop</t>
        </is>
      </c>
      <c r="M1309" s="22" t="n">
        <v>0</v>
      </c>
      <c r="N1309" s="22" t="n">
        <v>0</v>
      </c>
      <c r="O1309" s="18" t="n"/>
      <c r="P1309" s="22">
        <f>IF(O1309="",(About!$B$5*M1309+About!$B$6*N1309)/(About!$B$5+About!$B$6),About!$B$5*M1309+About!$B$6*N1309+About!$B$7*O1309)</f>
        <v/>
      </c>
      <c r="Q1309" s="23" t="n">
        <v>25.2819</v>
      </c>
      <c r="R1309" s="23" t="n">
        <v>110.2864</v>
      </c>
    </row>
    <row r="1310" ht="15" customHeight="1" s="12">
      <c r="A1310" s="18" t="inlineStr">
        <is>
          <t>Kotli</t>
        </is>
      </c>
      <c r="B1310" s="18" t="inlineStr">
        <is>
          <t>Pakistan</t>
        </is>
      </c>
      <c r="C1310" s="19" t="n">
        <v>241499431</v>
      </c>
      <c r="D1310" s="18" t="inlineStr">
        <is>
          <t>PK</t>
        </is>
      </c>
      <c r="E1310" s="18" t="inlineStr">
        <is>
          <t>06</t>
        </is>
      </c>
      <c r="F1310" s="20" t="n">
        <v>640000</v>
      </c>
      <c r="G1310" s="18" t="n"/>
      <c r="H1310" s="18" t="n"/>
      <c r="I1310" s="18" t="n"/>
      <c r="J1310" s="18" t="n"/>
      <c r="K1310" s="18" t="n"/>
      <c r="L1310" s="18" t="inlineStr">
        <is>
          <t>100k +  pop</t>
        </is>
      </c>
      <c r="M1310" s="22" t="n">
        <v>0</v>
      </c>
      <c r="N1310" s="22" t="n">
        <v>0</v>
      </c>
      <c r="O1310" s="18" t="n"/>
      <c r="P1310" s="22">
        <f>IF(O1310="",(About!$B$5*M1310+About!$B$6*N1310)/(About!$B$5+About!$B$6),About!$B$5*M1310+About!$B$6*N1310+About!$B$7*O1310)</f>
        <v/>
      </c>
      <c r="Q1310" s="23" t="n">
        <v>33.5184</v>
      </c>
      <c r="R1310" s="23" t="n">
        <v>73.90219999999999</v>
      </c>
    </row>
    <row r="1311" ht="15" customHeight="1" s="12">
      <c r="A1311" s="18" t="inlineStr">
        <is>
          <t>Chisinau</t>
        </is>
      </c>
      <c r="B1311" s="18" t="inlineStr">
        <is>
          <t>Moldova</t>
        </is>
      </c>
      <c r="C1311" s="19" t="n">
        <v>2381300</v>
      </c>
      <c r="D1311" s="18" t="inlineStr">
        <is>
          <t>MD</t>
        </is>
      </c>
      <c r="E1311" s="18" t="inlineStr">
        <is>
          <t>57</t>
        </is>
      </c>
      <c r="F1311" s="20" t="n">
        <v>635994</v>
      </c>
      <c r="G1311" s="18" t="inlineStr">
        <is>
          <t>Yes</t>
        </is>
      </c>
      <c r="H1311" s="18" t="inlineStr">
        <is>
          <t>RMO</t>
        </is>
      </c>
      <c r="I1311" s="18" t="inlineStr">
        <is>
          <t>Chişinău International Airport</t>
        </is>
      </c>
      <c r="J1311" s="21" t="n">
        <v>10.3</v>
      </c>
      <c r="K1311" s="18" t="inlineStr">
        <is>
          <t>RMO</t>
        </is>
      </c>
      <c r="L1311" s="18" t="inlineStr">
        <is>
          <t>100k +  pop + capital + airport</t>
        </is>
      </c>
      <c r="M1311" s="22" t="n">
        <v>0</v>
      </c>
      <c r="N1311" s="22" t="n">
        <v>0</v>
      </c>
      <c r="O1311" s="18" t="n"/>
      <c r="P1311" s="22">
        <f>IF(O1311="",(About!$B$5*M1311+About!$B$6*N1311)/(About!$B$5+About!$B$6),About!$B$5*M1311+About!$B$6*N1311+About!$B$7*O1311)</f>
        <v/>
      </c>
      <c r="Q1311" s="23" t="n">
        <v>47.0056</v>
      </c>
      <c r="R1311" s="23" t="n">
        <v>28.8575</v>
      </c>
    </row>
    <row r="1312" ht="15" customHeight="1" s="12">
      <c r="A1312" s="18" t="inlineStr">
        <is>
          <t>Zhenjiang</t>
        </is>
      </c>
      <c r="B1312" s="18" t="inlineStr">
        <is>
          <t>China</t>
        </is>
      </c>
      <c r="C1312" s="19" t="n">
        <v>1404890000</v>
      </c>
      <c r="D1312" s="18" t="inlineStr">
        <is>
          <t>CN</t>
        </is>
      </c>
      <c r="E1312" s="18" t="inlineStr">
        <is>
          <t>04</t>
        </is>
      </c>
      <c r="F1312" s="20" t="n">
        <v>632552</v>
      </c>
      <c r="G1312" s="18" t="n"/>
      <c r="H1312" s="18" t="n"/>
      <c r="I1312" s="18" t="n"/>
      <c r="J1312" s="18" t="n"/>
      <c r="K1312" s="18" t="n"/>
      <c r="L1312" s="18" t="inlineStr">
        <is>
          <t>100k +  pop</t>
        </is>
      </c>
      <c r="M1312" s="22" t="n">
        <v>0</v>
      </c>
      <c r="N1312" s="22" t="n">
        <v>0</v>
      </c>
      <c r="O1312" s="18" t="n"/>
      <c r="P1312" s="22">
        <f>IF(O1312="",(About!$B$5*M1312+About!$B$6*N1312)/(About!$B$5+About!$B$6),About!$B$5*M1312+About!$B$6*N1312+About!$B$7*O1312)</f>
        <v/>
      </c>
      <c r="Q1312" s="23" t="n">
        <v>32.2109</v>
      </c>
      <c r="R1312" s="23" t="n">
        <v>119.4551</v>
      </c>
    </row>
    <row r="1313" ht="15" customHeight="1" s="12">
      <c r="A1313" s="18" t="inlineStr">
        <is>
          <t>Al Ḩudaydah</t>
        </is>
      </c>
      <c r="B1313" s="18" t="inlineStr">
        <is>
          <t>Yemen</t>
        </is>
      </c>
      <c r="C1313" s="19" t="n">
        <v>32684503</v>
      </c>
      <c r="D1313" s="18" t="inlineStr">
        <is>
          <t>YE</t>
        </is>
      </c>
      <c r="E1313" s="18" t="inlineStr">
        <is>
          <t>08</t>
        </is>
      </c>
      <c r="F1313" s="20" t="n">
        <v>617871</v>
      </c>
      <c r="G1313" s="18" t="n"/>
      <c r="H1313" s="18" t="n"/>
      <c r="I1313" s="18" t="n"/>
      <c r="J1313" s="18" t="n"/>
      <c r="K1313" s="18" t="n"/>
      <c r="L1313" s="18" t="inlineStr">
        <is>
          <t>100k +  pop</t>
        </is>
      </c>
      <c r="M1313" s="22" t="n">
        <v>0</v>
      </c>
      <c r="N1313" s="22" t="n">
        <v>0</v>
      </c>
      <c r="O1313" s="18" t="n"/>
      <c r="P1313" s="22">
        <f>IF(O1313="",(About!$B$5*M1313+About!$B$6*N1313)/(About!$B$5+About!$B$6),About!$B$5*M1313+About!$B$6*N1313+About!$B$7*O1313)</f>
        <v/>
      </c>
      <c r="Q1313" s="23" t="n">
        <v>14.7978</v>
      </c>
      <c r="R1313" s="23" t="n">
        <v>42.9545</v>
      </c>
    </row>
    <row r="1314" ht="15" customHeight="1" s="12">
      <c r="A1314" s="18" t="inlineStr">
        <is>
          <t>Ta‘izz</t>
        </is>
      </c>
      <c r="B1314" s="18" t="inlineStr">
        <is>
          <t>Yemen</t>
        </is>
      </c>
      <c r="C1314" s="19" t="n">
        <v>32684503</v>
      </c>
      <c r="D1314" s="18" t="inlineStr">
        <is>
          <t>YE</t>
        </is>
      </c>
      <c r="E1314" s="18" t="inlineStr">
        <is>
          <t>25</t>
        </is>
      </c>
      <c r="F1314" s="20" t="n">
        <v>615222</v>
      </c>
      <c r="G1314" s="18" t="n"/>
      <c r="H1314" s="18" t="inlineStr">
        <is>
          <t>TAI</t>
        </is>
      </c>
      <c r="I1314" s="18" t="inlineStr">
        <is>
          <t>Taiz International Airport</t>
        </is>
      </c>
      <c r="J1314" s="21" t="n">
        <v>17.4</v>
      </c>
      <c r="K1314" s="18" t="inlineStr">
        <is>
          <t>TAI</t>
        </is>
      </c>
      <c r="L1314" s="18" t="inlineStr">
        <is>
          <t>100k +  pop</t>
        </is>
      </c>
      <c r="M1314" s="22" t="n">
        <v>0</v>
      </c>
      <c r="N1314" s="22" t="n">
        <v>0</v>
      </c>
      <c r="O1314" s="18" t="n"/>
      <c r="P1314" s="22">
        <f>IF(O1314="",(About!$B$5*M1314+About!$B$6*N1314)/(About!$B$5+About!$B$6),About!$B$5*M1314+About!$B$6*N1314+About!$B$7*O1314)</f>
        <v/>
      </c>
      <c r="Q1314" s="23" t="n">
        <v>13.5795</v>
      </c>
      <c r="R1314" s="23" t="n">
        <v>44.0209</v>
      </c>
    </row>
    <row r="1315" ht="15" customHeight="1" s="12">
      <c r="A1315" s="18" t="inlineStr">
        <is>
          <t>Cochin</t>
        </is>
      </c>
      <c r="B1315" s="18" t="inlineStr">
        <is>
          <t>India</t>
        </is>
      </c>
      <c r="C1315" s="19" t="n">
        <v>1417492000</v>
      </c>
      <c r="D1315" s="18" t="inlineStr">
        <is>
          <t>IN</t>
        </is>
      </c>
      <c r="E1315" s="18" t="inlineStr">
        <is>
          <t>13</t>
        </is>
      </c>
      <c r="F1315" s="20" t="n">
        <v>604696</v>
      </c>
      <c r="G1315" s="18" t="n"/>
      <c r="H1315" s="18" t="n"/>
      <c r="I1315" s="18" t="n"/>
      <c r="J1315" s="18" t="n"/>
      <c r="K1315" s="18" t="n"/>
      <c r="L1315" s="18" t="inlineStr">
        <is>
          <t>100k +  pop</t>
        </is>
      </c>
      <c r="M1315" s="22" t="n">
        <v>0</v>
      </c>
      <c r="N1315" s="22" t="n">
        <v>0</v>
      </c>
      <c r="O1315" s="18" t="n"/>
      <c r="P1315" s="22">
        <f>IF(O1315="",(About!$B$5*M1315+About!$B$6*N1315)/(About!$B$5+About!$B$6),About!$B$5*M1315+About!$B$6*N1315+About!$B$7*O1315)</f>
        <v/>
      </c>
      <c r="Q1315" s="23" t="n">
        <v>9.9399</v>
      </c>
      <c r="R1315" s="23" t="n">
        <v>76.2602</v>
      </c>
    </row>
    <row r="1316" ht="15" customHeight="1" s="12">
      <c r="A1316" s="18" t="inlineStr">
        <is>
          <t>Islamabad</t>
        </is>
      </c>
      <c r="B1316" s="18" t="inlineStr">
        <is>
          <t>Pakistan</t>
        </is>
      </c>
      <c r="C1316" s="19" t="n">
        <v>241499431</v>
      </c>
      <c r="D1316" s="18" t="inlineStr">
        <is>
          <t>PK</t>
        </is>
      </c>
      <c r="E1316" s="18" t="inlineStr">
        <is>
          <t>08</t>
        </is>
      </c>
      <c r="F1316" s="20" t="n">
        <v>601600</v>
      </c>
      <c r="G1316" s="18" t="inlineStr">
        <is>
          <t>Yes</t>
        </is>
      </c>
      <c r="H1316" s="18" t="n"/>
      <c r="I1316" s="18" t="n"/>
      <c r="J1316" s="18" t="n"/>
      <c r="K1316" s="18" t="n"/>
      <c r="L1316" s="18" t="inlineStr">
        <is>
          <t>100k +  pop + capital</t>
        </is>
      </c>
      <c r="M1316" s="22" t="n">
        <v>0</v>
      </c>
      <c r="N1316" s="22" t="n">
        <v>0</v>
      </c>
      <c r="O1316" s="18" t="n"/>
      <c r="P1316" s="22">
        <f>IF(O1316="",(About!$B$5*M1316+About!$B$6*N1316)/(About!$B$5+About!$B$6),About!$B$5*M1316+About!$B$6*N1316+About!$B$7*O1316)</f>
        <v/>
      </c>
      <c r="Q1316" s="23" t="n">
        <v>33.7215</v>
      </c>
      <c r="R1316" s="23" t="n">
        <v>73.0433</v>
      </c>
    </row>
    <row r="1317" ht="15" customHeight="1" s="12">
      <c r="A1317" s="18" t="inlineStr">
        <is>
          <t>Kirkuk</t>
        </is>
      </c>
      <c r="B1317" s="18" t="inlineStr">
        <is>
          <t>Iraq</t>
        </is>
      </c>
      <c r="C1317" s="19" t="n">
        <v>46118793</v>
      </c>
      <c r="D1317" s="18" t="inlineStr">
        <is>
          <t>IQ</t>
        </is>
      </c>
      <c r="E1317" s="18" t="inlineStr">
        <is>
          <t>13</t>
        </is>
      </c>
      <c r="F1317" s="20" t="n">
        <v>601433</v>
      </c>
      <c r="G1317" s="18" t="n"/>
      <c r="H1317" s="18" t="inlineStr">
        <is>
          <t>KIK</t>
        </is>
      </c>
      <c r="I1317" s="18" t="inlineStr">
        <is>
          <t>Kirkuk International Airport</t>
        </is>
      </c>
      <c r="J1317" s="21" t="n">
        <v>3.9</v>
      </c>
      <c r="K1317" s="18" t="inlineStr">
        <is>
          <t>KIK</t>
        </is>
      </c>
      <c r="L1317" s="18" t="inlineStr">
        <is>
          <t>100k +  pop + airport</t>
        </is>
      </c>
      <c r="M1317" s="22" t="n">
        <v>0</v>
      </c>
      <c r="N1317" s="22" t="n">
        <v>0</v>
      </c>
      <c r="O1317" s="18" t="n"/>
      <c r="P1317" s="22">
        <f>IF(O1317="",(About!$B$5*M1317+About!$B$6*N1317)/(About!$B$5+About!$B$6),About!$B$5*M1317+About!$B$6*N1317+About!$B$7*O1317)</f>
        <v/>
      </c>
      <c r="Q1317" s="23" t="n">
        <v>35.4681</v>
      </c>
      <c r="R1317" s="23" t="n">
        <v>44.3922</v>
      </c>
    </row>
    <row r="1318" ht="15" customHeight="1" s="12">
      <c r="A1318" s="18" t="inlineStr">
        <is>
          <t>Essen</t>
        </is>
      </c>
      <c r="B1318" s="18" t="inlineStr">
        <is>
          <t>Germany</t>
        </is>
      </c>
      <c r="C1318" s="19" t="n">
        <v>83497147</v>
      </c>
      <c r="D1318" s="18" t="inlineStr">
        <is>
          <t>DE</t>
        </is>
      </c>
      <c r="E1318" s="18" t="inlineStr">
        <is>
          <t>07</t>
        </is>
      </c>
      <c r="F1318" s="20" t="n">
        <v>593085</v>
      </c>
      <c r="G1318" s="18" t="n"/>
      <c r="H1318" s="18" t="n"/>
      <c r="I1318" s="18" t="n"/>
      <c r="J1318" s="18" t="n"/>
      <c r="K1318" s="18" t="n"/>
      <c r="L1318" s="18" t="inlineStr">
        <is>
          <t>100k +  pop</t>
        </is>
      </c>
      <c r="M1318" s="22" t="n">
        <v>0</v>
      </c>
      <c r="N1318" s="22" t="n">
        <v>0</v>
      </c>
      <c r="O1318" s="18" t="n"/>
      <c r="P1318" s="22">
        <f>IF(O1318="",(About!$B$5*M1318+About!$B$6*N1318)/(About!$B$5+About!$B$6),About!$B$5*M1318+About!$B$6*N1318+About!$B$7*O1318)</f>
        <v/>
      </c>
      <c r="Q1318" s="23" t="n">
        <v>51.4566</v>
      </c>
      <c r="R1318" s="23" t="n">
        <v>7.0123</v>
      </c>
    </row>
    <row r="1319" ht="15" customHeight="1" s="12">
      <c r="A1319" s="18" t="inlineStr">
        <is>
          <t>Vladivostok</t>
        </is>
      </c>
      <c r="B1319" s="18" t="inlineStr">
        <is>
          <t>Russia</t>
        </is>
      </c>
      <c r="C1319" s="19" t="n">
        <v>146028325</v>
      </c>
      <c r="D1319" s="18" t="inlineStr">
        <is>
          <t>RU</t>
        </is>
      </c>
      <c r="E1319" s="18" t="inlineStr">
        <is>
          <t>59</t>
        </is>
      </c>
      <c r="F1319" s="20" t="n">
        <v>587022</v>
      </c>
      <c r="G1319" s="18" t="n"/>
      <c r="H1319" s="18" t="n"/>
      <c r="I1319" s="18" t="n"/>
      <c r="J1319" s="18" t="n"/>
      <c r="K1319" s="18" t="n"/>
      <c r="L1319" s="18" t="inlineStr">
        <is>
          <t>100k +  pop</t>
        </is>
      </c>
      <c r="M1319" s="22" t="n">
        <v>0</v>
      </c>
      <c r="N1319" s="22" t="n">
        <v>0</v>
      </c>
      <c r="O1319" s="18" t="n"/>
      <c r="P1319" s="22">
        <f>IF(O1319="",(About!$B$5*M1319+About!$B$6*N1319)/(About!$B$5+About!$B$6),About!$B$5*M1319+About!$B$6*N1319+About!$B$7*O1319)</f>
        <v/>
      </c>
      <c r="Q1319" s="23" t="n">
        <v>43.1056</v>
      </c>
      <c r="R1319" s="23" t="n">
        <v>131.8735</v>
      </c>
    </row>
    <row r="1320" ht="15" customHeight="1" s="12">
      <c r="A1320" s="18" t="inlineStr">
        <is>
          <t>Hamhŭng</t>
        </is>
      </c>
      <c r="B1320" s="18" t="inlineStr">
        <is>
          <t>North Korea</t>
        </is>
      </c>
      <c r="C1320" s="19" t="n">
        <v>25950000</v>
      </c>
      <c r="D1320" s="18" t="inlineStr">
        <is>
          <t>KP</t>
        </is>
      </c>
      <c r="E1320" s="18" t="inlineStr">
        <is>
          <t>03</t>
        </is>
      </c>
      <c r="F1320" s="20" t="n">
        <v>559056</v>
      </c>
      <c r="G1320" s="18" t="n"/>
      <c r="H1320" s="18" t="inlineStr">
        <is>
          <t>DSO</t>
        </is>
      </c>
      <c r="I1320" s="18" t="inlineStr">
        <is>
          <t>Sondok Airport</t>
        </is>
      </c>
      <c r="J1320" s="21" t="n">
        <v>20</v>
      </c>
      <c r="K1320" s="18" t="inlineStr">
        <is>
          <t>DSO</t>
        </is>
      </c>
      <c r="L1320" s="18" t="inlineStr">
        <is>
          <t>100k +  pop</t>
        </is>
      </c>
      <c r="M1320" s="22" t="n">
        <v>0</v>
      </c>
      <c r="N1320" s="22" t="n">
        <v>0</v>
      </c>
      <c r="O1320" s="18" t="n"/>
      <c r="P1320" s="22">
        <f>IF(O1320="",(About!$B$5*M1320+About!$B$6*N1320)/(About!$B$5+About!$B$6),About!$B$5*M1320+About!$B$6*N1320+About!$B$7*O1320)</f>
        <v/>
      </c>
      <c r="Q1320" s="23" t="n">
        <v>39.9183</v>
      </c>
      <c r="R1320" s="23" t="n">
        <v>127.5364</v>
      </c>
    </row>
    <row r="1321" ht="15" customHeight="1" s="12">
      <c r="A1321" s="18" t="inlineStr">
        <is>
          <t>Meknès</t>
        </is>
      </c>
      <c r="B1321" s="18" t="inlineStr">
        <is>
          <t>Morocco</t>
        </is>
      </c>
      <c r="C1321" s="19" t="n">
        <v>36828330</v>
      </c>
      <c r="D1321" s="18" t="inlineStr">
        <is>
          <t>MA</t>
        </is>
      </c>
      <c r="E1321" s="18" t="inlineStr">
        <is>
          <t>03</t>
        </is>
      </c>
      <c r="F1321" s="20" t="n">
        <v>545705</v>
      </c>
      <c r="G1321" s="18" t="n"/>
      <c r="H1321" s="18" t="n"/>
      <c r="I1321" s="18" t="n"/>
      <c r="J1321" s="18" t="n"/>
      <c r="K1321" s="18" t="n"/>
      <c r="L1321" s="18" t="inlineStr">
        <is>
          <t>100k +  pop</t>
        </is>
      </c>
      <c r="M1321" s="22" t="n">
        <v>0</v>
      </c>
      <c r="N1321" s="22" t="n">
        <v>0</v>
      </c>
      <c r="O1321" s="18" t="n"/>
      <c r="P1321" s="22">
        <f>IF(O1321="",(About!$B$5*M1321+About!$B$6*N1321)/(About!$B$5+About!$B$6),About!$B$5*M1321+About!$B$6*N1321+About!$B$7*O1321)</f>
        <v/>
      </c>
      <c r="Q1321" s="23" t="n">
        <v>33.8935</v>
      </c>
      <c r="R1321" s="23" t="n">
        <v>-5.5473</v>
      </c>
    </row>
    <row r="1322" ht="15" customHeight="1" s="12">
      <c r="A1322" s="18" t="inlineStr">
        <is>
          <t>Sargodha</t>
        </is>
      </c>
      <c r="B1322" s="18" t="inlineStr">
        <is>
          <t>Pakistan</t>
        </is>
      </c>
      <c r="C1322" s="19" t="n">
        <v>241499431</v>
      </c>
      <c r="D1322" s="18" t="inlineStr">
        <is>
          <t>PK</t>
        </is>
      </c>
      <c r="E1322" s="18" t="inlineStr">
        <is>
          <t>04</t>
        </is>
      </c>
      <c r="F1322" s="20" t="n">
        <v>542603</v>
      </c>
      <c r="G1322" s="18" t="n"/>
      <c r="H1322" s="18" t="n"/>
      <c r="I1322" s="18" t="n"/>
      <c r="J1322" s="18" t="n"/>
      <c r="K1322" s="18" t="n"/>
      <c r="L1322" s="18" t="inlineStr">
        <is>
          <t>100k +  pop</t>
        </is>
      </c>
      <c r="M1322" s="22" t="n">
        <v>0</v>
      </c>
      <c r="N1322" s="22" t="n">
        <v>0</v>
      </c>
      <c r="O1322" s="18" t="n"/>
      <c r="P1322" s="22">
        <f>IF(O1322="",(About!$B$5*M1322+About!$B$6*N1322)/(About!$B$5+About!$B$6),About!$B$5*M1322+About!$B$6*N1322+About!$B$7*O1322)</f>
        <v/>
      </c>
      <c r="Q1322" s="23" t="n">
        <v>32.0859</v>
      </c>
      <c r="R1322" s="23" t="n">
        <v>72.6742</v>
      </c>
    </row>
    <row r="1323" ht="15" customHeight="1" s="12">
      <c r="A1323" s="18" t="inlineStr">
        <is>
          <t>Port Said</t>
        </is>
      </c>
      <c r="B1323" s="18" t="inlineStr">
        <is>
          <t>Egypt</t>
        </is>
      </c>
      <c r="C1323" s="19" t="n">
        <v>108613296</v>
      </c>
      <c r="D1323" s="18" t="inlineStr">
        <is>
          <t>EG</t>
        </is>
      </c>
      <c r="E1323" s="18" t="inlineStr">
        <is>
          <t>19</t>
        </is>
      </c>
      <c r="F1323" s="20" t="n">
        <v>538378</v>
      </c>
      <c r="G1323" s="18" t="n"/>
      <c r="H1323" s="18" t="inlineStr">
        <is>
          <t>PSD</t>
        </is>
      </c>
      <c r="I1323" s="18" t="inlineStr">
        <is>
          <t>Port Said International Airport</t>
        </is>
      </c>
      <c r="J1323" s="21" t="n">
        <v>6</v>
      </c>
      <c r="K1323" s="18" t="inlineStr">
        <is>
          <t>PSD</t>
        </is>
      </c>
      <c r="L1323" s="18" t="inlineStr">
        <is>
          <t>100k +  pop + airport</t>
        </is>
      </c>
      <c r="M1323" s="22" t="n">
        <v>0</v>
      </c>
      <c r="N1323" s="22" t="n">
        <v>0</v>
      </c>
      <c r="O1323" s="18" t="n"/>
      <c r="P1323" s="22">
        <f>IF(O1323="",(About!$B$5*M1323+About!$B$6*N1323)/(About!$B$5+About!$B$6),About!$B$5*M1323+About!$B$6*N1323+About!$B$7*O1323)</f>
        <v/>
      </c>
      <c r="Q1323" s="23" t="n">
        <v>31.2653</v>
      </c>
      <c r="R1323" s="23" t="n">
        <v>32.3019</v>
      </c>
    </row>
    <row r="1324" ht="15" customHeight="1" s="12">
      <c r="A1324" s="18" t="inlineStr">
        <is>
          <t>Mersin</t>
        </is>
      </c>
      <c r="B1324" s="18" t="inlineStr">
        <is>
          <t>Türkiye</t>
        </is>
      </c>
      <c r="C1324" s="19" t="n">
        <v>86092168</v>
      </c>
      <c r="D1324" s="18" t="inlineStr">
        <is>
          <t>TR</t>
        </is>
      </c>
      <c r="E1324" s="18" t="inlineStr">
        <is>
          <t>32</t>
        </is>
      </c>
      <c r="F1324" s="20" t="n">
        <v>537842</v>
      </c>
      <c r="G1324" s="18" t="n"/>
      <c r="H1324" s="18" t="n"/>
      <c r="I1324" s="18" t="n"/>
      <c r="J1324" s="18" t="n"/>
      <c r="K1324" s="18" t="n"/>
      <c r="L1324" s="18" t="inlineStr">
        <is>
          <t>100k +  pop</t>
        </is>
      </c>
      <c r="M1324" s="22" t="n">
        <v>0</v>
      </c>
      <c r="N1324" s="22" t="n">
        <v>0</v>
      </c>
      <c r="O1324" s="18" t="n"/>
      <c r="P1324" s="22">
        <f>IF(O1324="",(About!$B$5*M1324+About!$B$6*N1324)/(About!$B$5+About!$B$6),About!$B$5*M1324+About!$B$6*N1324+About!$B$7*O1324)</f>
        <v/>
      </c>
      <c r="Q1324" s="23" t="n">
        <v>36.812</v>
      </c>
      <c r="R1324" s="23" t="n">
        <v>34.6389</v>
      </c>
    </row>
    <row r="1325" ht="15" customHeight="1" s="12">
      <c r="A1325" s="18" t="inlineStr">
        <is>
          <t>Touba</t>
        </is>
      </c>
      <c r="B1325" s="18" t="inlineStr">
        <is>
          <t>Senegal</t>
        </is>
      </c>
      <c r="C1325" s="19" t="n">
        <v>19075959</v>
      </c>
      <c r="D1325" s="18" t="inlineStr">
        <is>
          <t>SN</t>
        </is>
      </c>
      <c r="E1325" s="18" t="inlineStr">
        <is>
          <t>03</t>
        </is>
      </c>
      <c r="F1325" s="20" t="n">
        <v>529176</v>
      </c>
      <c r="G1325" s="18" t="n"/>
      <c r="H1325" s="18" t="n"/>
      <c r="I1325" s="18" t="n"/>
      <c r="J1325" s="18" t="n"/>
      <c r="K1325" s="18" t="n"/>
      <c r="L1325" s="18" t="inlineStr">
        <is>
          <t>100k +  pop</t>
        </is>
      </c>
      <c r="M1325" s="22" t="n">
        <v>0</v>
      </c>
      <c r="N1325" s="22" t="n">
        <v>0</v>
      </c>
      <c r="O1325" s="18" t="n"/>
      <c r="P1325" s="22">
        <f>IF(O1325="",(About!$B$5*M1325+About!$B$6*N1325)/(About!$B$5+About!$B$6),About!$B$5*M1325+About!$B$6*N1325+About!$B$7*O1325)</f>
        <v/>
      </c>
      <c r="Q1325" s="23" t="n">
        <v>14.85</v>
      </c>
      <c r="R1325" s="23" t="n">
        <v>-15.8833</v>
      </c>
    </row>
    <row r="1326" ht="15" customHeight="1" s="12">
      <c r="A1326" s="18" t="inlineStr">
        <is>
          <t>Hamadān</t>
        </is>
      </c>
      <c r="B1326" s="18" t="inlineStr">
        <is>
          <t>Iran</t>
        </is>
      </c>
      <c r="C1326" s="19" t="n">
        <v>87134000</v>
      </c>
      <c r="D1326" s="18" t="inlineStr">
        <is>
          <t>IR</t>
        </is>
      </c>
      <c r="E1326" s="18" t="inlineStr">
        <is>
          <t>09</t>
        </is>
      </c>
      <c r="F1326" s="20" t="n">
        <v>528256</v>
      </c>
      <c r="G1326" s="18" t="n"/>
      <c r="H1326" s="18" t="inlineStr">
        <is>
          <t>HDM</t>
        </is>
      </c>
      <c r="I1326" s="18" t="inlineStr">
        <is>
          <t>Hamadan Airport</t>
        </is>
      </c>
      <c r="J1326" s="21" t="n">
        <v>8.6</v>
      </c>
      <c r="K1326" s="18" t="inlineStr">
        <is>
          <t>HDM</t>
        </is>
      </c>
      <c r="L1326" s="18" t="inlineStr">
        <is>
          <t>100k +  pop + airport</t>
        </is>
      </c>
      <c r="M1326" s="22" t="n">
        <v>0</v>
      </c>
      <c r="N1326" s="22" t="n">
        <v>0</v>
      </c>
      <c r="O1326" s="18" t="n"/>
      <c r="P1326" s="22">
        <f>IF(O1326="",(About!$B$5*M1326+About!$B$6*N1326)/(About!$B$5+About!$B$6),About!$B$5*M1326+About!$B$6*N1326+About!$B$7*O1326)</f>
        <v/>
      </c>
      <c r="Q1326" s="23" t="n">
        <v>34.7992</v>
      </c>
      <c r="R1326" s="23" t="n">
        <v>48.5146</v>
      </c>
    </row>
    <row r="1327" ht="15" customHeight="1" s="12">
      <c r="A1327" s="18" t="inlineStr">
        <is>
          <t>San Salvador</t>
        </is>
      </c>
      <c r="B1327" s="18" t="inlineStr">
        <is>
          <t>El Salvador</t>
        </is>
      </c>
      <c r="C1327" s="19" t="n">
        <v>6029976</v>
      </c>
      <c r="D1327" s="18" t="inlineStr">
        <is>
          <t>SV</t>
        </is>
      </c>
      <c r="E1327" s="18" t="inlineStr">
        <is>
          <t>10</t>
        </is>
      </c>
      <c r="F1327" s="20" t="n">
        <v>525990</v>
      </c>
      <c r="G1327" s="18" t="inlineStr">
        <is>
          <t>Yes</t>
        </is>
      </c>
      <c r="H1327" s="18" t="inlineStr">
        <is>
          <t>ILS</t>
        </is>
      </c>
      <c r="I1327" s="18" t="inlineStr">
        <is>
          <t>Ilopango International Airport</t>
        </is>
      </c>
      <c r="J1327" s="21" t="n">
        <v>7.4</v>
      </c>
      <c r="K1327" s="18" t="inlineStr">
        <is>
          <t>ILS</t>
        </is>
      </c>
      <c r="L1327" s="18" t="inlineStr">
        <is>
          <t>100k +  pop + capital + airport</t>
        </is>
      </c>
      <c r="M1327" s="22" t="n">
        <v>0</v>
      </c>
      <c r="N1327" s="22" t="n">
        <v>0</v>
      </c>
      <c r="O1327" s="18" t="n"/>
      <c r="P1327" s="22">
        <f>IF(O1327="",(About!$B$5*M1327+About!$B$6*N1327)/(About!$B$5+About!$B$6),About!$B$5*M1327+About!$B$6*N1327+About!$B$7*O1327)</f>
        <v/>
      </c>
      <c r="Q1327" s="23" t="n">
        <v>13.6893</v>
      </c>
      <c r="R1327" s="23" t="n">
        <v>-89.1872</v>
      </c>
    </row>
    <row r="1328" ht="15" customHeight="1" s="12">
      <c r="A1328" s="18" t="inlineStr">
        <is>
          <t>Āzādshahr</t>
        </is>
      </c>
      <c r="B1328" s="18" t="inlineStr">
        <is>
          <t>Iran</t>
        </is>
      </c>
      <c r="C1328" s="19" t="n">
        <v>87134000</v>
      </c>
      <c r="D1328" s="18" t="inlineStr">
        <is>
          <t>IR</t>
        </is>
      </c>
      <c r="E1328" s="18" t="inlineStr">
        <is>
          <t>09</t>
        </is>
      </c>
      <c r="F1328" s="20" t="n">
        <v>514102</v>
      </c>
      <c r="G1328" s="18" t="n"/>
      <c r="H1328" s="18" t="inlineStr">
        <is>
          <t>HDM</t>
        </is>
      </c>
      <c r="I1328" s="18" t="inlineStr">
        <is>
          <t>Hamadan Airport</t>
        </is>
      </c>
      <c r="J1328" s="21" t="n">
        <v>8.5</v>
      </c>
      <c r="K1328" s="18" t="inlineStr">
        <is>
          <t>HDM</t>
        </is>
      </c>
      <c r="L1328" s="18" t="inlineStr">
        <is>
          <t>100k +  pop + airport</t>
        </is>
      </c>
      <c r="M1328" s="22" t="n">
        <v>0</v>
      </c>
      <c r="N1328" s="22" t="n">
        <v>0</v>
      </c>
      <c r="O1328" s="18" t="n"/>
      <c r="P1328" s="22">
        <f>IF(O1328="",(About!$B$5*M1328+About!$B$6*N1328)/(About!$B$5+About!$B$6),About!$B$5*M1328+About!$B$6*N1328+About!$B$7*O1328)</f>
        <v/>
      </c>
      <c r="Q1328" s="23" t="n">
        <v>34.7905</v>
      </c>
      <c r="R1328" s="23" t="n">
        <v>48.5701</v>
      </c>
    </row>
    <row r="1329" ht="15" customHeight="1" s="12">
      <c r="A1329" s="18" t="inlineStr">
        <is>
          <t>Leicester</t>
        </is>
      </c>
      <c r="B1329" s="18" t="inlineStr">
        <is>
          <t>United Kingdom</t>
        </is>
      </c>
      <c r="C1329" s="19" t="n">
        <v>69487000</v>
      </c>
      <c r="D1329" s="18" t="inlineStr">
        <is>
          <t>GB</t>
        </is>
      </c>
      <c r="E1329" s="18" t="inlineStr">
        <is>
          <t>ENG</t>
        </is>
      </c>
      <c r="F1329" s="20" t="n">
        <v>508916</v>
      </c>
      <c r="G1329" s="18" t="n"/>
      <c r="H1329" s="18" t="n"/>
      <c r="I1329" s="18" t="n"/>
      <c r="J1329" s="18" t="n"/>
      <c r="K1329" s="18" t="n"/>
      <c r="L1329" s="18" t="inlineStr">
        <is>
          <t>100k +  pop</t>
        </is>
      </c>
      <c r="M1329" s="22" t="n">
        <v>0</v>
      </c>
      <c r="N1329" s="22" t="n">
        <v>0</v>
      </c>
      <c r="O1329" s="18" t="n"/>
      <c r="P1329" s="22">
        <f>IF(O1329="",(About!$B$5*M1329+About!$B$6*N1329)/(About!$B$5+About!$B$6),About!$B$5*M1329+About!$B$6*N1329+About!$B$7*O1329)</f>
        <v/>
      </c>
      <c r="Q1329" s="23" t="n">
        <v>52.6386</v>
      </c>
      <c r="R1329" s="23" t="n">
        <v>-1.1317</v>
      </c>
    </row>
    <row r="1330" ht="15" customHeight="1" s="12">
      <c r="A1330" s="18" t="inlineStr">
        <is>
          <t>Arāk</t>
        </is>
      </c>
      <c r="B1330" s="18" t="inlineStr">
        <is>
          <t>Iran</t>
        </is>
      </c>
      <c r="C1330" s="19" t="n">
        <v>87134000</v>
      </c>
      <c r="D1330" s="18" t="inlineStr">
        <is>
          <t>IR</t>
        </is>
      </c>
      <c r="E1330" s="18" t="inlineStr">
        <is>
          <t>34</t>
        </is>
      </c>
      <c r="F1330" s="20" t="n">
        <v>503647</v>
      </c>
      <c r="G1330" s="18" t="n"/>
      <c r="H1330" s="18" t="n"/>
      <c r="I1330" s="18" t="n"/>
      <c r="J1330" s="18" t="n"/>
      <c r="K1330" s="18" t="n"/>
      <c r="L1330" s="18" t="inlineStr">
        <is>
          <t>100k +  pop</t>
        </is>
      </c>
      <c r="M1330" s="22" t="n">
        <v>0</v>
      </c>
      <c r="N1330" s="22" t="n">
        <v>0</v>
      </c>
      <c r="O1330" s="18" t="n"/>
      <c r="P1330" s="22">
        <f>IF(O1330="",(About!$B$5*M1330+About!$B$6*N1330)/(About!$B$5+About!$B$6),About!$B$5*M1330+About!$B$6*N1330+About!$B$7*O1330)</f>
        <v/>
      </c>
      <c r="Q1330" s="23" t="n">
        <v>34.0949</v>
      </c>
      <c r="R1330" s="23" t="n">
        <v>49.6981</v>
      </c>
    </row>
    <row r="1331" ht="15" customHeight="1" s="12">
      <c r="A1331" s="18" t="inlineStr">
        <is>
          <t>Jianshui</t>
        </is>
      </c>
      <c r="B1331" s="18" t="inlineStr">
        <is>
          <t>China</t>
        </is>
      </c>
      <c r="C1331" s="19" t="n">
        <v>1404890000</v>
      </c>
      <c r="D1331" s="18" t="inlineStr">
        <is>
          <t>CN</t>
        </is>
      </c>
      <c r="E1331" s="18" t="inlineStr">
        <is>
          <t>29</t>
        </is>
      </c>
      <c r="F1331" s="20" t="n">
        <v>490000</v>
      </c>
      <c r="G1331" s="18" t="n"/>
      <c r="H1331" s="18" t="n"/>
      <c r="I1331" s="18" t="n"/>
      <c r="J1331" s="18" t="n"/>
      <c r="K1331" s="18" t="n"/>
      <c r="L1331" s="18" t="inlineStr">
        <is>
          <t>100k +  pop</t>
        </is>
      </c>
      <c r="M1331" s="22" t="n">
        <v>0</v>
      </c>
      <c r="N1331" s="22" t="n">
        <v>0</v>
      </c>
      <c r="O1331" s="18" t="n"/>
      <c r="P1331" s="22">
        <f>IF(O1331="",(About!$B$5*M1331+About!$B$6*N1331)/(About!$B$5+About!$B$6),About!$B$5*M1331+About!$B$6*N1331+About!$B$7*O1331)</f>
        <v/>
      </c>
      <c r="Q1331" s="23" t="n">
        <v>24.2774</v>
      </c>
      <c r="R1331" s="23" t="n">
        <v>101.224</v>
      </c>
    </row>
    <row r="1332" ht="15" customHeight="1" s="12">
      <c r="A1332" s="18" t="inlineStr">
        <is>
          <t>Suez</t>
        </is>
      </c>
      <c r="B1332" s="18" t="inlineStr">
        <is>
          <t>Egypt</t>
        </is>
      </c>
      <c r="C1332" s="19" t="n">
        <v>108613296</v>
      </c>
      <c r="D1332" s="18" t="inlineStr">
        <is>
          <t>EG</t>
        </is>
      </c>
      <c r="E1332" s="18" t="inlineStr">
        <is>
          <t>15</t>
        </is>
      </c>
      <c r="F1332" s="20" t="n">
        <v>488125</v>
      </c>
      <c r="G1332" s="18" t="n"/>
      <c r="H1332" s="18" t="n"/>
      <c r="I1332" s="18" t="n"/>
      <c r="J1332" s="18" t="n"/>
      <c r="K1332" s="18" t="n"/>
      <c r="L1332" s="18" t="inlineStr">
        <is>
          <t>100k +  pop</t>
        </is>
      </c>
      <c r="M1332" s="22" t="n">
        <v>0</v>
      </c>
      <c r="N1332" s="22" t="n">
        <v>0</v>
      </c>
      <c r="O1332" s="18" t="n"/>
      <c r="P1332" s="22">
        <f>IF(O1332="",(About!$B$5*M1332+About!$B$6*N1332)/(About!$B$5+About!$B$6),About!$B$5*M1332+About!$B$6*N1332+About!$B$7*O1332)</f>
        <v/>
      </c>
      <c r="Q1332" s="23" t="n">
        <v>29.9737</v>
      </c>
      <c r="R1332" s="23" t="n">
        <v>32.5263</v>
      </c>
    </row>
    <row r="1333" ht="15" customHeight="1" s="12">
      <c r="A1333" s="18" t="inlineStr">
        <is>
          <t>Himeji</t>
        </is>
      </c>
      <c r="B1333" s="18" t="inlineStr">
        <is>
          <t>Japan</t>
        </is>
      </c>
      <c r="C1333" s="19" t="n">
        <v>122810000</v>
      </c>
      <c r="D1333" s="18" t="inlineStr">
        <is>
          <t>JP</t>
        </is>
      </c>
      <c r="E1333" s="18" t="inlineStr">
        <is>
          <t>13</t>
        </is>
      </c>
      <c r="F1333" s="20" t="n">
        <v>481493</v>
      </c>
      <c r="G1333" s="18" t="n"/>
      <c r="H1333" s="18" t="n"/>
      <c r="I1333" s="18" t="n"/>
      <c r="J1333" s="18" t="n"/>
      <c r="K1333" s="18" t="n"/>
      <c r="L1333" s="18" t="inlineStr">
        <is>
          <t>100k +  pop</t>
        </is>
      </c>
      <c r="M1333" s="22" t="n">
        <v>0</v>
      </c>
      <c r="N1333" s="22" t="n">
        <v>0</v>
      </c>
      <c r="O1333" s="18" t="n"/>
      <c r="P1333" s="22">
        <f>IF(O1333="",(About!$B$5*M1333+About!$B$6*N1333)/(About!$B$5+About!$B$6),About!$B$5*M1333+About!$B$6*N1333+About!$B$7*O1333)</f>
        <v/>
      </c>
      <c r="Q1333" s="23" t="n">
        <v>34.8167</v>
      </c>
      <c r="R1333" s="23" t="n">
        <v>134.7</v>
      </c>
    </row>
    <row r="1334" ht="15" customHeight="1" s="12">
      <c r="A1334" s="18" t="inlineStr">
        <is>
          <t>Homyel'</t>
        </is>
      </c>
      <c r="B1334" s="18" t="inlineStr">
        <is>
          <t>Belarus</t>
        </is>
      </c>
      <c r="C1334" s="19" t="n">
        <v>9056080</v>
      </c>
      <c r="D1334" s="18" t="inlineStr">
        <is>
          <t>BY</t>
        </is>
      </c>
      <c r="E1334" s="18" t="inlineStr">
        <is>
          <t>02</t>
        </is>
      </c>
      <c r="F1334" s="20" t="n">
        <v>480951</v>
      </c>
      <c r="G1334" s="18" t="n"/>
      <c r="H1334" s="18" t="inlineStr">
        <is>
          <t>GME</t>
        </is>
      </c>
      <c r="I1334" s="18" t="inlineStr">
        <is>
          <t>Gomel Airport</t>
        </is>
      </c>
      <c r="J1334" s="21" t="n">
        <v>10.7</v>
      </c>
      <c r="K1334" s="18" t="inlineStr">
        <is>
          <t>GME</t>
        </is>
      </c>
      <c r="L1334" s="18" t="inlineStr">
        <is>
          <t>100k +  pop</t>
        </is>
      </c>
      <c r="M1334" s="22" t="n">
        <v>0</v>
      </c>
      <c r="N1334" s="22" t="n">
        <v>0</v>
      </c>
      <c r="O1334" s="18" t="n"/>
      <c r="P1334" s="22">
        <f>IF(O1334="",(About!$B$5*M1334+About!$B$6*N1334)/(About!$B$5+About!$B$6),About!$B$5*M1334+About!$B$6*N1334+About!$B$7*O1334)</f>
        <v/>
      </c>
      <c r="Q1334" s="23" t="n">
        <v>52.4345</v>
      </c>
      <c r="R1334" s="23" t="n">
        <v>30.9754</v>
      </c>
    </row>
    <row r="1335" ht="15" customHeight="1" s="12">
      <c r="A1335" s="18" t="inlineStr">
        <is>
          <t>Hwaseong-si</t>
        </is>
      </c>
      <c r="B1335" s="18" t="inlineStr">
        <is>
          <t>South Korea</t>
        </is>
      </c>
      <c r="C1335" s="19" t="n">
        <v>51111158</v>
      </c>
      <c r="D1335" s="18" t="inlineStr">
        <is>
          <t>KR</t>
        </is>
      </c>
      <c r="E1335" s="18" t="inlineStr">
        <is>
          <t>13</t>
        </is>
      </c>
      <c r="F1335" s="20" t="n">
        <v>476297</v>
      </c>
      <c r="G1335" s="18" t="n"/>
      <c r="H1335" s="18" t="n"/>
      <c r="I1335" s="18" t="n"/>
      <c r="J1335" s="18" t="n"/>
      <c r="K1335" s="18" t="n"/>
      <c r="L1335" s="18" t="inlineStr">
        <is>
          <t>100k +  pop</t>
        </is>
      </c>
      <c r="M1335" s="22" t="n">
        <v>0</v>
      </c>
      <c r="N1335" s="22" t="n">
        <v>0</v>
      </c>
      <c r="O1335" s="18" t="n"/>
      <c r="P1335" s="22">
        <f>IF(O1335="",(About!$B$5*M1335+About!$B$6*N1335)/(About!$B$5+About!$B$6),About!$B$5*M1335+About!$B$6*N1335+About!$B$7*O1335)</f>
        <v/>
      </c>
      <c r="Q1335" s="23" t="n">
        <v>37.2068</v>
      </c>
      <c r="R1335" s="23" t="n">
        <v>126.8169</v>
      </c>
    </row>
    <row r="1336" ht="15" customHeight="1" s="12">
      <c r="A1336" s="18" t="inlineStr">
        <is>
          <t>Vereeniging</t>
        </is>
      </c>
      <c r="B1336" s="18" t="inlineStr">
        <is>
          <t>South Africa</t>
        </is>
      </c>
      <c r="C1336" s="19" t="n">
        <v>63100945</v>
      </c>
      <c r="D1336" s="18" t="inlineStr">
        <is>
          <t>ZA</t>
        </is>
      </c>
      <c r="E1336" s="18" t="inlineStr">
        <is>
          <t>06</t>
        </is>
      </c>
      <c r="F1336" s="20" t="n">
        <v>474681</v>
      </c>
      <c r="G1336" s="18" t="n"/>
      <c r="H1336" s="18" t="n"/>
      <c r="I1336" s="18" t="n"/>
      <c r="J1336" s="18" t="n"/>
      <c r="K1336" s="18" t="n"/>
      <c r="L1336" s="18" t="inlineStr">
        <is>
          <t>100k +  pop</t>
        </is>
      </c>
      <c r="M1336" s="22" t="n">
        <v>0</v>
      </c>
      <c r="N1336" s="22" t="n">
        <v>0</v>
      </c>
      <c r="O1336" s="18" t="n"/>
      <c r="P1336" s="22">
        <f>IF(O1336="",(About!$B$5*M1336+About!$B$6*N1336)/(About!$B$5+About!$B$6),About!$B$5*M1336+About!$B$6*N1336+About!$B$7*O1336)</f>
        <v/>
      </c>
      <c r="Q1336" s="23" t="n">
        <v>-26.6731</v>
      </c>
      <c r="R1336" s="23" t="n">
        <v>27.9261</v>
      </c>
    </row>
    <row r="1337" ht="15" customHeight="1" s="12">
      <c r="A1337" s="18" t="inlineStr">
        <is>
          <t>Namp’o</t>
        </is>
      </c>
      <c r="B1337" s="18" t="inlineStr">
        <is>
          <t>North Korea</t>
        </is>
      </c>
      <c r="C1337" s="19" t="n">
        <v>25950000</v>
      </c>
      <c r="D1337" s="18" t="inlineStr">
        <is>
          <t>KP</t>
        </is>
      </c>
      <c r="E1337" s="18" t="inlineStr">
        <is>
          <t>15</t>
        </is>
      </c>
      <c r="F1337" s="20" t="n">
        <v>455000</v>
      </c>
      <c r="G1337" s="18" t="n"/>
      <c r="H1337" s="18" t="n"/>
      <c r="I1337" s="18" t="n"/>
      <c r="J1337" s="18" t="n"/>
      <c r="K1337" s="18" t="n"/>
      <c r="L1337" s="18" t="inlineStr">
        <is>
          <t>100k +  pop</t>
        </is>
      </c>
      <c r="M1337" s="22" t="n">
        <v>0</v>
      </c>
      <c r="N1337" s="22" t="n">
        <v>0</v>
      </c>
      <c r="O1337" s="18" t="n"/>
      <c r="P1337" s="22">
        <f>IF(O1337="",(About!$B$5*M1337+About!$B$6*N1337)/(About!$B$5+About!$B$6),About!$B$5*M1337+About!$B$6*N1337+About!$B$7*O1337)</f>
        <v/>
      </c>
      <c r="Q1337" s="23" t="n">
        <v>38.7375</v>
      </c>
      <c r="R1337" s="23" t="n">
        <v>125.4078</v>
      </c>
    </row>
    <row r="1338" ht="15" customHeight="1" s="12">
      <c r="A1338" s="18" t="inlineStr">
        <is>
          <t>Cagayan de Oro</t>
        </is>
      </c>
      <c r="B1338" s="18" t="inlineStr">
        <is>
          <t>Philippines</t>
        </is>
      </c>
      <c r="C1338" s="19" t="n">
        <v>114123600</v>
      </c>
      <c r="D1338" s="18" t="inlineStr">
        <is>
          <t>PH</t>
        </is>
      </c>
      <c r="E1338" s="18" t="inlineStr">
        <is>
          <t>10</t>
        </is>
      </c>
      <c r="F1338" s="20" t="n">
        <v>445103</v>
      </c>
      <c r="G1338" s="18" t="n"/>
      <c r="H1338" s="18" t="n"/>
      <c r="I1338" s="18" t="n"/>
      <c r="J1338" s="18" t="n"/>
      <c r="K1338" s="18" t="n"/>
      <c r="L1338" s="18" t="inlineStr">
        <is>
          <t>100k +  pop</t>
        </is>
      </c>
      <c r="M1338" s="22" t="n">
        <v>0</v>
      </c>
      <c r="N1338" s="22" t="n">
        <v>0</v>
      </c>
      <c r="O1338" s="18" t="n"/>
      <c r="P1338" s="22">
        <f>IF(O1338="",(About!$B$5*M1338+About!$B$6*N1338)/(About!$B$5+About!$B$6),About!$B$5*M1338+About!$B$6*N1338+About!$B$7*O1338)</f>
        <v/>
      </c>
      <c r="Q1338" s="23" t="n">
        <v>8.482200000000001</v>
      </c>
      <c r="R1338" s="23" t="n">
        <v>124.6472</v>
      </c>
    </row>
    <row r="1339" ht="15" customHeight="1" s="12">
      <c r="A1339" s="18" t="inlineStr">
        <is>
          <t>Mawlamyine</t>
        </is>
      </c>
      <c r="B1339" s="18" t="inlineStr">
        <is>
          <t>Myanmar</t>
        </is>
      </c>
      <c r="C1339" s="19" t="n">
        <v>51375327</v>
      </c>
      <c r="D1339" s="18" t="inlineStr">
        <is>
          <t>MM</t>
        </is>
      </c>
      <c r="E1339" s="18" t="inlineStr">
        <is>
          <t>13</t>
        </is>
      </c>
      <c r="F1339" s="20" t="n">
        <v>438861</v>
      </c>
      <c r="G1339" s="18" t="n"/>
      <c r="H1339" s="18" t="inlineStr">
        <is>
          <t>MNU</t>
        </is>
      </c>
      <c r="I1339" s="18" t="inlineStr">
        <is>
          <t>Mawlamyine Airport</t>
        </is>
      </c>
      <c r="J1339" s="21" t="n">
        <v>6.2</v>
      </c>
      <c r="K1339" s="18" t="inlineStr">
        <is>
          <t>MNU</t>
        </is>
      </c>
      <c r="L1339" s="18" t="inlineStr">
        <is>
          <t>100k +  pop + airport</t>
        </is>
      </c>
      <c r="M1339" s="22" t="n">
        <v>0</v>
      </c>
      <c r="N1339" s="22" t="n">
        <v>0</v>
      </c>
      <c r="O1339" s="18" t="n"/>
      <c r="P1339" s="22">
        <f>IF(O1339="",(About!$B$5*M1339+About!$B$6*N1339)/(About!$B$5+About!$B$6),About!$B$5*M1339+About!$B$6*N1339+About!$B$7*O1339)</f>
        <v/>
      </c>
      <c r="Q1339" s="23" t="n">
        <v>16.4905</v>
      </c>
      <c r="R1339" s="23" t="n">
        <v>97.62820000000001</v>
      </c>
    </row>
    <row r="1340" ht="15" customHeight="1" s="12">
      <c r="A1340" s="18" t="inlineStr">
        <is>
          <t>Karbala</t>
        </is>
      </c>
      <c r="B1340" s="18" t="inlineStr">
        <is>
          <t>Iraq</t>
        </is>
      </c>
      <c r="C1340" s="19" t="n">
        <v>46118793</v>
      </c>
      <c r="D1340" s="18" t="inlineStr">
        <is>
          <t>IQ</t>
        </is>
      </c>
      <c r="E1340" s="18" t="inlineStr">
        <is>
          <t>12</t>
        </is>
      </c>
      <c r="F1340" s="20" t="n">
        <v>434450</v>
      </c>
      <c r="G1340" s="18" t="n"/>
      <c r="H1340" s="18" t="n"/>
      <c r="I1340" s="18" t="n"/>
      <c r="J1340" s="18" t="n"/>
      <c r="K1340" s="18" t="n"/>
      <c r="L1340" s="18" t="inlineStr">
        <is>
          <t>100k +  pop</t>
        </is>
      </c>
      <c r="M1340" s="22" t="n">
        <v>0</v>
      </c>
      <c r="N1340" s="22" t="n">
        <v>0</v>
      </c>
      <c r="O1340" s="18" t="n"/>
      <c r="P1340" s="22">
        <f>IF(O1340="",(About!$B$5*M1340+About!$B$6*N1340)/(About!$B$5+About!$B$6),About!$B$5*M1340+About!$B$6*N1340+About!$B$7*O1340)</f>
        <v/>
      </c>
      <c r="Q1340" s="23" t="n">
        <v>32.616</v>
      </c>
      <c r="R1340" s="23" t="n">
        <v>44.0249</v>
      </c>
    </row>
    <row r="1341" ht="15" customHeight="1" s="12">
      <c r="A1341" s="18" t="inlineStr">
        <is>
          <t>Welkom</t>
        </is>
      </c>
      <c r="B1341" s="18" t="inlineStr">
        <is>
          <t>South Africa</t>
        </is>
      </c>
      <c r="C1341" s="19" t="n">
        <v>63100945</v>
      </c>
      <c r="D1341" s="18" t="inlineStr">
        <is>
          <t>ZA</t>
        </is>
      </c>
      <c r="E1341" s="18" t="inlineStr">
        <is>
          <t>03</t>
        </is>
      </c>
      <c r="F1341" s="20" t="n">
        <v>431944</v>
      </c>
      <c r="G1341" s="18" t="n"/>
      <c r="H1341" s="18" t="n"/>
      <c r="I1341" s="18" t="n"/>
      <c r="J1341" s="18" t="n"/>
      <c r="K1341" s="18" t="n"/>
      <c r="L1341" s="18" t="inlineStr">
        <is>
          <t>100k +  pop</t>
        </is>
      </c>
      <c r="M1341" s="22" t="n">
        <v>0</v>
      </c>
      <c r="N1341" s="22" t="n">
        <v>0</v>
      </c>
      <c r="O1341" s="18" t="n"/>
      <c r="P1341" s="22">
        <f>IF(O1341="",(About!$B$5*M1341+About!$B$6*N1341)/(About!$B$5+About!$B$6),About!$B$5*M1341+About!$B$6*N1341+About!$B$7*O1341)</f>
        <v/>
      </c>
      <c r="Q1341" s="23" t="n">
        <v>-27.9774</v>
      </c>
      <c r="R1341" s="23" t="n">
        <v>26.7351</v>
      </c>
    </row>
    <row r="1342" ht="15" customHeight="1" s="12">
      <c r="A1342" s="18" t="inlineStr">
        <is>
          <t>Al Maḩallah al Kubrá</t>
        </is>
      </c>
      <c r="B1342" s="18" t="inlineStr">
        <is>
          <t>Egypt</t>
        </is>
      </c>
      <c r="C1342" s="19" t="n">
        <v>108613296</v>
      </c>
      <c r="D1342" s="18" t="inlineStr">
        <is>
          <t>EG</t>
        </is>
      </c>
      <c r="E1342" s="18" t="inlineStr">
        <is>
          <t>05</t>
        </is>
      </c>
      <c r="F1342" s="20" t="n">
        <v>431052</v>
      </c>
      <c r="G1342" s="18" t="n"/>
      <c r="H1342" s="18" t="n"/>
      <c r="I1342" s="18" t="n"/>
      <c r="J1342" s="18" t="n"/>
      <c r="K1342" s="18" t="n"/>
      <c r="L1342" s="18" t="inlineStr">
        <is>
          <t>100k +  pop</t>
        </is>
      </c>
      <c r="M1342" s="22" t="n">
        <v>0</v>
      </c>
      <c r="N1342" s="22" t="n">
        <v>0</v>
      </c>
      <c r="O1342" s="18" t="n"/>
      <c r="P1342" s="22">
        <f>IF(O1342="",(About!$B$5*M1342+About!$B$6*N1342)/(About!$B$5+About!$B$6),About!$B$5*M1342+About!$B$6*N1342+About!$B$7*O1342)</f>
        <v/>
      </c>
      <c r="Q1342" s="23" t="n">
        <v>30.9706</v>
      </c>
      <c r="R1342" s="23" t="n">
        <v>31.1669</v>
      </c>
    </row>
    <row r="1343" ht="15" customHeight="1" s="12">
      <c r="A1343" s="18" t="inlineStr">
        <is>
          <t>Likasi</t>
        </is>
      </c>
      <c r="B1343" s="18" t="inlineStr">
        <is>
          <t>DR Congo</t>
        </is>
      </c>
      <c r="C1343" s="19" t="n">
        <v>112832000</v>
      </c>
      <c r="D1343" s="18" t="inlineStr">
        <is>
          <t>CD</t>
        </is>
      </c>
      <c r="E1343" s="18" t="inlineStr">
        <is>
          <t>14</t>
        </is>
      </c>
      <c r="F1343" s="20" t="n">
        <v>422414</v>
      </c>
      <c r="G1343" s="18" t="n"/>
      <c r="H1343" s="18" t="n"/>
      <c r="I1343" s="18" t="n"/>
      <c r="J1343" s="18" t="n"/>
      <c r="K1343" s="18" t="n"/>
      <c r="L1343" s="18" t="inlineStr">
        <is>
          <t>100k +  pop</t>
        </is>
      </c>
      <c r="M1343" s="22" t="n">
        <v>0</v>
      </c>
      <c r="N1343" s="22" t="n">
        <v>0</v>
      </c>
      <c r="O1343" s="18" t="n"/>
      <c r="P1343" s="22">
        <f>IF(O1343="",(About!$B$5*M1343+About!$B$6*N1343)/(About!$B$5+About!$B$6),About!$B$5*M1343+About!$B$6*N1343+About!$B$7*O1343)</f>
        <v/>
      </c>
      <c r="Q1343" s="23" t="n">
        <v>-10.983</v>
      </c>
      <c r="R1343" s="23" t="n">
        <v>26.7384</v>
      </c>
    </row>
    <row r="1344" ht="15" customHeight="1" s="12">
      <c r="A1344" s="18" t="inlineStr">
        <is>
          <t>Shaoxing</t>
        </is>
      </c>
      <c r="B1344" s="18" t="inlineStr">
        <is>
          <t>China</t>
        </is>
      </c>
      <c r="C1344" s="19" t="n">
        <v>1404890000</v>
      </c>
      <c r="D1344" s="18" t="inlineStr">
        <is>
          <t>CN</t>
        </is>
      </c>
      <c r="E1344" s="18" t="inlineStr">
        <is>
          <t>02</t>
        </is>
      </c>
      <c r="F1344" s="20" t="n">
        <v>421283</v>
      </c>
      <c r="G1344" s="18" t="n"/>
      <c r="H1344" s="18" t="n"/>
      <c r="I1344" s="18" t="n"/>
      <c r="J1344" s="18" t="n"/>
      <c r="K1344" s="18" t="n"/>
      <c r="L1344" s="18" t="inlineStr">
        <is>
          <t>100k +  pop</t>
        </is>
      </c>
      <c r="M1344" s="22" t="n">
        <v>0</v>
      </c>
      <c r="N1344" s="22" t="n">
        <v>0</v>
      </c>
      <c r="O1344" s="18" t="n"/>
      <c r="P1344" s="22">
        <f>IF(O1344="",(About!$B$5*M1344+About!$B$6*N1344)/(About!$B$5+About!$B$6),About!$B$5*M1344+About!$B$6*N1344+About!$B$7*O1344)</f>
        <v/>
      </c>
      <c r="Q1344" s="23" t="n">
        <v>30.0024</v>
      </c>
      <c r="R1344" s="23" t="n">
        <v>120.5786</v>
      </c>
    </row>
    <row r="1345" ht="15" customHeight="1" s="12">
      <c r="A1345" s="18" t="inlineStr">
        <is>
          <t>Al Manşūrah</t>
        </is>
      </c>
      <c r="B1345" s="18" t="inlineStr">
        <is>
          <t>Egypt</t>
        </is>
      </c>
      <c r="C1345" s="19" t="n">
        <v>108613296</v>
      </c>
      <c r="D1345" s="18" t="inlineStr">
        <is>
          <t>EG</t>
        </is>
      </c>
      <c r="E1345" s="18" t="inlineStr">
        <is>
          <t>01</t>
        </is>
      </c>
      <c r="F1345" s="20" t="n">
        <v>420195</v>
      </c>
      <c r="G1345" s="18" t="n"/>
      <c r="H1345" s="18" t="n"/>
      <c r="I1345" s="18" t="n"/>
      <c r="J1345" s="18" t="n"/>
      <c r="K1345" s="18" t="n"/>
      <c r="L1345" s="18" t="inlineStr">
        <is>
          <t>100k +  pop</t>
        </is>
      </c>
      <c r="M1345" s="22" t="n">
        <v>0</v>
      </c>
      <c r="N1345" s="22" t="n">
        <v>0</v>
      </c>
      <c r="O1345" s="18" t="n"/>
      <c r="P1345" s="22">
        <f>IF(O1345="",(About!$B$5*M1345+About!$B$6*N1345)/(About!$B$5+About!$B$6),About!$B$5*M1345+About!$B$6*N1345+About!$B$7*O1345)</f>
        <v/>
      </c>
      <c r="Q1345" s="23" t="n">
        <v>31.0364</v>
      </c>
      <c r="R1345" s="23" t="n">
        <v>31.3807</v>
      </c>
    </row>
    <row r="1346" ht="15" customHeight="1" s="12">
      <c r="A1346" s="18" t="inlineStr">
        <is>
          <t>Kolwezi</t>
        </is>
      </c>
      <c r="B1346" s="18" t="inlineStr">
        <is>
          <t>DR Congo</t>
        </is>
      </c>
      <c r="C1346" s="19" t="n">
        <v>112832000</v>
      </c>
      <c r="D1346" s="18" t="inlineStr">
        <is>
          <t>CD</t>
        </is>
      </c>
      <c r="E1346" s="18" t="inlineStr">
        <is>
          <t>22</t>
        </is>
      </c>
      <c r="F1346" s="20" t="n">
        <v>418000</v>
      </c>
      <c r="G1346" s="18" t="n"/>
      <c r="H1346" s="18" t="inlineStr">
        <is>
          <t>KWZ</t>
        </is>
      </c>
      <c r="I1346" s="18" t="inlineStr">
        <is>
          <t>Kolwezi Airport</t>
        </is>
      </c>
      <c r="J1346" s="21" t="n">
        <v>7.1</v>
      </c>
      <c r="K1346" s="18" t="inlineStr">
        <is>
          <t>KWZ</t>
        </is>
      </c>
      <c r="L1346" s="18" t="inlineStr">
        <is>
          <t>100k +  pop + airport</t>
        </is>
      </c>
      <c r="M1346" s="22" t="n">
        <v>0</v>
      </c>
      <c r="N1346" s="22" t="n">
        <v>0</v>
      </c>
      <c r="O1346" s="18" t="n"/>
      <c r="P1346" s="22">
        <f>IF(O1346="",(About!$B$5*M1346+About!$B$6*N1346)/(About!$B$5+About!$B$6),About!$B$5*M1346+About!$B$6*N1346+About!$B$7*O1346)</f>
        <v/>
      </c>
      <c r="Q1346" s="23" t="n">
        <v>-10.7148</v>
      </c>
      <c r="R1346" s="23" t="n">
        <v>25.4667</v>
      </c>
    </row>
    <row r="1347" ht="15" customHeight="1" s="12">
      <c r="A1347" s="18" t="inlineStr">
        <is>
          <t>Gaza</t>
        </is>
      </c>
      <c r="B1347" s="18" t="inlineStr">
        <is>
          <t>Palestine</t>
        </is>
      </c>
      <c r="C1347" s="19" t="n">
        <v>5483450</v>
      </c>
      <c r="D1347" s="18" t="inlineStr">
        <is>
          <t>PS</t>
        </is>
      </c>
      <c r="E1347" s="18" t="inlineStr">
        <is>
          <t>GZ</t>
        </is>
      </c>
      <c r="F1347" s="20" t="n">
        <v>410000</v>
      </c>
      <c r="G1347" s="18" t="n"/>
      <c r="H1347" s="18" t="n"/>
      <c r="I1347" s="18" t="n"/>
      <c r="J1347" s="18" t="n"/>
      <c r="K1347" s="18" t="n"/>
      <c r="L1347" s="18" t="inlineStr">
        <is>
          <t>100k +  pop</t>
        </is>
      </c>
      <c r="M1347" s="22" t="n">
        <v>0</v>
      </c>
      <c r="N1347" s="22" t="n">
        <v>0</v>
      </c>
      <c r="O1347" s="18" t="n"/>
      <c r="P1347" s="22">
        <f>IF(O1347="",(About!$B$5*M1347+About!$B$6*N1347)/(About!$B$5+About!$B$6),About!$B$5*M1347+About!$B$6*N1347+About!$B$7*O1347)</f>
        <v/>
      </c>
      <c r="Q1347" s="23" t="n">
        <v>31.5016</v>
      </c>
      <c r="R1347" s="23" t="n">
        <v>34.4667</v>
      </c>
    </row>
    <row r="1348" ht="15" customHeight="1" s="12">
      <c r="A1348" s="18" t="inlineStr">
        <is>
          <t>Tanda</t>
        </is>
      </c>
      <c r="B1348" s="18" t="inlineStr">
        <is>
          <t>Egypt</t>
        </is>
      </c>
      <c r="C1348" s="19" t="n">
        <v>108613296</v>
      </c>
      <c r="D1348" s="18" t="inlineStr">
        <is>
          <t>EG</t>
        </is>
      </c>
      <c r="E1348" s="18" t="inlineStr">
        <is>
          <t>05</t>
        </is>
      </c>
      <c r="F1348" s="20" t="n">
        <v>404901</v>
      </c>
      <c r="G1348" s="18" t="n"/>
      <c r="H1348" s="18" t="n"/>
      <c r="I1348" s="18" t="n"/>
      <c r="J1348" s="18" t="n"/>
      <c r="K1348" s="18" t="n"/>
      <c r="L1348" s="18" t="inlineStr">
        <is>
          <t>100k +  pop</t>
        </is>
      </c>
      <c r="M1348" s="22" t="n">
        <v>0</v>
      </c>
      <c r="N1348" s="22" t="n">
        <v>0</v>
      </c>
      <c r="O1348" s="18" t="n"/>
      <c r="P1348" s="22">
        <f>IF(O1348="",(About!$B$5*M1348+About!$B$6*N1348)/(About!$B$5+About!$B$6),About!$B$5*M1348+About!$B$6*N1348+About!$B$7*O1348)</f>
        <v/>
      </c>
      <c r="Q1348" s="23" t="n">
        <v>30.7885</v>
      </c>
      <c r="R1348" s="23" t="n">
        <v>31.0019</v>
      </c>
    </row>
    <row r="1349" ht="15" customHeight="1" s="12">
      <c r="A1349" s="18" t="inlineStr">
        <is>
          <t>Newcastle</t>
        </is>
      </c>
      <c r="B1349" s="18" t="inlineStr">
        <is>
          <t>South Africa</t>
        </is>
      </c>
      <c r="C1349" s="19" t="n">
        <v>63100945</v>
      </c>
      <c r="D1349" s="18" t="inlineStr">
        <is>
          <t>ZA</t>
        </is>
      </c>
      <c r="E1349" s="18" t="inlineStr">
        <is>
          <t>02</t>
        </is>
      </c>
      <c r="F1349" s="20" t="n">
        <v>404838</v>
      </c>
      <c r="G1349" s="18" t="n"/>
      <c r="H1349" s="18" t="n"/>
      <c r="I1349" s="18" t="n"/>
      <c r="J1349" s="18" t="n"/>
      <c r="K1349" s="18" t="n"/>
      <c r="L1349" s="18" t="inlineStr">
        <is>
          <t>100k +  pop</t>
        </is>
      </c>
      <c r="M1349" s="22" t="n">
        <v>0</v>
      </c>
      <c r="N1349" s="22" t="n">
        <v>0</v>
      </c>
      <c r="O1349" s="18" t="n"/>
      <c r="P1349" s="22">
        <f>IF(O1349="",(About!$B$5*M1349+About!$B$6*N1349)/(About!$B$5+About!$B$6),About!$B$5*M1349+About!$B$6*N1349+About!$B$7*O1349)</f>
        <v/>
      </c>
      <c r="Q1349" s="23" t="n">
        <v>-27.758</v>
      </c>
      <c r="R1349" s="23" t="n">
        <v>29.9318</v>
      </c>
    </row>
    <row r="1350" ht="15" customHeight="1" s="12">
      <c r="A1350" s="18" t="inlineStr">
        <is>
          <t>Kitwe</t>
        </is>
      </c>
      <c r="B1350" s="18" t="inlineStr">
        <is>
          <t>Zambia</t>
        </is>
      </c>
      <c r="C1350" s="19" t="n">
        <v>19693423</v>
      </c>
      <c r="D1350" s="18" t="inlineStr">
        <is>
          <t>ZM</t>
        </is>
      </c>
      <c r="E1350" s="18" t="inlineStr">
        <is>
          <t>08</t>
        </is>
      </c>
      <c r="F1350" s="20" t="n">
        <v>400914</v>
      </c>
      <c r="G1350" s="18" t="n"/>
      <c r="H1350" s="18" t="n"/>
      <c r="I1350" s="18" t="n"/>
      <c r="J1350" s="18" t="n"/>
      <c r="K1350" s="18" t="n"/>
      <c r="L1350" s="18" t="inlineStr">
        <is>
          <t>100k +  pop</t>
        </is>
      </c>
      <c r="M1350" s="22" t="n">
        <v>0</v>
      </c>
      <c r="N1350" s="22" t="n">
        <v>0</v>
      </c>
      <c r="O1350" s="18" t="n"/>
      <c r="P1350" s="22">
        <f>IF(O1350="",(About!$B$5*M1350+About!$B$6*N1350)/(About!$B$5+About!$B$6),About!$B$5*M1350+About!$B$6*N1350+About!$B$7*O1350)</f>
        <v/>
      </c>
      <c r="Q1350" s="23" t="n">
        <v>-12.8024</v>
      </c>
      <c r="R1350" s="23" t="n">
        <v>28.2132</v>
      </c>
    </row>
    <row r="1351" ht="15" customHeight="1" s="12">
      <c r="A1351" s="18" t="inlineStr">
        <is>
          <t>Nasiriyah</t>
        </is>
      </c>
      <c r="B1351" s="18" t="inlineStr">
        <is>
          <t>Iraq</t>
        </is>
      </c>
      <c r="C1351" s="19" t="n">
        <v>46118793</v>
      </c>
      <c r="D1351" s="18" t="inlineStr">
        <is>
          <t>IQ</t>
        </is>
      </c>
      <c r="E1351" s="18" t="inlineStr">
        <is>
          <t>09</t>
        </is>
      </c>
      <c r="F1351" s="20" t="n">
        <v>400249</v>
      </c>
      <c r="G1351" s="18" t="n"/>
      <c r="H1351" s="18" t="n"/>
      <c r="I1351" s="18" t="n"/>
      <c r="J1351" s="18" t="n"/>
      <c r="K1351" s="18" t="n"/>
      <c r="L1351" s="18" t="inlineStr">
        <is>
          <t>100k +  pop</t>
        </is>
      </c>
      <c r="M1351" s="22" t="n">
        <v>0</v>
      </c>
      <c r="N1351" s="22" t="n">
        <v>0</v>
      </c>
      <c r="O1351" s="18" t="n"/>
      <c r="P1351" s="22">
        <f>IF(O1351="",(About!$B$5*M1351+About!$B$6*N1351)/(About!$B$5+About!$B$6),About!$B$5*M1351+About!$B$6*N1351+About!$B$7*O1351)</f>
        <v/>
      </c>
      <c r="Q1351" s="23" t="n">
        <v>31.058</v>
      </c>
      <c r="R1351" s="23" t="n">
        <v>46.2573</v>
      </c>
    </row>
    <row r="1352" ht="15" customHeight="1" s="12">
      <c r="A1352" s="18" t="inlineStr">
        <is>
          <t>Surrey</t>
        </is>
      </c>
      <c r="B1352" s="18" t="inlineStr">
        <is>
          <t>Canada</t>
        </is>
      </c>
      <c r="C1352" s="19" t="n">
        <v>41472081</v>
      </c>
      <c r="D1352" s="18" t="inlineStr">
        <is>
          <t>CA</t>
        </is>
      </c>
      <c r="E1352" s="18" t="inlineStr">
        <is>
          <t>02</t>
        </is>
      </c>
      <c r="F1352" s="20" t="n">
        <v>394976</v>
      </c>
      <c r="G1352" s="18" t="n"/>
      <c r="H1352" s="18" t="n"/>
      <c r="I1352" s="18" t="n"/>
      <c r="J1352" s="18" t="n"/>
      <c r="K1352" s="18" t="n"/>
      <c r="L1352" s="18" t="inlineStr">
        <is>
          <t>100k +  pop</t>
        </is>
      </c>
      <c r="M1352" s="22" t="n">
        <v>0</v>
      </c>
      <c r="N1352" s="22" t="n">
        <v>0</v>
      </c>
      <c r="O1352" s="18" t="n"/>
      <c r="P1352" s="22">
        <f>IF(O1352="",(About!$B$5*M1352+About!$B$6*N1352)/(About!$B$5+About!$B$6),About!$B$5*M1352+About!$B$6*N1352+About!$B$7*O1352)</f>
        <v/>
      </c>
      <c r="Q1352" s="23" t="n">
        <v>49.1063</v>
      </c>
      <c r="R1352" s="23" t="n">
        <v>-122.8251</v>
      </c>
    </row>
    <row r="1353" ht="15" customHeight="1" s="12">
      <c r="A1353" s="18" t="inlineStr">
        <is>
          <t>Comilla</t>
        </is>
      </c>
      <c r="B1353" s="18" t="inlineStr">
        <is>
          <t>Bangladesh</t>
        </is>
      </c>
      <c r="C1353" s="19" t="n">
        <v>169828911</v>
      </c>
      <c r="D1353" s="18" t="inlineStr">
        <is>
          <t>BD</t>
        </is>
      </c>
      <c r="E1353" s="18" t="inlineStr">
        <is>
          <t>84</t>
        </is>
      </c>
      <c r="F1353" s="20" t="n">
        <v>389411</v>
      </c>
      <c r="G1353" s="18" t="n"/>
      <c r="H1353" s="18" t="n"/>
      <c r="I1353" s="18" t="n"/>
      <c r="J1353" s="18" t="n"/>
      <c r="K1353" s="18" t="n"/>
      <c r="L1353" s="18" t="inlineStr">
        <is>
          <t>100k +  pop</t>
        </is>
      </c>
      <c r="M1353" s="22" t="n">
        <v>0</v>
      </c>
      <c r="N1353" s="22" t="n">
        <v>0</v>
      </c>
      <c r="O1353" s="18" t="n"/>
      <c r="P1353" s="22">
        <f>IF(O1353="",(About!$B$5*M1353+About!$B$6*N1353)/(About!$B$5+About!$B$6),About!$B$5*M1353+About!$B$6*N1353+About!$B$7*O1353)</f>
        <v/>
      </c>
      <c r="Q1353" s="23" t="n">
        <v>23.4619</v>
      </c>
      <c r="R1353" s="23" t="n">
        <v>91.185</v>
      </c>
    </row>
    <row r="1354" ht="15" customHeight="1" s="12">
      <c r="A1354" s="18" t="inlineStr">
        <is>
          <t>Bochum</t>
        </is>
      </c>
      <c r="B1354" s="18" t="inlineStr">
        <is>
          <t>Germany</t>
        </is>
      </c>
      <c r="C1354" s="19" t="n">
        <v>83497147</v>
      </c>
      <c r="D1354" s="18" t="inlineStr">
        <is>
          <t>DE</t>
        </is>
      </c>
      <c r="E1354" s="18" t="inlineStr">
        <is>
          <t>07</t>
        </is>
      </c>
      <c r="F1354" s="20" t="n">
        <v>385729</v>
      </c>
      <c r="G1354" s="18" t="n"/>
      <c r="H1354" s="18" t="n"/>
      <c r="I1354" s="18" t="n"/>
      <c r="J1354" s="18" t="n"/>
      <c r="K1354" s="18" t="n"/>
      <c r="L1354" s="18" t="inlineStr">
        <is>
          <t>100k +  pop</t>
        </is>
      </c>
      <c r="M1354" s="22" t="n">
        <v>0</v>
      </c>
      <c r="N1354" s="22" t="n">
        <v>0</v>
      </c>
      <c r="O1354" s="18" t="n"/>
      <c r="P1354" s="22">
        <f>IF(O1354="",(About!$B$5*M1354+About!$B$6*N1354)/(About!$B$5+About!$B$6),About!$B$5*M1354+About!$B$6*N1354+About!$B$7*O1354)</f>
        <v/>
      </c>
      <c r="Q1354" s="23" t="n">
        <v>51.4817</v>
      </c>
      <c r="R1354" s="23" t="n">
        <v>7.2165</v>
      </c>
    </row>
    <row r="1355" ht="15" customHeight="1" s="12">
      <c r="A1355" s="18" t="inlineStr">
        <is>
          <t>N’dalatando</t>
        </is>
      </c>
      <c r="B1355" s="18" t="inlineStr">
        <is>
          <t>Angola</t>
        </is>
      </c>
      <c r="C1355" s="19" t="n">
        <v>38778554</v>
      </c>
      <c r="D1355" s="18" t="inlineStr">
        <is>
          <t>AO</t>
        </is>
      </c>
      <c r="E1355" s="18" t="inlineStr">
        <is>
          <t>05</t>
        </is>
      </c>
      <c r="F1355" s="20" t="n">
        <v>383100</v>
      </c>
      <c r="G1355" s="18" t="n"/>
      <c r="H1355" s="18" t="n"/>
      <c r="I1355" s="18" t="n"/>
      <c r="J1355" s="18" t="n"/>
      <c r="K1355" s="18" t="n"/>
      <c r="L1355" s="18" t="inlineStr">
        <is>
          <t>100k +  pop</t>
        </is>
      </c>
      <c r="M1355" s="22" t="n">
        <v>0</v>
      </c>
      <c r="N1355" s="22" t="n">
        <v>0</v>
      </c>
      <c r="O1355" s="18" t="n"/>
      <c r="P1355" s="22">
        <f>IF(O1355="",(About!$B$5*M1355+About!$B$6*N1355)/(About!$B$5+About!$B$6),About!$B$5*M1355+About!$B$6*N1355+About!$B$7*O1355)</f>
        <v/>
      </c>
      <c r="Q1355" s="23" t="n">
        <v>-9.297800000000001</v>
      </c>
      <c r="R1355" s="23" t="n">
        <v>14.9116</v>
      </c>
    </row>
    <row r="1356" ht="15" customHeight="1" s="12">
      <c r="A1356" s="18" t="inlineStr">
        <is>
          <t>Shibganj</t>
        </is>
      </c>
      <c r="B1356" s="18" t="inlineStr">
        <is>
          <t>Bangladesh</t>
        </is>
      </c>
      <c r="C1356" s="19" t="n">
        <v>169828911</v>
      </c>
      <c r="D1356" s="18" t="inlineStr">
        <is>
          <t>BD</t>
        </is>
      </c>
      <c r="E1356" s="18" t="inlineStr">
        <is>
          <t>83</t>
        </is>
      </c>
      <c r="F1356" s="20" t="n">
        <v>378701</v>
      </c>
      <c r="G1356" s="18" t="n"/>
      <c r="H1356" s="18" t="n"/>
      <c r="I1356" s="18" t="n"/>
      <c r="J1356" s="18" t="n"/>
      <c r="K1356" s="18" t="n"/>
      <c r="L1356" s="18" t="inlineStr">
        <is>
          <t>100k +  pop</t>
        </is>
      </c>
      <c r="M1356" s="22" t="n">
        <v>0</v>
      </c>
      <c r="N1356" s="22" t="n">
        <v>0</v>
      </c>
      <c r="O1356" s="18" t="n"/>
      <c r="P1356" s="22">
        <f>IF(O1356="",(About!$B$5*M1356+About!$B$6*N1356)/(About!$B$5+About!$B$6),About!$B$5*M1356+About!$B$6*N1356+About!$B$7*O1356)</f>
        <v/>
      </c>
      <c r="Q1356" s="23" t="n">
        <v>25.0015</v>
      </c>
      <c r="R1356" s="23" t="n">
        <v>89.3227</v>
      </c>
    </row>
    <row r="1357" ht="15" customHeight="1" s="12">
      <c r="A1357" s="18" t="inlineStr">
        <is>
          <t>Putian</t>
        </is>
      </c>
      <c r="B1357" s="18" t="inlineStr">
        <is>
          <t>China</t>
        </is>
      </c>
      <c r="C1357" s="19" t="n">
        <v>1404890000</v>
      </c>
      <c r="D1357" s="18" t="inlineStr">
        <is>
          <t>CN</t>
        </is>
      </c>
      <c r="E1357" s="18" t="inlineStr">
        <is>
          <t>07</t>
        </is>
      </c>
      <c r="F1357" s="20" t="n">
        <v>376558</v>
      </c>
      <c r="G1357" s="18" t="n"/>
      <c r="H1357" s="18" t="n"/>
      <c r="I1357" s="18" t="n"/>
      <c r="J1357" s="18" t="n"/>
      <c r="K1357" s="18" t="n"/>
      <c r="L1357" s="18" t="inlineStr">
        <is>
          <t>100k +  pop</t>
        </is>
      </c>
      <c r="M1357" s="22" t="n">
        <v>0</v>
      </c>
      <c r="N1357" s="22" t="n">
        <v>0</v>
      </c>
      <c r="O1357" s="18" t="n"/>
      <c r="P1357" s="22">
        <f>IF(O1357="",(About!$B$5*M1357+About!$B$6*N1357)/(About!$B$5+About!$B$6),About!$B$5*M1357+About!$B$6*N1357+About!$B$7*O1357)</f>
        <v/>
      </c>
      <c r="Q1357" s="23" t="n">
        <v>25.4394</v>
      </c>
      <c r="R1357" s="23" t="n">
        <v>119.0103</v>
      </c>
    </row>
    <row r="1358" ht="15" customHeight="1" s="12">
      <c r="A1358" s="18" t="inlineStr">
        <is>
          <t>Stoke-on-Trent</t>
        </is>
      </c>
      <c r="B1358" s="18" t="inlineStr">
        <is>
          <t>United Kingdom</t>
        </is>
      </c>
      <c r="C1358" s="19" t="n">
        <v>69487000</v>
      </c>
      <c r="D1358" s="18" t="inlineStr">
        <is>
          <t>GB</t>
        </is>
      </c>
      <c r="E1358" s="18" t="inlineStr">
        <is>
          <t>ENG</t>
        </is>
      </c>
      <c r="F1358" s="20" t="n">
        <v>372775</v>
      </c>
      <c r="G1358" s="18" t="n"/>
      <c r="H1358" s="18" t="n"/>
      <c r="I1358" s="18" t="n"/>
      <c r="J1358" s="18" t="n"/>
      <c r="K1358" s="18" t="n"/>
      <c r="L1358" s="18" t="inlineStr">
        <is>
          <t>100k +  pop</t>
        </is>
      </c>
      <c r="M1358" s="22" t="n">
        <v>0</v>
      </c>
      <c r="N1358" s="22" t="n">
        <v>0</v>
      </c>
      <c r="O1358" s="18" t="n"/>
      <c r="P1358" s="22">
        <f>IF(O1358="",(About!$B$5*M1358+About!$B$6*N1358)/(About!$B$5+About!$B$6),About!$B$5*M1358+About!$B$6*N1358+About!$B$7*O1358)</f>
        <v/>
      </c>
      <c r="Q1358" s="23" t="n">
        <v>53.0042</v>
      </c>
      <c r="R1358" s="23" t="n">
        <v>-2.1854</v>
      </c>
    </row>
    <row r="1359" ht="15" customHeight="1" s="12">
      <c r="A1359" s="18" t="inlineStr">
        <is>
          <t>Fenghuang</t>
        </is>
      </c>
      <c r="B1359" s="18" t="inlineStr">
        <is>
          <t>China</t>
        </is>
      </c>
      <c r="C1359" s="19" t="n">
        <v>1404890000</v>
      </c>
      <c r="D1359" s="18" t="inlineStr">
        <is>
          <t>CN</t>
        </is>
      </c>
      <c r="E1359" s="18" t="inlineStr">
        <is>
          <t>11</t>
        </is>
      </c>
      <c r="F1359" s="20" t="n">
        <v>370000</v>
      </c>
      <c r="G1359" s="18" t="n"/>
      <c r="H1359" s="18" t="n"/>
      <c r="I1359" s="18" t="n"/>
      <c r="J1359" s="18" t="n"/>
      <c r="K1359" s="18" t="n"/>
      <c r="L1359" s="18" t="inlineStr">
        <is>
          <t>100k +  pop</t>
        </is>
      </c>
      <c r="M1359" s="22" t="n">
        <v>0</v>
      </c>
      <c r="N1359" s="22" t="n">
        <v>0</v>
      </c>
      <c r="O1359" s="18" t="n"/>
      <c r="P1359" s="22">
        <f>IF(O1359="",(About!$B$5*M1359+About!$B$6*N1359)/(About!$B$5+About!$B$6),About!$B$5*M1359+About!$B$6*N1359+About!$B$7*O1359)</f>
        <v/>
      </c>
      <c r="Q1359" s="23" t="n">
        <v>27.9356</v>
      </c>
      <c r="R1359" s="23" t="n">
        <v>109.5996</v>
      </c>
    </row>
    <row r="1360" ht="15" customHeight="1" s="12">
      <c r="A1360" s="18" t="inlineStr">
        <is>
          <t>Mahilyow</t>
        </is>
      </c>
      <c r="B1360" s="18" t="inlineStr">
        <is>
          <t>Belarus</t>
        </is>
      </c>
      <c r="C1360" s="19" t="n">
        <v>9056080</v>
      </c>
      <c r="D1360" s="18" t="inlineStr">
        <is>
          <t>BY</t>
        </is>
      </c>
      <c r="E1360" s="18" t="inlineStr">
        <is>
          <t>06</t>
        </is>
      </c>
      <c r="F1360" s="20" t="n">
        <v>369200</v>
      </c>
      <c r="G1360" s="18" t="n"/>
      <c r="H1360" s="18" t="inlineStr">
        <is>
          <t>MVQ</t>
        </is>
      </c>
      <c r="I1360" s="18" t="inlineStr">
        <is>
          <t>Mogilev Airport</t>
        </is>
      </c>
      <c r="J1360" s="21" t="n">
        <v>16.9</v>
      </c>
      <c r="K1360" s="18" t="inlineStr">
        <is>
          <t>MVQ</t>
        </is>
      </c>
      <c r="L1360" s="18" t="inlineStr">
        <is>
          <t>100k +  pop</t>
        </is>
      </c>
      <c r="M1360" s="22" t="n">
        <v>0</v>
      </c>
      <c r="N1360" s="22" t="n">
        <v>0</v>
      </c>
      <c r="O1360" s="18" t="n"/>
      <c r="P1360" s="22">
        <f>IF(O1360="",(About!$B$5*M1360+About!$B$6*N1360)/(About!$B$5+About!$B$6),About!$B$5*M1360+About!$B$6*N1360+About!$B$7*O1360)</f>
        <v/>
      </c>
      <c r="Q1360" s="23" t="n">
        <v>53.9168</v>
      </c>
      <c r="R1360" s="23" t="n">
        <v>30.3449</v>
      </c>
    </row>
    <row r="1361" ht="15" customHeight="1" s="12">
      <c r="A1361" s="18" t="inlineStr">
        <is>
          <t>Natore</t>
        </is>
      </c>
      <c r="B1361" s="18" t="inlineStr">
        <is>
          <t>Bangladesh</t>
        </is>
      </c>
      <c r="C1361" s="19" t="n">
        <v>169828911</v>
      </c>
      <c r="D1361" s="18" t="inlineStr">
        <is>
          <t>BD</t>
        </is>
      </c>
      <c r="E1361" s="18" t="inlineStr">
        <is>
          <t>83</t>
        </is>
      </c>
      <c r="F1361" s="20" t="n">
        <v>369138</v>
      </c>
      <c r="G1361" s="18" t="n"/>
      <c r="H1361" s="18" t="n"/>
      <c r="I1361" s="18" t="n"/>
      <c r="J1361" s="18" t="n"/>
      <c r="K1361" s="18" t="n"/>
      <c r="L1361" s="18" t="inlineStr">
        <is>
          <t>100k +  pop</t>
        </is>
      </c>
      <c r="M1361" s="22" t="n">
        <v>0</v>
      </c>
      <c r="N1361" s="22" t="n">
        <v>0</v>
      </c>
      <c r="O1361" s="18" t="n"/>
      <c r="P1361" s="22">
        <f>IF(O1361="",(About!$B$5*M1361+About!$B$6*N1361)/(About!$B$5+About!$B$6),About!$B$5*M1361+About!$B$6*N1361+About!$B$7*O1361)</f>
        <v/>
      </c>
      <c r="Q1361" s="23" t="n">
        <v>24.4111</v>
      </c>
      <c r="R1361" s="23" t="n">
        <v>88.9867</v>
      </c>
    </row>
    <row r="1362" ht="15" customHeight="1" s="12">
      <c r="A1362" s="18" t="inlineStr">
        <is>
          <t>Nara-shi</t>
        </is>
      </c>
      <c r="B1362" s="18" t="inlineStr">
        <is>
          <t>Japan</t>
        </is>
      </c>
      <c r="C1362" s="19" t="n">
        <v>122810000</v>
      </c>
      <c r="D1362" s="18" t="inlineStr">
        <is>
          <t>JP</t>
        </is>
      </c>
      <c r="E1362" s="18" t="inlineStr">
        <is>
          <t>28</t>
        </is>
      </c>
      <c r="F1362" s="20" t="n">
        <v>367353</v>
      </c>
      <c r="G1362" s="18" t="n"/>
      <c r="H1362" s="18" t="n"/>
      <c r="I1362" s="18" t="n"/>
      <c r="J1362" s="18" t="n"/>
      <c r="K1362" s="18" t="n"/>
      <c r="L1362" s="18" t="inlineStr">
        <is>
          <t>100k +  pop</t>
        </is>
      </c>
      <c r="M1362" s="22" t="n">
        <v>0</v>
      </c>
      <c r="N1362" s="22" t="n">
        <v>0</v>
      </c>
      <c r="O1362" s="18" t="n"/>
      <c r="P1362" s="22">
        <f>IF(O1362="",(About!$B$5*M1362+About!$B$6*N1362)/(About!$B$5+About!$B$6),About!$B$5*M1362+About!$B$6*N1362+About!$B$7*O1362)</f>
        <v/>
      </c>
      <c r="Q1362" s="23" t="n">
        <v>34.685</v>
      </c>
      <c r="R1362" s="23" t="n">
        <v>135.8048</v>
      </c>
    </row>
    <row r="1363" ht="15" customHeight="1" s="12">
      <c r="A1363" s="18" t="inlineStr">
        <is>
          <t>Cheonan</t>
        </is>
      </c>
      <c r="B1363" s="18" t="inlineStr">
        <is>
          <t>South Korea</t>
        </is>
      </c>
      <c r="C1363" s="19" t="n">
        <v>51111158</v>
      </c>
      <c r="D1363" s="18" t="inlineStr">
        <is>
          <t>KR</t>
        </is>
      </c>
      <c r="E1363" s="18" t="inlineStr">
        <is>
          <t>17</t>
        </is>
      </c>
      <c r="F1363" s="20" t="n">
        <v>365114</v>
      </c>
      <c r="G1363" s="18" t="n"/>
      <c r="H1363" s="18" t="n"/>
      <c r="I1363" s="18" t="n"/>
      <c r="J1363" s="18" t="n"/>
      <c r="K1363" s="18" t="n"/>
      <c r="L1363" s="18" t="inlineStr">
        <is>
          <t>100k +  pop</t>
        </is>
      </c>
      <c r="M1363" s="22" t="n">
        <v>0</v>
      </c>
      <c r="N1363" s="22" t="n">
        <v>0</v>
      </c>
      <c r="O1363" s="18" t="n"/>
      <c r="P1363" s="22">
        <f>IF(O1363="",(About!$B$5*M1363+About!$B$6*N1363)/(About!$B$5+About!$B$6),About!$B$5*M1363+About!$B$6*N1363+About!$B$7*O1363)</f>
        <v/>
      </c>
      <c r="Q1363" s="23" t="n">
        <v>36.8065</v>
      </c>
      <c r="R1363" s="23" t="n">
        <v>127.1522</v>
      </c>
    </row>
    <row r="1364" ht="15" customHeight="1" s="12">
      <c r="A1364" s="18" t="inlineStr">
        <is>
          <t>Larkana</t>
        </is>
      </c>
      <c r="B1364" s="18" t="inlineStr">
        <is>
          <t>Pakistan</t>
        </is>
      </c>
      <c r="C1364" s="19" t="n">
        <v>241499431</v>
      </c>
      <c r="D1364" s="18" t="inlineStr">
        <is>
          <t>PK</t>
        </is>
      </c>
      <c r="E1364" s="18" t="inlineStr">
        <is>
          <t>05</t>
        </is>
      </c>
      <c r="F1364" s="20" t="n">
        <v>364033</v>
      </c>
      <c r="G1364" s="18" t="n"/>
      <c r="H1364" s="18" t="n"/>
      <c r="I1364" s="18" t="n"/>
      <c r="J1364" s="18" t="n"/>
      <c r="K1364" s="18" t="n"/>
      <c r="L1364" s="18" t="inlineStr">
        <is>
          <t>100k +  pop</t>
        </is>
      </c>
      <c r="M1364" s="22" t="n">
        <v>0</v>
      </c>
      <c r="N1364" s="22" t="n">
        <v>0</v>
      </c>
      <c r="O1364" s="18" t="n"/>
      <c r="P1364" s="22">
        <f>IF(O1364="",(About!$B$5*M1364+About!$B$6*N1364)/(About!$B$5+About!$B$6),About!$B$5*M1364+About!$B$6*N1364+About!$B$7*O1364)</f>
        <v/>
      </c>
      <c r="Q1364" s="23" t="n">
        <v>27.559</v>
      </c>
      <c r="R1364" s="23" t="n">
        <v>68.212</v>
      </c>
    </row>
    <row r="1365" ht="15" customHeight="1" s="12">
      <c r="A1365" s="18" t="inlineStr">
        <is>
          <t>Al Qadarif</t>
        </is>
      </c>
      <c r="B1365" s="18" t="inlineStr">
        <is>
          <t>Sudan</t>
        </is>
      </c>
      <c r="C1365" s="19" t="n">
        <v>51662000</v>
      </c>
      <c r="D1365" s="18" t="inlineStr">
        <is>
          <t>SD</t>
        </is>
      </c>
      <c r="E1365" s="18" t="inlineStr">
        <is>
          <t>39</t>
        </is>
      </c>
      <c r="F1365" s="20" t="n">
        <v>363945</v>
      </c>
      <c r="G1365" s="18" t="n"/>
      <c r="H1365" s="18" t="n"/>
      <c r="I1365" s="18" t="n"/>
      <c r="J1365" s="18" t="n"/>
      <c r="K1365" s="18" t="n"/>
      <c r="L1365" s="18" t="inlineStr">
        <is>
          <t>100k +  pop</t>
        </is>
      </c>
      <c r="M1365" s="22" t="n">
        <v>0</v>
      </c>
      <c r="N1365" s="22" t="n">
        <v>0</v>
      </c>
      <c r="O1365" s="18" t="n"/>
      <c r="P1365" s="22">
        <f>IF(O1365="",(About!$B$5*M1365+About!$B$6*N1365)/(About!$B$5+About!$B$6),About!$B$5*M1365+About!$B$6*N1365+About!$B$7*O1365)</f>
        <v/>
      </c>
      <c r="Q1365" s="23" t="n">
        <v>14.0349</v>
      </c>
      <c r="R1365" s="23" t="n">
        <v>35.3834</v>
      </c>
    </row>
    <row r="1366" ht="15" customHeight="1" s="12">
      <c r="A1366" s="18" t="inlineStr">
        <is>
          <t>Zhaoqing</t>
        </is>
      </c>
      <c r="B1366" s="18" t="inlineStr">
        <is>
          <t>China</t>
        </is>
      </c>
      <c r="C1366" s="19" t="n">
        <v>1404890000</v>
      </c>
      <c r="D1366" s="18" t="inlineStr">
        <is>
          <t>CN</t>
        </is>
      </c>
      <c r="E1366" s="18" t="inlineStr">
        <is>
          <t>30</t>
        </is>
      </c>
      <c r="F1366" s="20" t="n">
        <v>361969</v>
      </c>
      <c r="G1366" s="18" t="n"/>
      <c r="H1366" s="18" t="n"/>
      <c r="I1366" s="18" t="n"/>
      <c r="J1366" s="18" t="n"/>
      <c r="K1366" s="18" t="n"/>
      <c r="L1366" s="18" t="inlineStr">
        <is>
          <t>100k +  pop</t>
        </is>
      </c>
      <c r="M1366" s="22" t="n">
        <v>0</v>
      </c>
      <c r="N1366" s="22" t="n">
        <v>0</v>
      </c>
      <c r="O1366" s="18" t="n"/>
      <c r="P1366" s="22">
        <f>IF(O1366="",(About!$B$5*M1366+About!$B$6*N1366)/(About!$B$5+About!$B$6),About!$B$5*M1366+About!$B$6*N1366+About!$B$7*O1366)</f>
        <v/>
      </c>
      <c r="Q1366" s="23" t="n">
        <v>23.0489</v>
      </c>
      <c r="R1366" s="23" t="n">
        <v>112.4609</v>
      </c>
    </row>
    <row r="1367" ht="15" customHeight="1" s="12">
      <c r="A1367" s="18" t="inlineStr">
        <is>
          <t>Shekhupura</t>
        </is>
      </c>
      <c r="B1367" s="18" t="inlineStr">
        <is>
          <t>Pakistan</t>
        </is>
      </c>
      <c r="C1367" s="19" t="n">
        <v>241499431</v>
      </c>
      <c r="D1367" s="18" t="inlineStr">
        <is>
          <t>PK</t>
        </is>
      </c>
      <c r="E1367" s="18" t="inlineStr">
        <is>
          <t>04</t>
        </is>
      </c>
      <c r="F1367" s="20" t="n">
        <v>361303</v>
      </c>
      <c r="G1367" s="18" t="n"/>
      <c r="H1367" s="18" t="n"/>
      <c r="I1367" s="18" t="n"/>
      <c r="J1367" s="18" t="n"/>
      <c r="K1367" s="18" t="n"/>
      <c r="L1367" s="18" t="inlineStr">
        <is>
          <t>100k +  pop</t>
        </is>
      </c>
      <c r="M1367" s="22" t="n">
        <v>0</v>
      </c>
      <c r="N1367" s="22" t="n">
        <v>0</v>
      </c>
      <c r="O1367" s="18" t="n"/>
      <c r="P1367" s="22">
        <f>IF(O1367="",(About!$B$5*M1367+About!$B$6*N1367)/(About!$B$5+About!$B$6),About!$B$5*M1367+About!$B$6*N1367+About!$B$7*O1367)</f>
        <v/>
      </c>
      <c r="Q1367" s="23" t="n">
        <v>31.7129</v>
      </c>
      <c r="R1367" s="23" t="n">
        <v>73.98560000000001</v>
      </c>
    </row>
    <row r="1368" ht="15" customHeight="1" s="12">
      <c r="A1368" s="18" t="inlineStr">
        <is>
          <t>Wuppertal</t>
        </is>
      </c>
      <c r="B1368" s="18" t="inlineStr">
        <is>
          <t>Germany</t>
        </is>
      </c>
      <c r="C1368" s="19" t="n">
        <v>83497147</v>
      </c>
      <c r="D1368" s="18" t="inlineStr">
        <is>
          <t>DE</t>
        </is>
      </c>
      <c r="E1368" s="18" t="inlineStr">
        <is>
          <t>07</t>
        </is>
      </c>
      <c r="F1368" s="20" t="n">
        <v>360797</v>
      </c>
      <c r="G1368" s="18" t="n"/>
      <c r="H1368" s="18" t="n"/>
      <c r="I1368" s="18" t="n"/>
      <c r="J1368" s="18" t="n"/>
      <c r="K1368" s="18" t="n"/>
      <c r="L1368" s="18" t="inlineStr">
        <is>
          <t>100k +  pop</t>
        </is>
      </c>
      <c r="M1368" s="22" t="n">
        <v>0</v>
      </c>
      <c r="N1368" s="22" t="n">
        <v>0</v>
      </c>
      <c r="O1368" s="18" t="n"/>
      <c r="P1368" s="22">
        <f>IF(O1368="",(About!$B$5*M1368+About!$B$6*N1368)/(About!$B$5+About!$B$6),About!$B$5*M1368+About!$B$6*N1368+About!$B$7*O1368)</f>
        <v/>
      </c>
      <c r="Q1368" s="23" t="n">
        <v>51.2563</v>
      </c>
      <c r="R1368" s="23" t="n">
        <v>7.1482</v>
      </c>
    </row>
    <row r="1369" ht="15" customHeight="1" s="12">
      <c r="A1369" s="18" t="inlineStr">
        <is>
          <t>Nagano</t>
        </is>
      </c>
      <c r="B1369" s="18" t="inlineStr">
        <is>
          <t>Japan</t>
        </is>
      </c>
      <c r="C1369" s="19" t="n">
        <v>122810000</v>
      </c>
      <c r="D1369" s="18" t="inlineStr">
        <is>
          <t>JP</t>
        </is>
      </c>
      <c r="E1369" s="18" t="inlineStr">
        <is>
          <t>26</t>
        </is>
      </c>
      <c r="F1369" s="20" t="n">
        <v>360176</v>
      </c>
      <c r="G1369" s="18" t="n"/>
      <c r="H1369" s="18" t="n"/>
      <c r="I1369" s="18" t="n"/>
      <c r="J1369" s="18" t="n"/>
      <c r="K1369" s="18" t="n"/>
      <c r="L1369" s="18" t="inlineStr">
        <is>
          <t>100k +  pop</t>
        </is>
      </c>
      <c r="M1369" s="22" t="n">
        <v>0</v>
      </c>
      <c r="N1369" s="22" t="n">
        <v>0</v>
      </c>
      <c r="O1369" s="18" t="n"/>
      <c r="P1369" s="22">
        <f>IF(O1369="",(About!$B$5*M1369+About!$B$6*N1369)/(About!$B$5+About!$B$6),About!$B$5*M1369+About!$B$6*N1369+About!$B$7*O1369)</f>
        <v/>
      </c>
      <c r="Q1369" s="23" t="n">
        <v>36.65</v>
      </c>
      <c r="R1369" s="23" t="n">
        <v>138.1833</v>
      </c>
    </row>
    <row r="1370" ht="15" customHeight="1" s="12">
      <c r="A1370" s="18" t="inlineStr">
        <is>
          <t>San Jose del Monte</t>
        </is>
      </c>
      <c r="B1370" s="18" t="inlineStr">
        <is>
          <t>Philippines</t>
        </is>
      </c>
      <c r="C1370" s="19" t="n">
        <v>114123600</v>
      </c>
      <c r="D1370" s="18" t="inlineStr">
        <is>
          <t>PH</t>
        </is>
      </c>
      <c r="E1370" s="18" t="inlineStr">
        <is>
          <t>03</t>
        </is>
      </c>
      <c r="F1370" s="20" t="n">
        <v>357828</v>
      </c>
      <c r="G1370" s="18" t="n"/>
      <c r="H1370" s="18" t="n"/>
      <c r="I1370" s="18" t="n"/>
      <c r="J1370" s="18" t="n"/>
      <c r="K1370" s="18" t="n"/>
      <c r="L1370" s="18" t="inlineStr">
        <is>
          <t>100k +  pop</t>
        </is>
      </c>
      <c r="M1370" s="22" t="n">
        <v>0</v>
      </c>
      <c r="N1370" s="22" t="n">
        <v>0</v>
      </c>
      <c r="O1370" s="18" t="n"/>
      <c r="P1370" s="22">
        <f>IF(O1370="",(About!$B$5*M1370+About!$B$6*N1370)/(About!$B$5+About!$B$6),About!$B$5*M1370+About!$B$6*N1370+About!$B$7*O1370)</f>
        <v/>
      </c>
      <c r="Q1370" s="23" t="n">
        <v>14.8139</v>
      </c>
      <c r="R1370" s="23" t="n">
        <v>121.0453</v>
      </c>
    </row>
    <row r="1371" ht="15" customHeight="1" s="12">
      <c r="A1371" s="18" t="inlineStr">
        <is>
          <t>Zanjān</t>
        </is>
      </c>
      <c r="B1371" s="18" t="inlineStr">
        <is>
          <t>Iran</t>
        </is>
      </c>
      <c r="C1371" s="19" t="n">
        <v>87134000</v>
      </c>
      <c r="D1371" s="18" t="inlineStr">
        <is>
          <t>IR</t>
        </is>
      </c>
      <c r="E1371" s="18" t="inlineStr">
        <is>
          <t>36</t>
        </is>
      </c>
      <c r="F1371" s="20" t="n">
        <v>357471</v>
      </c>
      <c r="G1371" s="18" t="n"/>
      <c r="H1371" s="18" t="n"/>
      <c r="I1371" s="18" t="n"/>
      <c r="J1371" s="18" t="n"/>
      <c r="K1371" s="18" t="n"/>
      <c r="L1371" s="18" t="inlineStr">
        <is>
          <t>100k +  pop</t>
        </is>
      </c>
      <c r="M1371" s="22" t="n">
        <v>0</v>
      </c>
      <c r="N1371" s="22" t="n">
        <v>0</v>
      </c>
      <c r="O1371" s="18" t="n"/>
      <c r="P1371" s="22">
        <f>IF(O1371="",(About!$B$5*M1371+About!$B$6*N1371)/(About!$B$5+About!$B$6),About!$B$5*M1371+About!$B$6*N1371+About!$B$7*O1371)</f>
        <v/>
      </c>
      <c r="Q1371" s="23" t="n">
        <v>36.6764</v>
      </c>
      <c r="R1371" s="23" t="n">
        <v>48.4963</v>
      </c>
    </row>
    <row r="1372" ht="15" customHeight="1" s="12">
      <c r="A1372" s="18" t="inlineStr">
        <is>
          <t>Kosti</t>
        </is>
      </c>
      <c r="B1372" s="18" t="inlineStr">
        <is>
          <t>Sudan</t>
        </is>
      </c>
      <c r="C1372" s="19" t="n">
        <v>51662000</v>
      </c>
      <c r="D1372" s="18" t="inlineStr">
        <is>
          <t>SD</t>
        </is>
      </c>
      <c r="E1372" s="18" t="inlineStr">
        <is>
          <t>41</t>
        </is>
      </c>
      <c r="F1372" s="20" t="n">
        <v>345068</v>
      </c>
      <c r="G1372" s="18" t="n"/>
      <c r="H1372" s="18" t="n"/>
      <c r="I1372" s="18" t="n"/>
      <c r="J1372" s="18" t="n"/>
      <c r="K1372" s="18" t="n"/>
      <c r="L1372" s="18" t="inlineStr">
        <is>
          <t>100k +  pop</t>
        </is>
      </c>
      <c r="M1372" s="22" t="n">
        <v>0</v>
      </c>
      <c r="N1372" s="22" t="n">
        <v>0</v>
      </c>
      <c r="O1372" s="18" t="n"/>
      <c r="P1372" s="22">
        <f>IF(O1372="",(About!$B$5*M1372+About!$B$6*N1372)/(About!$B$5+About!$B$6),About!$B$5*M1372+About!$B$6*N1372+About!$B$7*O1372)</f>
        <v/>
      </c>
      <c r="Q1372" s="23" t="n">
        <v>13.1629</v>
      </c>
      <c r="R1372" s="23" t="n">
        <v>32.6635</v>
      </c>
    </row>
    <row r="1373" ht="15" customHeight="1" s="12">
      <c r="A1373" s="18" t="inlineStr">
        <is>
          <t>Rangpur</t>
        </is>
      </c>
      <c r="B1373" s="18" t="inlineStr">
        <is>
          <t>Bangladesh</t>
        </is>
      </c>
      <c r="C1373" s="19" t="n">
        <v>169828911</v>
      </c>
      <c r="D1373" s="18" t="inlineStr">
        <is>
          <t>BD</t>
        </is>
      </c>
      <c r="E1373" s="18" t="inlineStr">
        <is>
          <t>87</t>
        </is>
      </c>
      <c r="F1373" s="20" t="n">
        <v>343122</v>
      </c>
      <c r="G1373" s="18" t="n"/>
      <c r="H1373" s="18" t="n"/>
      <c r="I1373" s="18" t="n"/>
      <c r="J1373" s="18" t="n"/>
      <c r="K1373" s="18" t="n"/>
      <c r="L1373" s="18" t="inlineStr">
        <is>
          <t>100k +  pop</t>
        </is>
      </c>
      <c r="M1373" s="22" t="n">
        <v>0</v>
      </c>
      <c r="N1373" s="22" t="n">
        <v>0</v>
      </c>
      <c r="O1373" s="18" t="n"/>
      <c r="P1373" s="22">
        <f>IF(O1373="",(About!$B$5*M1373+About!$B$6*N1373)/(About!$B$5+About!$B$6),About!$B$5*M1373+About!$B$6*N1373+About!$B$7*O1373)</f>
        <v/>
      </c>
      <c r="Q1373" s="23" t="n">
        <v>25.7466</v>
      </c>
      <c r="R1373" s="23" t="n">
        <v>89.2517</v>
      </c>
    </row>
    <row r="1374" ht="15" customHeight="1" s="12">
      <c r="A1374" s="18" t="inlineStr">
        <is>
          <t>Bhimbar</t>
        </is>
      </c>
      <c r="B1374" s="18" t="inlineStr">
        <is>
          <t>Pakistan</t>
        </is>
      </c>
      <c r="C1374" s="19" t="n">
        <v>241499431</v>
      </c>
      <c r="D1374" s="18" t="inlineStr">
        <is>
          <t>PK</t>
        </is>
      </c>
      <c r="E1374" s="18" t="inlineStr">
        <is>
          <t>06</t>
        </is>
      </c>
      <c r="F1374" s="20" t="n">
        <v>342900</v>
      </c>
      <c r="G1374" s="18" t="n"/>
      <c r="H1374" s="18" t="n"/>
      <c r="I1374" s="18" t="n"/>
      <c r="J1374" s="18" t="n"/>
      <c r="K1374" s="18" t="n"/>
      <c r="L1374" s="18" t="inlineStr">
        <is>
          <t>100k +  pop</t>
        </is>
      </c>
      <c r="M1374" s="22" t="n">
        <v>0</v>
      </c>
      <c r="N1374" s="22" t="n">
        <v>0</v>
      </c>
      <c r="O1374" s="18" t="n"/>
      <c r="P1374" s="22">
        <f>IF(O1374="",(About!$B$5*M1374+About!$B$6*N1374)/(About!$B$5+About!$B$6),About!$B$5*M1374+About!$B$6*N1374+About!$B$7*O1374)</f>
        <v/>
      </c>
      <c r="Q1374" s="23" t="n">
        <v>32.9746</v>
      </c>
      <c r="R1374" s="23" t="n">
        <v>74.07850000000001</v>
      </c>
    </row>
    <row r="1375" ht="15" customHeight="1" s="12">
      <c r="A1375" s="18" t="inlineStr">
        <is>
          <t>Iligan</t>
        </is>
      </c>
      <c r="B1375" s="18" t="inlineStr">
        <is>
          <t>Philippines</t>
        </is>
      </c>
      <c r="C1375" s="19" t="n">
        <v>114123600</v>
      </c>
      <c r="D1375" s="18" t="inlineStr">
        <is>
          <t>PH</t>
        </is>
      </c>
      <c r="E1375" s="18" t="inlineStr">
        <is>
          <t>10</t>
        </is>
      </c>
      <c r="F1375" s="20" t="n">
        <v>342618</v>
      </c>
      <c r="G1375" s="18" t="n"/>
      <c r="H1375" s="18" t="n"/>
      <c r="I1375" s="18" t="n"/>
      <c r="J1375" s="18" t="n"/>
      <c r="K1375" s="18" t="n"/>
      <c r="L1375" s="18" t="inlineStr">
        <is>
          <t>100k +  pop</t>
        </is>
      </c>
      <c r="M1375" s="22" t="n">
        <v>0</v>
      </c>
      <c r="N1375" s="22" t="n">
        <v>0</v>
      </c>
      <c r="O1375" s="18" t="n"/>
      <c r="P1375" s="22">
        <f>IF(O1375="",(About!$B$5*M1375+About!$B$6*N1375)/(About!$B$5+About!$B$6),About!$B$5*M1375+About!$B$6*N1375+About!$B$7*O1375)</f>
        <v/>
      </c>
      <c r="Q1375" s="23" t="n">
        <v>8.228899999999999</v>
      </c>
      <c r="R1375" s="23" t="n">
        <v>124.2434</v>
      </c>
    </row>
    <row r="1376" ht="15" customHeight="1" s="12">
      <c r="A1376" s="18" t="inlineStr">
        <is>
          <t>Jhang Sadr</t>
        </is>
      </c>
      <c r="B1376" s="18" t="inlineStr">
        <is>
          <t>Pakistan</t>
        </is>
      </c>
      <c r="C1376" s="19" t="n">
        <v>241499431</v>
      </c>
      <c r="D1376" s="18" t="inlineStr">
        <is>
          <t>PK</t>
        </is>
      </c>
      <c r="E1376" s="18" t="inlineStr">
        <is>
          <t>04</t>
        </is>
      </c>
      <c r="F1376" s="20" t="n">
        <v>341210</v>
      </c>
      <c r="G1376" s="18" t="n"/>
      <c r="H1376" s="18" t="n"/>
      <c r="I1376" s="18" t="n"/>
      <c r="J1376" s="18" t="n"/>
      <c r="K1376" s="18" t="n"/>
      <c r="L1376" s="18" t="inlineStr">
        <is>
          <t>100k +  pop</t>
        </is>
      </c>
      <c r="M1376" s="22" t="n">
        <v>0</v>
      </c>
      <c r="N1376" s="22" t="n">
        <v>0</v>
      </c>
      <c r="O1376" s="18" t="n"/>
      <c r="P1376" s="22">
        <f>IF(O1376="",(About!$B$5*M1376+About!$B$6*N1376)/(About!$B$5+About!$B$6),About!$B$5*M1376+About!$B$6*N1376+About!$B$7*O1376)</f>
        <v/>
      </c>
      <c r="Q1376" s="23" t="n">
        <v>31.2698</v>
      </c>
      <c r="R1376" s="23" t="n">
        <v>72.3169</v>
      </c>
    </row>
    <row r="1377" ht="15" customHeight="1" s="12">
      <c r="A1377" s="18" t="inlineStr">
        <is>
          <t>Plovdiv</t>
        </is>
      </c>
      <c r="B1377" s="18" t="inlineStr">
        <is>
          <t>Bulgaria</t>
        </is>
      </c>
      <c r="C1377" s="19" t="n">
        <v>6423207</v>
      </c>
      <c r="D1377" s="18" t="inlineStr">
        <is>
          <t>BG</t>
        </is>
      </c>
      <c r="E1377" s="18" t="inlineStr">
        <is>
          <t>51</t>
        </is>
      </c>
      <c r="F1377" s="20" t="n">
        <v>340494</v>
      </c>
      <c r="G1377" s="18" t="n"/>
      <c r="H1377" s="18" t="inlineStr">
        <is>
          <t>PDV</t>
        </is>
      </c>
      <c r="I1377" s="18" t="inlineStr">
        <is>
          <t>Plovdiv International Airport</t>
        </is>
      </c>
      <c r="J1377" s="21" t="n">
        <v>12.4</v>
      </c>
      <c r="K1377" s="18" t="inlineStr">
        <is>
          <t>PDV</t>
        </is>
      </c>
      <c r="L1377" s="18" t="inlineStr">
        <is>
          <t>100k +  pop + airport</t>
        </is>
      </c>
      <c r="M1377" s="22" t="n">
        <v>0</v>
      </c>
      <c r="N1377" s="22" t="n">
        <v>0</v>
      </c>
      <c r="O1377" s="18" t="n"/>
      <c r="P1377" s="22">
        <f>IF(O1377="",(About!$B$5*M1377+About!$B$6*N1377)/(About!$B$5+About!$B$6),About!$B$5*M1377+About!$B$6*N1377+About!$B$7*O1377)</f>
        <v/>
      </c>
      <c r="Q1377" s="23" t="n">
        <v>42.15</v>
      </c>
      <c r="R1377" s="23" t="n">
        <v>24.75</v>
      </c>
    </row>
    <row r="1378" ht="15" customHeight="1" s="12">
      <c r="A1378" s="18" t="inlineStr">
        <is>
          <t>Cuernavaca</t>
        </is>
      </c>
      <c r="B1378" s="18" t="inlineStr">
        <is>
          <t>Mexico</t>
        </is>
      </c>
      <c r="C1378" s="19" t="n">
        <v>131150866</v>
      </c>
      <c r="D1378" s="18" t="inlineStr">
        <is>
          <t>MX</t>
        </is>
      </c>
      <c r="E1378" s="18" t="inlineStr">
        <is>
          <t>17</t>
        </is>
      </c>
      <c r="F1378" s="20" t="n">
        <v>338650</v>
      </c>
      <c r="G1378" s="18" t="n"/>
      <c r="H1378" s="18" t="n"/>
      <c r="I1378" s="18" t="n"/>
      <c r="J1378" s="18" t="n"/>
      <c r="K1378" s="18" t="n"/>
      <c r="L1378" s="18" t="inlineStr">
        <is>
          <t>100k +  pop</t>
        </is>
      </c>
      <c r="M1378" s="22" t="n">
        <v>0</v>
      </c>
      <c r="N1378" s="22" t="n">
        <v>0</v>
      </c>
      <c r="O1378" s="18" t="n"/>
      <c r="P1378" s="22">
        <f>IF(O1378="",(About!$B$5*M1378+About!$B$6*N1378)/(About!$B$5+About!$B$6),About!$B$5*M1378+About!$B$6*N1378+About!$B$7*O1378)</f>
        <v/>
      </c>
      <c r="Q1378" s="23" t="n">
        <v>18.9261</v>
      </c>
      <c r="R1378" s="23" t="n">
        <v>-99.2308</v>
      </c>
    </row>
    <row r="1379" ht="15" customHeight="1" s="12">
      <c r="A1379" s="18" t="inlineStr">
        <is>
          <t>Ciudad Bolívar</t>
        </is>
      </c>
      <c r="B1379" s="18" t="inlineStr">
        <is>
          <t>Venezuela</t>
        </is>
      </c>
      <c r="C1379" s="19" t="n">
        <v>28517000</v>
      </c>
      <c r="D1379" s="18" t="inlineStr">
        <is>
          <t>VE</t>
        </is>
      </c>
      <c r="E1379" s="18" t="inlineStr">
        <is>
          <t>06</t>
        </is>
      </c>
      <c r="F1379" s="20" t="n">
        <v>338000</v>
      </c>
      <c r="G1379" s="18" t="n"/>
      <c r="H1379" s="18" t="n"/>
      <c r="I1379" s="18" t="n"/>
      <c r="J1379" s="18" t="n"/>
      <c r="K1379" s="18" t="n"/>
      <c r="L1379" s="18" t="inlineStr">
        <is>
          <t>100k +  pop</t>
        </is>
      </c>
      <c r="M1379" s="22" t="n">
        <v>0</v>
      </c>
      <c r="N1379" s="22" t="n">
        <v>0</v>
      </c>
      <c r="O1379" s="18" t="n"/>
      <c r="P1379" s="22">
        <f>IF(O1379="",(About!$B$5*M1379+About!$B$6*N1379)/(About!$B$5+About!$B$6),About!$B$5*M1379+About!$B$6*N1379+About!$B$7*O1379)</f>
        <v/>
      </c>
      <c r="Q1379" s="23" t="n">
        <v>8.129200000000001</v>
      </c>
      <c r="R1379" s="23" t="n">
        <v>-63.5409</v>
      </c>
    </row>
    <row r="1380" ht="15" customHeight="1" s="12">
      <c r="A1380" s="18" t="inlineStr">
        <is>
          <t>Qazvin</t>
        </is>
      </c>
      <c r="B1380" s="18" t="inlineStr">
        <is>
          <t>Iran</t>
        </is>
      </c>
      <c r="C1380" s="19" t="n">
        <v>87134000</v>
      </c>
      <c r="D1380" s="18" t="inlineStr">
        <is>
          <t>IR</t>
        </is>
      </c>
      <c r="E1380" s="18" t="inlineStr">
        <is>
          <t>38</t>
        </is>
      </c>
      <c r="F1380" s="20" t="n">
        <v>333635</v>
      </c>
      <c r="G1380" s="18" t="n"/>
      <c r="H1380" s="18" t="n"/>
      <c r="I1380" s="18" t="n"/>
      <c r="J1380" s="18" t="n"/>
      <c r="K1380" s="18" t="n"/>
      <c r="L1380" s="18" t="inlineStr">
        <is>
          <t>100k +  pop</t>
        </is>
      </c>
      <c r="M1380" s="22" t="n">
        <v>0</v>
      </c>
      <c r="N1380" s="22" t="n">
        <v>0</v>
      </c>
      <c r="O1380" s="18" t="n"/>
      <c r="P1380" s="22">
        <f>IF(O1380="",(About!$B$5*M1380+About!$B$6*N1380)/(About!$B$5+About!$B$6),About!$B$5*M1380+About!$B$6*N1380+About!$B$7*O1380)</f>
        <v/>
      </c>
      <c r="Q1380" s="23" t="n">
        <v>36.2688</v>
      </c>
      <c r="R1380" s="23" t="n">
        <v>50.0041</v>
      </c>
    </row>
    <row r="1381" ht="15" customHeight="1" s="12">
      <c r="A1381" s="18" t="inlineStr">
        <is>
          <t>Wad Medani</t>
        </is>
      </c>
      <c r="B1381" s="18" t="inlineStr">
        <is>
          <t>Sudan</t>
        </is>
      </c>
      <c r="C1381" s="19" t="n">
        <v>51662000</v>
      </c>
      <c r="D1381" s="18" t="inlineStr">
        <is>
          <t>SD</t>
        </is>
      </c>
      <c r="E1381" s="18" t="inlineStr">
        <is>
          <t>38</t>
        </is>
      </c>
      <c r="F1381" s="20" t="n">
        <v>332714</v>
      </c>
      <c r="G1381" s="18" t="n"/>
      <c r="H1381" s="18" t="n"/>
      <c r="I1381" s="18" t="n"/>
      <c r="J1381" s="18" t="n"/>
      <c r="K1381" s="18" t="n"/>
      <c r="L1381" s="18" t="inlineStr">
        <is>
          <t>100k +  pop</t>
        </is>
      </c>
      <c r="M1381" s="22" t="n">
        <v>0</v>
      </c>
      <c r="N1381" s="22" t="n">
        <v>0</v>
      </c>
      <c r="O1381" s="18" t="n"/>
      <c r="P1381" s="22">
        <f>IF(O1381="",(About!$B$5*M1381+About!$B$6*N1381)/(About!$B$5+About!$B$6),About!$B$5*M1381+About!$B$6*N1381+About!$B$7*O1381)</f>
        <v/>
      </c>
      <c r="Q1381" s="23" t="n">
        <v>14.4012</v>
      </c>
      <c r="R1381" s="23" t="n">
        <v>33.5199</v>
      </c>
    </row>
    <row r="1382" ht="15" customHeight="1" s="12">
      <c r="A1382" s="18" t="inlineStr">
        <is>
          <t>Bielefeld</t>
        </is>
      </c>
      <c r="B1382" s="18" t="inlineStr">
        <is>
          <t>Germany</t>
        </is>
      </c>
      <c r="C1382" s="19" t="n">
        <v>83497147</v>
      </c>
      <c r="D1382" s="18" t="inlineStr">
        <is>
          <t>DE</t>
        </is>
      </c>
      <c r="E1382" s="18" t="inlineStr">
        <is>
          <t>07</t>
        </is>
      </c>
      <c r="F1382" s="20" t="n">
        <v>331906</v>
      </c>
      <c r="G1382" s="18" t="n"/>
      <c r="H1382" s="18" t="n"/>
      <c r="I1382" s="18" t="n"/>
      <c r="J1382" s="18" t="n"/>
      <c r="K1382" s="18" t="n"/>
      <c r="L1382" s="18" t="inlineStr">
        <is>
          <t>100k +  pop</t>
        </is>
      </c>
      <c r="M1382" s="22" t="n">
        <v>0</v>
      </c>
      <c r="N1382" s="22" t="n">
        <v>0</v>
      </c>
      <c r="O1382" s="18" t="n"/>
      <c r="P1382" s="22">
        <f>IF(O1382="",(About!$B$5*M1382+About!$B$6*N1382)/(About!$B$5+About!$B$6),About!$B$5*M1382+About!$B$6*N1382+About!$B$7*O1382)</f>
        <v/>
      </c>
      <c r="Q1382" s="23" t="n">
        <v>52.0333</v>
      </c>
      <c r="R1382" s="23" t="n">
        <v>8.533300000000001</v>
      </c>
    </row>
    <row r="1383" ht="15" customHeight="1" s="12">
      <c r="A1383" s="18" t="inlineStr">
        <is>
          <t>Soyapango</t>
        </is>
      </c>
      <c r="B1383" s="18" t="inlineStr">
        <is>
          <t>El Salvador</t>
        </is>
      </c>
      <c r="C1383" s="19" t="n">
        <v>6029976</v>
      </c>
      <c r="D1383" s="18" t="inlineStr">
        <is>
          <t>SV</t>
        </is>
      </c>
      <c r="E1383" s="18" t="inlineStr">
        <is>
          <t>10</t>
        </is>
      </c>
      <c r="F1383" s="20" t="n">
        <v>329708</v>
      </c>
      <c r="G1383" s="18" t="n"/>
      <c r="H1383" s="18" t="inlineStr">
        <is>
          <t>ILS</t>
        </is>
      </c>
      <c r="I1383" s="18" t="inlineStr">
        <is>
          <t>Ilopango International Airport</t>
        </is>
      </c>
      <c r="J1383" s="21" t="n">
        <v>2.5</v>
      </c>
      <c r="K1383" s="18" t="inlineStr">
        <is>
          <t>ILS</t>
        </is>
      </c>
      <c r="L1383" s="18" t="inlineStr">
        <is>
          <t>100k +  pop + airport</t>
        </is>
      </c>
      <c r="M1383" s="22" t="n">
        <v>0</v>
      </c>
      <c r="N1383" s="22" t="n">
        <v>0</v>
      </c>
      <c r="O1383" s="18" t="n"/>
      <c r="P1383" s="22">
        <f>IF(O1383="",(About!$B$5*M1383+About!$B$6*N1383)/(About!$B$5+About!$B$6),About!$B$5*M1383+About!$B$6*N1383+About!$B$7*O1383)</f>
        <v/>
      </c>
      <c r="Q1383" s="23" t="n">
        <v>13.7102</v>
      </c>
      <c r="R1383" s="23" t="n">
        <v>-89.1399</v>
      </c>
    </row>
    <row r="1384" ht="15" customHeight="1" s="12">
      <c r="A1384" s="18" t="inlineStr">
        <is>
          <t>Al ‘Amārah</t>
        </is>
      </c>
      <c r="B1384" s="18" t="inlineStr">
        <is>
          <t>Iraq</t>
        </is>
      </c>
      <c r="C1384" s="19" t="n">
        <v>46118793</v>
      </c>
      <c r="D1384" s="18" t="inlineStr">
        <is>
          <t>IQ</t>
        </is>
      </c>
      <c r="E1384" s="18" t="inlineStr">
        <is>
          <t>14</t>
        </is>
      </c>
      <c r="F1384" s="20" t="n">
        <v>323302</v>
      </c>
      <c r="G1384" s="18" t="n"/>
      <c r="H1384" s="18" t="n"/>
      <c r="I1384" s="18" t="n"/>
      <c r="J1384" s="18" t="n"/>
      <c r="K1384" s="18" t="n"/>
      <c r="L1384" s="18" t="inlineStr">
        <is>
          <t>100k +  pop</t>
        </is>
      </c>
      <c r="M1384" s="22" t="n">
        <v>0</v>
      </c>
      <c r="N1384" s="22" t="n">
        <v>0</v>
      </c>
      <c r="O1384" s="18" t="n"/>
      <c r="P1384" s="22">
        <f>IF(O1384="",(About!$B$5*M1384+About!$B$6*N1384)/(About!$B$5+About!$B$6),About!$B$5*M1384+About!$B$6*N1384+About!$B$7*O1384)</f>
        <v/>
      </c>
      <c r="Q1384" s="23" t="n">
        <v>31.8356</v>
      </c>
      <c r="R1384" s="23" t="n">
        <v>47.1448</v>
      </c>
    </row>
    <row r="1385" ht="15" customHeight="1" s="12">
      <c r="A1385" s="18" t="inlineStr">
        <is>
          <t>Ad Dīwānīyah</t>
        </is>
      </c>
      <c r="B1385" s="18" t="inlineStr">
        <is>
          <t>Iraq</t>
        </is>
      </c>
      <c r="C1385" s="19" t="n">
        <v>46118793</v>
      </c>
      <c r="D1385" s="18" t="inlineStr">
        <is>
          <t>IQ</t>
        </is>
      </c>
      <c r="E1385" s="18" t="inlineStr">
        <is>
          <t>04</t>
        </is>
      </c>
      <c r="F1385" s="20" t="n">
        <v>318801</v>
      </c>
      <c r="G1385" s="18" t="n"/>
      <c r="H1385" s="18" t="n"/>
      <c r="I1385" s="18" t="n"/>
      <c r="J1385" s="18" t="n"/>
      <c r="K1385" s="18" t="n"/>
      <c r="L1385" s="18" t="inlineStr">
        <is>
          <t>100k +  pop</t>
        </is>
      </c>
      <c r="M1385" s="22" t="n">
        <v>0</v>
      </c>
      <c r="N1385" s="22" t="n">
        <v>0</v>
      </c>
      <c r="O1385" s="18" t="n"/>
      <c r="P1385" s="22">
        <f>IF(O1385="",(About!$B$5*M1385+About!$B$6*N1385)/(About!$B$5+About!$B$6),About!$B$5*M1385+About!$B$6*N1385+About!$B$7*O1385)</f>
        <v/>
      </c>
      <c r="Q1385" s="23" t="n">
        <v>31.9929</v>
      </c>
      <c r="R1385" s="23" t="n">
        <v>44.9255</v>
      </c>
    </row>
    <row r="1386" ht="15" customHeight="1" s="12">
      <c r="A1386" s="18" t="inlineStr">
        <is>
          <t>Mataram</t>
        </is>
      </c>
      <c r="B1386" s="18" t="inlineStr">
        <is>
          <t>Indonesia</t>
        </is>
      </c>
      <c r="C1386" s="19" t="n">
        <v>288315089</v>
      </c>
      <c r="D1386" s="18" t="inlineStr">
        <is>
          <t>ID</t>
        </is>
      </c>
      <c r="E1386" s="18" t="inlineStr">
        <is>
          <t>17</t>
        </is>
      </c>
      <c r="F1386" s="20" t="n">
        <v>318674</v>
      </c>
      <c r="G1386" s="18" t="n"/>
      <c r="H1386" s="18" t="n"/>
      <c r="I1386" s="18" t="n"/>
      <c r="J1386" s="18" t="n"/>
      <c r="K1386" s="18" t="n"/>
      <c r="L1386" s="18" t="inlineStr">
        <is>
          <t>100k +  pop</t>
        </is>
      </c>
      <c r="M1386" s="22" t="n">
        <v>0</v>
      </c>
      <c r="N1386" s="22" t="n">
        <v>0</v>
      </c>
      <c r="O1386" s="18" t="n"/>
      <c r="P1386" s="22">
        <f>IF(O1386="",(About!$B$5*M1386+About!$B$6*N1386)/(About!$B$5+About!$B$6),About!$B$5*M1386+About!$B$6*N1386+About!$B$7*O1386)</f>
        <v/>
      </c>
      <c r="Q1386" s="23" t="n">
        <v>-8.583299999999999</v>
      </c>
      <c r="R1386" s="23" t="n">
        <v>116.1167</v>
      </c>
    </row>
    <row r="1387" ht="15" customHeight="1" s="12">
      <c r="A1387" s="18" t="inlineStr">
        <is>
          <t>Reading</t>
        </is>
      </c>
      <c r="B1387" s="18" t="inlineStr">
        <is>
          <t>United Kingdom</t>
        </is>
      </c>
      <c r="C1387" s="19" t="n">
        <v>69487000</v>
      </c>
      <c r="D1387" s="18" t="inlineStr">
        <is>
          <t>GB</t>
        </is>
      </c>
      <c r="E1387" s="18" t="inlineStr">
        <is>
          <t>ENG</t>
        </is>
      </c>
      <c r="F1387" s="20" t="n">
        <v>318014</v>
      </c>
      <c r="G1387" s="18" t="n"/>
      <c r="H1387" s="18" t="n"/>
      <c r="I1387" s="18" t="n"/>
      <c r="J1387" s="18" t="n"/>
      <c r="K1387" s="18" t="n"/>
      <c r="L1387" s="18" t="inlineStr">
        <is>
          <t>100k +  pop</t>
        </is>
      </c>
      <c r="M1387" s="22" t="n">
        <v>0</v>
      </c>
      <c r="N1387" s="22" t="n">
        <v>0</v>
      </c>
      <c r="O1387" s="18" t="n"/>
      <c r="P1387" s="22">
        <f>IF(O1387="",(About!$B$5*M1387+About!$B$6*N1387)/(About!$B$5+About!$B$6),About!$B$5*M1387+About!$B$6*N1387+About!$B$7*O1387)</f>
        <v/>
      </c>
      <c r="Q1387" s="23" t="n">
        <v>51.4562</v>
      </c>
      <c r="R1387" s="23" t="n">
        <v>-0.9711</v>
      </c>
    </row>
    <row r="1388" ht="15" customHeight="1" s="12">
      <c r="A1388" s="18" t="inlineStr">
        <is>
          <t>Hrodna</t>
        </is>
      </c>
      <c r="B1388" s="18" t="inlineStr">
        <is>
          <t>Belarus</t>
        </is>
      </c>
      <c r="C1388" s="19" t="n">
        <v>9056080</v>
      </c>
      <c r="D1388" s="18" t="inlineStr">
        <is>
          <t>BY</t>
        </is>
      </c>
      <c r="E1388" s="18" t="inlineStr">
        <is>
          <t>03</t>
        </is>
      </c>
      <c r="F1388" s="20" t="n">
        <v>317365</v>
      </c>
      <c r="G1388" s="18" t="n"/>
      <c r="H1388" s="18" t="n"/>
      <c r="I1388" s="18" t="n"/>
      <c r="J1388" s="18" t="n"/>
      <c r="K1388" s="18" t="n"/>
      <c r="L1388" s="18" t="inlineStr">
        <is>
          <t>100k +  pop</t>
        </is>
      </c>
      <c r="M1388" s="22" t="n">
        <v>0</v>
      </c>
      <c r="N1388" s="22" t="n">
        <v>0</v>
      </c>
      <c r="O1388" s="18" t="n"/>
      <c r="P1388" s="22">
        <f>IF(O1388="",(About!$B$5*M1388+About!$B$6*N1388)/(About!$B$5+About!$B$6),About!$B$5*M1388+About!$B$6*N1388+About!$B$7*O1388)</f>
        <v/>
      </c>
      <c r="Q1388" s="23" t="n">
        <v>53.6884</v>
      </c>
      <c r="R1388" s="23" t="n">
        <v>23.8258</v>
      </c>
    </row>
    <row r="1389" ht="15" customHeight="1" s="12">
      <c r="A1389" s="18" t="inlineStr">
        <is>
          <t>Calamba</t>
        </is>
      </c>
      <c r="B1389" s="18" t="inlineStr">
        <is>
          <t>Philippines</t>
        </is>
      </c>
      <c r="C1389" s="19" t="n">
        <v>114123600</v>
      </c>
      <c r="D1389" s="18" t="inlineStr">
        <is>
          <t>PH</t>
        </is>
      </c>
      <c r="E1389" s="18" t="inlineStr">
        <is>
          <t>40</t>
        </is>
      </c>
      <c r="F1389" s="20" t="n">
        <v>316612</v>
      </c>
      <c r="G1389" s="18" t="n"/>
      <c r="H1389" s="18" t="n"/>
      <c r="I1389" s="18" t="n"/>
      <c r="J1389" s="18" t="n"/>
      <c r="K1389" s="18" t="n"/>
      <c r="L1389" s="18" t="inlineStr">
        <is>
          <t>100k +  pop</t>
        </is>
      </c>
      <c r="M1389" s="22" t="n">
        <v>0</v>
      </c>
      <c r="N1389" s="22" t="n">
        <v>0</v>
      </c>
      <c r="O1389" s="18" t="n"/>
      <c r="P1389" s="22">
        <f>IF(O1389="",(About!$B$5*M1389+About!$B$6*N1389)/(About!$B$5+About!$B$6),About!$B$5*M1389+About!$B$6*N1389+About!$B$7*O1389)</f>
        <v/>
      </c>
      <c r="Q1389" s="23" t="n">
        <v>14.2117</v>
      </c>
      <c r="R1389" s="23" t="n">
        <v>121.1653</v>
      </c>
    </row>
    <row r="1390" ht="15" customHeight="1" s="12">
      <c r="A1390" s="18" t="inlineStr">
        <is>
          <t>Al Kūt</t>
        </is>
      </c>
      <c r="B1390" s="18" t="inlineStr">
        <is>
          <t>Iraq</t>
        </is>
      </c>
      <c r="C1390" s="19" t="n">
        <v>46118793</v>
      </c>
      <c r="D1390" s="18" t="inlineStr">
        <is>
          <t>IQ</t>
        </is>
      </c>
      <c r="E1390" s="18" t="inlineStr">
        <is>
          <t>16</t>
        </is>
      </c>
      <c r="F1390" s="20" t="n">
        <v>315162</v>
      </c>
      <c r="G1390" s="18" t="n"/>
      <c r="H1390" s="18" t="n"/>
      <c r="I1390" s="18" t="n"/>
      <c r="J1390" s="18" t="n"/>
      <c r="K1390" s="18" t="n"/>
      <c r="L1390" s="18" t="inlineStr">
        <is>
          <t>100k +  pop</t>
        </is>
      </c>
      <c r="M1390" s="22" t="n">
        <v>0</v>
      </c>
      <c r="N1390" s="22" t="n">
        <v>0</v>
      </c>
      <c r="O1390" s="18" t="n"/>
      <c r="P1390" s="22">
        <f>IF(O1390="",(About!$B$5*M1390+About!$B$6*N1390)/(About!$B$5+About!$B$6),About!$B$5*M1390+About!$B$6*N1390+About!$B$7*O1390)</f>
        <v/>
      </c>
      <c r="Q1390" s="23" t="n">
        <v>32.5128</v>
      </c>
      <c r="R1390" s="23" t="n">
        <v>45.8182</v>
      </c>
    </row>
    <row r="1391" ht="15" customHeight="1" s="12">
      <c r="A1391" s="18" t="inlineStr">
        <is>
          <t>Preston</t>
        </is>
      </c>
      <c r="B1391" s="18" t="inlineStr">
        <is>
          <t>United Kingdom</t>
        </is>
      </c>
      <c r="C1391" s="19" t="n">
        <v>69487000</v>
      </c>
      <c r="D1391" s="18" t="inlineStr">
        <is>
          <t>GB</t>
        </is>
      </c>
      <c r="E1391" s="18" t="inlineStr">
        <is>
          <t>ENG</t>
        </is>
      </c>
      <c r="F1391" s="20" t="n">
        <v>313332</v>
      </c>
      <c r="G1391" s="18" t="n"/>
      <c r="H1391" s="18" t="n"/>
      <c r="I1391" s="18" t="n"/>
      <c r="J1391" s="18" t="n"/>
      <c r="K1391" s="18" t="n"/>
      <c r="L1391" s="18" t="inlineStr">
        <is>
          <t>100k +  pop</t>
        </is>
      </c>
      <c r="M1391" s="22" t="n">
        <v>0</v>
      </c>
      <c r="N1391" s="22" t="n">
        <v>0</v>
      </c>
      <c r="O1391" s="18" t="n"/>
      <c r="P1391" s="22">
        <f>IF(O1391="",(About!$B$5*M1391+About!$B$6*N1391)/(About!$B$5+About!$B$6),About!$B$5*M1391+About!$B$6*N1391+About!$B$7*O1391)</f>
        <v/>
      </c>
      <c r="Q1391" s="23" t="n">
        <v>53.7628</v>
      </c>
      <c r="R1391" s="23" t="n">
        <v>-2.7045</v>
      </c>
    </row>
    <row r="1392" ht="15" customHeight="1" s="12">
      <c r="A1392" s="18" t="inlineStr">
        <is>
          <t>Ganja</t>
        </is>
      </c>
      <c r="B1392" s="18" t="inlineStr">
        <is>
          <t>Azerbaijan</t>
        </is>
      </c>
      <c r="C1392" s="19" t="n">
        <v>10259701</v>
      </c>
      <c r="D1392" s="18" t="inlineStr">
        <is>
          <t>AZ</t>
        </is>
      </c>
      <c r="E1392" s="18" t="inlineStr">
        <is>
          <t>20</t>
        </is>
      </c>
      <c r="F1392" s="20" t="n">
        <v>313300</v>
      </c>
      <c r="G1392" s="18" t="n"/>
      <c r="H1392" s="18" t="inlineStr">
        <is>
          <t>GNJ</t>
        </is>
      </c>
      <c r="I1392" s="18" t="inlineStr">
        <is>
          <t>Ganja International Airport</t>
        </is>
      </c>
      <c r="J1392" s="21" t="n">
        <v>7.1</v>
      </c>
      <c r="K1392" s="18" t="inlineStr">
        <is>
          <t>GNJ</t>
        </is>
      </c>
      <c r="L1392" s="18" t="inlineStr">
        <is>
          <t>100k +  pop + airport</t>
        </is>
      </c>
      <c r="M1392" s="22" t="n">
        <v>0</v>
      </c>
      <c r="N1392" s="22" t="n">
        <v>0</v>
      </c>
      <c r="O1392" s="18" t="n"/>
      <c r="P1392" s="22">
        <f>IF(O1392="",(About!$B$5*M1392+About!$B$6*N1392)/(About!$B$5+About!$B$6),About!$B$5*M1392+About!$B$6*N1392+About!$B$7*O1392)</f>
        <v/>
      </c>
      <c r="Q1392" s="23" t="n">
        <v>40.6828</v>
      </c>
      <c r="R1392" s="23" t="n">
        <v>46.3606</v>
      </c>
    </row>
    <row r="1393" ht="15" customHeight="1" s="12">
      <c r="A1393" s="18" t="inlineStr">
        <is>
          <t>Iligan City</t>
        </is>
      </c>
      <c r="B1393" s="18" t="inlineStr">
        <is>
          <t>Philippines</t>
        </is>
      </c>
      <c r="C1393" s="19" t="n">
        <v>114123600</v>
      </c>
      <c r="D1393" s="18" t="inlineStr">
        <is>
          <t>PH</t>
        </is>
      </c>
      <c r="E1393" s="18" t="inlineStr">
        <is>
          <t>12</t>
        </is>
      </c>
      <c r="F1393" s="20" t="n">
        <v>312323</v>
      </c>
      <c r="G1393" s="18" t="n"/>
      <c r="H1393" s="18" t="n"/>
      <c r="I1393" s="18" t="n"/>
      <c r="J1393" s="18" t="n"/>
      <c r="K1393" s="18" t="n"/>
      <c r="L1393" s="18" t="inlineStr">
        <is>
          <t>100k +  pop</t>
        </is>
      </c>
      <c r="M1393" s="22" t="n">
        <v>0</v>
      </c>
      <c r="N1393" s="22" t="n">
        <v>0</v>
      </c>
      <c r="O1393" s="18" t="n"/>
      <c r="P1393" s="22">
        <f>IF(O1393="",(About!$B$5*M1393+About!$B$6*N1393)/(About!$B$5+About!$B$6),About!$B$5*M1393+About!$B$6*N1393+About!$B$7*O1393)</f>
        <v/>
      </c>
      <c r="Q1393" s="23" t="n">
        <v>8.25</v>
      </c>
      <c r="R1393" s="23" t="n">
        <v>124.4</v>
      </c>
    </row>
    <row r="1394" ht="15" customHeight="1" s="12">
      <c r="A1394" s="18" t="inlineStr">
        <is>
          <t>Vladimir</t>
        </is>
      </c>
      <c r="B1394" s="18" t="inlineStr">
        <is>
          <t>Russia</t>
        </is>
      </c>
      <c r="C1394" s="19" t="n">
        <v>146028325</v>
      </c>
      <c r="D1394" s="18" t="inlineStr">
        <is>
          <t>RU</t>
        </is>
      </c>
      <c r="E1394" s="18" t="inlineStr">
        <is>
          <t>83</t>
        </is>
      </c>
      <c r="F1394" s="20" t="n">
        <v>310024</v>
      </c>
      <c r="G1394" s="18" t="n"/>
      <c r="H1394" s="18" t="n"/>
      <c r="I1394" s="18" t="n"/>
      <c r="J1394" s="18" t="n"/>
      <c r="K1394" s="18" t="n"/>
      <c r="L1394" s="18" t="inlineStr">
        <is>
          <t>100k +  pop</t>
        </is>
      </c>
      <c r="M1394" s="22" t="n">
        <v>0</v>
      </c>
      <c r="N1394" s="22" t="n">
        <v>0</v>
      </c>
      <c r="O1394" s="18" t="n"/>
      <c r="P1394" s="22">
        <f>IF(O1394="",(About!$B$5*M1394+About!$B$6*N1394)/(About!$B$5+About!$B$6),About!$B$5*M1394+About!$B$6*N1394+About!$B$7*O1394)</f>
        <v/>
      </c>
      <c r="Q1394" s="23" t="n">
        <v>56.1365</v>
      </c>
      <c r="R1394" s="23" t="n">
        <v>40.3966</v>
      </c>
    </row>
    <row r="1395" ht="15" customHeight="1" s="12">
      <c r="A1395" s="18" t="inlineStr">
        <is>
          <t>Botshabelo</t>
        </is>
      </c>
      <c r="B1395" s="18" t="inlineStr">
        <is>
          <t>South Africa</t>
        </is>
      </c>
      <c r="C1395" s="19" t="n">
        <v>63100945</v>
      </c>
      <c r="D1395" s="18" t="inlineStr">
        <is>
          <t>ZA</t>
        </is>
      </c>
      <c r="E1395" s="18" t="inlineStr">
        <is>
          <t>03</t>
        </is>
      </c>
      <c r="F1395" s="20" t="n">
        <v>309714</v>
      </c>
      <c r="G1395" s="18" t="n"/>
      <c r="H1395" s="18" t="n"/>
      <c r="I1395" s="18" t="n"/>
      <c r="J1395" s="18" t="n"/>
      <c r="K1395" s="18" t="n"/>
      <c r="L1395" s="18" t="inlineStr">
        <is>
          <t>100k +  pop</t>
        </is>
      </c>
      <c r="M1395" s="22" t="n">
        <v>0</v>
      </c>
      <c r="N1395" s="22" t="n">
        <v>0</v>
      </c>
      <c r="O1395" s="18" t="n"/>
      <c r="P1395" s="22">
        <f>IF(O1395="",(About!$B$5*M1395+About!$B$6*N1395)/(About!$B$5+About!$B$6),About!$B$5*M1395+About!$B$6*N1395+About!$B$7*O1395)</f>
        <v/>
      </c>
      <c r="Q1395" s="23" t="n">
        <v>-29.2674</v>
      </c>
      <c r="R1395" s="23" t="n">
        <v>26.726</v>
      </c>
    </row>
    <row r="1396" ht="15" customHeight="1" s="12">
      <c r="A1396" s="18" t="inlineStr">
        <is>
          <t>Oshawa</t>
        </is>
      </c>
      <c r="B1396" s="18" t="inlineStr">
        <is>
          <t>Canada</t>
        </is>
      </c>
      <c r="C1396" s="19" t="n">
        <v>41472081</v>
      </c>
      <c r="D1396" s="18" t="inlineStr">
        <is>
          <t>CA</t>
        </is>
      </c>
      <c r="E1396" s="18" t="inlineStr">
        <is>
          <t>08</t>
        </is>
      </c>
      <c r="F1396" s="20" t="n">
        <v>308875</v>
      </c>
      <c r="G1396" s="18" t="n"/>
      <c r="H1396" s="18" t="n"/>
      <c r="I1396" s="18" t="n"/>
      <c r="J1396" s="18" t="n"/>
      <c r="K1396" s="18" t="n"/>
      <c r="L1396" s="18" t="inlineStr">
        <is>
          <t>100k +  pop</t>
        </is>
      </c>
      <c r="M1396" s="22" t="n">
        <v>0</v>
      </c>
      <c r="N1396" s="22" t="n">
        <v>0</v>
      </c>
      <c r="O1396" s="18" t="n"/>
      <c r="P1396" s="22">
        <f>IF(O1396="",(About!$B$5*M1396+About!$B$6*N1396)/(About!$B$5+About!$B$6),About!$B$5*M1396+About!$B$6*N1396+About!$B$7*O1396)</f>
        <v/>
      </c>
      <c r="Q1396" s="23" t="n">
        <v>43.9001</v>
      </c>
      <c r="R1396" s="23" t="n">
        <v>-78.8496</v>
      </c>
    </row>
    <row r="1397" ht="15" customHeight="1" s="12">
      <c r="A1397" s="18" t="inlineStr">
        <is>
          <t>Cabuyao</t>
        </is>
      </c>
      <c r="B1397" s="18" t="inlineStr">
        <is>
          <t>Philippines</t>
        </is>
      </c>
      <c r="C1397" s="19" t="n">
        <v>114123600</v>
      </c>
      <c r="D1397" s="18" t="inlineStr">
        <is>
          <t>PH</t>
        </is>
      </c>
      <c r="E1397" s="18" t="inlineStr">
        <is>
          <t>40</t>
        </is>
      </c>
      <c r="F1397" s="20" t="n">
        <v>308745</v>
      </c>
      <c r="G1397" s="18" t="n"/>
      <c r="H1397" s="18" t="n"/>
      <c r="I1397" s="18" t="n"/>
      <c r="J1397" s="18" t="n"/>
      <c r="K1397" s="18" t="n"/>
      <c r="L1397" s="18" t="inlineStr">
        <is>
          <t>100k +  pop</t>
        </is>
      </c>
      <c r="M1397" s="22" t="n">
        <v>0</v>
      </c>
      <c r="N1397" s="22" t="n">
        <v>0</v>
      </c>
      <c r="O1397" s="18" t="n"/>
      <c r="P1397" s="22">
        <f>IF(O1397="",(About!$B$5*M1397+About!$B$6*N1397)/(About!$B$5+About!$B$6),About!$B$5*M1397+About!$B$6*N1397+About!$B$7*O1397)</f>
        <v/>
      </c>
      <c r="Q1397" s="23" t="n">
        <v>14.2726</v>
      </c>
      <c r="R1397" s="23" t="n">
        <v>121.1262</v>
      </c>
    </row>
    <row r="1398" ht="15" customHeight="1" s="12">
      <c r="A1398" s="18" t="inlineStr">
        <is>
          <t>Irbid</t>
        </is>
      </c>
      <c r="B1398" s="18" t="inlineStr">
        <is>
          <t>Jordan</t>
        </is>
      </c>
      <c r="C1398" s="19" t="n">
        <v>11937000</v>
      </c>
      <c r="D1398" s="18" t="inlineStr">
        <is>
          <t>JO</t>
        </is>
      </c>
      <c r="E1398" s="18" t="inlineStr">
        <is>
          <t>18</t>
        </is>
      </c>
      <c r="F1398" s="20" t="n">
        <v>307480</v>
      </c>
      <c r="G1398" s="18" t="n"/>
      <c r="H1398" s="18" t="n"/>
      <c r="I1398" s="18" t="n"/>
      <c r="J1398" s="18" t="n"/>
      <c r="K1398" s="18" t="n"/>
      <c r="L1398" s="18" t="inlineStr">
        <is>
          <t>100k +  pop</t>
        </is>
      </c>
      <c r="M1398" s="22" t="n">
        <v>0</v>
      </c>
      <c r="N1398" s="22" t="n">
        <v>0</v>
      </c>
      <c r="O1398" s="18" t="n"/>
      <c r="P1398" s="22">
        <f>IF(O1398="",(About!$B$5*M1398+About!$B$6*N1398)/(About!$B$5+About!$B$6),About!$B$5*M1398+About!$B$6*N1398+About!$B$7*O1398)</f>
        <v/>
      </c>
      <c r="Q1398" s="23" t="n">
        <v>32.5556</v>
      </c>
      <c r="R1398" s="23" t="n">
        <v>35.85</v>
      </c>
    </row>
    <row r="1399" ht="15" customHeight="1" s="12">
      <c r="A1399" s="18" t="inlineStr">
        <is>
          <t>Newport</t>
        </is>
      </c>
      <c r="B1399" s="18" t="inlineStr">
        <is>
          <t>United Kingdom</t>
        </is>
      </c>
      <c r="C1399" s="19" t="n">
        <v>69487000</v>
      </c>
      <c r="D1399" s="18" t="inlineStr">
        <is>
          <t>GB</t>
        </is>
      </c>
      <c r="E1399" s="18" t="inlineStr">
        <is>
          <t>WLS</t>
        </is>
      </c>
      <c r="F1399" s="20" t="n">
        <v>306844</v>
      </c>
      <c r="G1399" s="18" t="n"/>
      <c r="H1399" s="18" t="n"/>
      <c r="I1399" s="18" t="n"/>
      <c r="J1399" s="18" t="n"/>
      <c r="K1399" s="18" t="n"/>
      <c r="L1399" s="18" t="inlineStr">
        <is>
          <t>100k +  pop</t>
        </is>
      </c>
      <c r="M1399" s="22" t="n">
        <v>0</v>
      </c>
      <c r="N1399" s="22" t="n">
        <v>0</v>
      </c>
      <c r="O1399" s="18" t="n"/>
      <c r="P1399" s="22">
        <f>IF(O1399="",(About!$B$5*M1399+About!$B$6*N1399)/(About!$B$5+About!$B$6),About!$B$5*M1399+About!$B$6*N1399+About!$B$7*O1399)</f>
        <v/>
      </c>
      <c r="Q1399" s="23" t="n">
        <v>51.5877</v>
      </c>
      <c r="R1399" s="23" t="n">
        <v>-2.9983</v>
      </c>
    </row>
    <row r="1400" ht="15" customHeight="1" s="12">
      <c r="A1400" s="18" t="inlineStr">
        <is>
          <t>Al Fayyūm</t>
        </is>
      </c>
      <c r="B1400" s="18" t="inlineStr">
        <is>
          <t>Egypt</t>
        </is>
      </c>
      <c r="C1400" s="19" t="n">
        <v>108613296</v>
      </c>
      <c r="D1400" s="18" t="inlineStr">
        <is>
          <t>EG</t>
        </is>
      </c>
      <c r="E1400" s="18" t="inlineStr">
        <is>
          <t>04</t>
        </is>
      </c>
      <c r="F1400" s="20" t="n">
        <v>306393</v>
      </c>
      <c r="G1400" s="18" t="n"/>
      <c r="H1400" s="18" t="n"/>
      <c r="I1400" s="18" t="n"/>
      <c r="J1400" s="18" t="n"/>
      <c r="K1400" s="18" t="n"/>
      <c r="L1400" s="18" t="inlineStr">
        <is>
          <t>100k +  pop</t>
        </is>
      </c>
      <c r="M1400" s="22" t="n">
        <v>0</v>
      </c>
      <c r="N1400" s="22" t="n">
        <v>0</v>
      </c>
      <c r="O1400" s="18" t="n"/>
      <c r="P1400" s="22">
        <f>IF(O1400="",(About!$B$5*M1400+About!$B$6*N1400)/(About!$B$5+About!$B$6),About!$B$5*M1400+About!$B$6*N1400+About!$B$7*O1400)</f>
        <v/>
      </c>
      <c r="Q1400" s="23" t="n">
        <v>29.31</v>
      </c>
      <c r="R1400" s="23" t="n">
        <v>30.8418</v>
      </c>
    </row>
    <row r="1401" ht="15" customHeight="1" s="12">
      <c r="A1401" s="18" t="inlineStr">
        <is>
          <t>Gujrat</t>
        </is>
      </c>
      <c r="B1401" s="18" t="inlineStr">
        <is>
          <t>Pakistan</t>
        </is>
      </c>
      <c r="C1401" s="19" t="n">
        <v>241499431</v>
      </c>
      <c r="D1401" s="18" t="inlineStr">
        <is>
          <t>PK</t>
        </is>
      </c>
      <c r="E1401" s="18" t="inlineStr">
        <is>
          <t>04</t>
        </is>
      </c>
      <c r="F1401" s="20" t="n">
        <v>301506</v>
      </c>
      <c r="G1401" s="18" t="n"/>
      <c r="H1401" s="18" t="n"/>
      <c r="I1401" s="18" t="n"/>
      <c r="J1401" s="18" t="n"/>
      <c r="K1401" s="18" t="n"/>
      <c r="L1401" s="18" t="inlineStr">
        <is>
          <t>100k +  pop</t>
        </is>
      </c>
      <c r="M1401" s="22" t="n">
        <v>0</v>
      </c>
      <c r="N1401" s="22" t="n">
        <v>0</v>
      </c>
      <c r="O1401" s="18" t="n"/>
      <c r="P1401" s="22">
        <f>IF(O1401="",(About!$B$5*M1401+About!$B$6*N1401)/(About!$B$5+About!$B$6),About!$B$5*M1401+About!$B$6*N1401+About!$B$7*O1401)</f>
        <v/>
      </c>
      <c r="Q1401" s="23" t="n">
        <v>32.5742</v>
      </c>
      <c r="R1401" s="23" t="n">
        <v>74.0754</v>
      </c>
    </row>
    <row r="1402" ht="15" customHeight="1" s="12">
      <c r="A1402" s="18" t="inlineStr">
        <is>
          <t>Brest</t>
        </is>
      </c>
      <c r="B1402" s="18" t="inlineStr">
        <is>
          <t>Belarus</t>
        </is>
      </c>
      <c r="C1402" s="19" t="n">
        <v>9056080</v>
      </c>
      <c r="D1402" s="18" t="inlineStr">
        <is>
          <t>BY</t>
        </is>
      </c>
      <c r="E1402" s="18" t="inlineStr">
        <is>
          <t>01</t>
        </is>
      </c>
      <c r="F1402" s="20" t="n">
        <v>300715</v>
      </c>
      <c r="G1402" s="18" t="n"/>
      <c r="H1402" s="18" t="inlineStr">
        <is>
          <t>BQT</t>
        </is>
      </c>
      <c r="I1402" s="18" t="inlineStr">
        <is>
          <t>Brest International Airport</t>
        </is>
      </c>
      <c r="J1402" s="21" t="n">
        <v>14.3</v>
      </c>
      <c r="K1402" s="18" t="inlineStr">
        <is>
          <t>BQT</t>
        </is>
      </c>
      <c r="L1402" s="18" t="inlineStr">
        <is>
          <t>100k +  pop + airport</t>
        </is>
      </c>
      <c r="M1402" s="22" t="n">
        <v>0</v>
      </c>
      <c r="N1402" s="22" t="n">
        <v>0</v>
      </c>
      <c r="O1402" s="18" t="n"/>
      <c r="P1402" s="22">
        <f>IF(O1402="",(About!$B$5*M1402+About!$B$6*N1402)/(About!$B$5+About!$B$6),About!$B$5*M1402+About!$B$6*N1402+About!$B$7*O1402)</f>
        <v/>
      </c>
      <c r="Q1402" s="23" t="n">
        <v>52.0975</v>
      </c>
      <c r="R1402" s="23" t="n">
        <v>23.6878</v>
      </c>
    </row>
    <row r="1403" ht="15" customHeight="1" s="12">
      <c r="A1403" s="18" t="inlineStr">
        <is>
          <t>Mardan</t>
        </is>
      </c>
      <c r="B1403" s="18" t="inlineStr">
        <is>
          <t>Pakistan</t>
        </is>
      </c>
      <c r="C1403" s="19" t="n">
        <v>241499431</v>
      </c>
      <c r="D1403" s="18" t="inlineStr">
        <is>
          <t>PK</t>
        </is>
      </c>
      <c r="E1403" s="18" t="inlineStr">
        <is>
          <t>03</t>
        </is>
      </c>
      <c r="F1403" s="20" t="n">
        <v>300424</v>
      </c>
      <c r="G1403" s="18" t="n"/>
      <c r="H1403" s="18" t="n"/>
      <c r="I1403" s="18" t="n"/>
      <c r="J1403" s="18" t="n"/>
      <c r="K1403" s="18" t="n"/>
      <c r="L1403" s="18" t="inlineStr">
        <is>
          <t>100k +  pop</t>
        </is>
      </c>
      <c r="M1403" s="22" t="n">
        <v>0</v>
      </c>
      <c r="N1403" s="22" t="n">
        <v>0</v>
      </c>
      <c r="O1403" s="18" t="n"/>
      <c r="P1403" s="22">
        <f>IF(O1403="",(About!$B$5*M1403+About!$B$6*N1403)/(About!$B$5+About!$B$6),About!$B$5*M1403+About!$B$6*N1403+About!$B$7*O1403)</f>
        <v/>
      </c>
      <c r="Q1403" s="23" t="n">
        <v>34.1979</v>
      </c>
      <c r="R1403" s="23" t="n">
        <v>72.0496</v>
      </c>
    </row>
    <row r="1404" ht="15" customHeight="1" s="12">
      <c r="A1404" s="18" t="inlineStr">
        <is>
          <t>Swansea</t>
        </is>
      </c>
      <c r="B1404" s="18" t="inlineStr">
        <is>
          <t>United Kingdom</t>
        </is>
      </c>
      <c r="C1404" s="19" t="n">
        <v>69487000</v>
      </c>
      <c r="D1404" s="18" t="inlineStr">
        <is>
          <t>GB</t>
        </is>
      </c>
      <c r="E1404" s="18" t="inlineStr">
        <is>
          <t>WLS</t>
        </is>
      </c>
      <c r="F1404" s="20" t="n">
        <v>300352</v>
      </c>
      <c r="G1404" s="18" t="n"/>
      <c r="H1404" s="18" t="n"/>
      <c r="I1404" s="18" t="n"/>
      <c r="J1404" s="18" t="n"/>
      <c r="K1404" s="18" t="n"/>
      <c r="L1404" s="18" t="inlineStr">
        <is>
          <t>100k +  pop</t>
        </is>
      </c>
      <c r="M1404" s="22" t="n">
        <v>0</v>
      </c>
      <c r="N1404" s="22" t="n">
        <v>0</v>
      </c>
      <c r="O1404" s="18" t="n"/>
      <c r="P1404" s="22">
        <f>IF(O1404="",(About!$B$5*M1404+About!$B$6*N1404)/(About!$B$5+About!$B$6),About!$B$5*M1404+About!$B$6*N1404+About!$B$7*O1404)</f>
        <v/>
      </c>
      <c r="Q1404" s="23" t="n">
        <v>51.6208</v>
      </c>
      <c r="R1404" s="23" t="n">
        <v>-3.9432</v>
      </c>
    </row>
    <row r="1405" ht="15" customHeight="1" s="12">
      <c r="A1405" s="18" t="inlineStr">
        <is>
          <t>Yangshuo</t>
        </is>
      </c>
      <c r="B1405" s="18" t="inlineStr">
        <is>
          <t>China</t>
        </is>
      </c>
      <c r="C1405" s="19" t="n">
        <v>1404890000</v>
      </c>
      <c r="D1405" s="18" t="inlineStr">
        <is>
          <t>CN</t>
        </is>
      </c>
      <c r="E1405" s="18" t="inlineStr">
        <is>
          <t>16</t>
        </is>
      </c>
      <c r="F1405" s="20" t="n">
        <v>300000</v>
      </c>
      <c r="G1405" s="18" t="n"/>
      <c r="H1405" s="18" t="n"/>
      <c r="I1405" s="18" t="n"/>
      <c r="J1405" s="18" t="n"/>
      <c r="K1405" s="18" t="n"/>
      <c r="L1405" s="18" t="inlineStr">
        <is>
          <t>100k +  pop</t>
        </is>
      </c>
      <c r="M1405" s="22" t="n">
        <v>0</v>
      </c>
      <c r="N1405" s="22" t="n">
        <v>0</v>
      </c>
      <c r="O1405" s="18" t="n"/>
      <c r="P1405" s="22">
        <f>IF(O1405="",(About!$B$5*M1405+About!$B$6*N1405)/(About!$B$5+About!$B$6),About!$B$5*M1405+About!$B$6*N1405+About!$B$7*O1405)</f>
        <v/>
      </c>
      <c r="Q1405" s="23" t="n">
        <v>24.7808</v>
      </c>
      <c r="R1405" s="23" t="n">
        <v>110.4897</v>
      </c>
    </row>
    <row r="1406" ht="15" customHeight="1" s="12">
      <c r="A1406" s="18" t="inlineStr">
        <is>
          <t>Winejok</t>
        </is>
      </c>
      <c r="B1406" s="18" t="inlineStr">
        <is>
          <t>South Sudan</t>
        </is>
      </c>
      <c r="C1406" s="19" t="n">
        <v>15786898</v>
      </c>
      <c r="D1406" s="18" t="inlineStr">
        <is>
          <t>SS</t>
        </is>
      </c>
      <c r="E1406" s="18" t="inlineStr">
        <is>
          <t>11550582</t>
        </is>
      </c>
      <c r="F1406" s="20" t="n">
        <v>300000</v>
      </c>
      <c r="G1406" s="18" t="n"/>
      <c r="H1406" s="18" t="n"/>
      <c r="I1406" s="18" t="n"/>
      <c r="J1406" s="18" t="n"/>
      <c r="K1406" s="18" t="n"/>
      <c r="L1406" s="18" t="inlineStr">
        <is>
          <t>100k +  pop</t>
        </is>
      </c>
      <c r="M1406" s="22" t="n">
        <v>0</v>
      </c>
      <c r="N1406" s="22" t="n">
        <v>0</v>
      </c>
      <c r="O1406" s="18" t="n"/>
      <c r="P1406" s="22">
        <f>IF(O1406="",(About!$B$5*M1406+About!$B$6*N1406)/(About!$B$5+About!$B$6),About!$B$5*M1406+About!$B$6*N1406+About!$B$7*O1406)</f>
        <v/>
      </c>
      <c r="Q1406" s="23" t="n">
        <v>9.0122</v>
      </c>
      <c r="R1406" s="23" t="n">
        <v>27.5708</v>
      </c>
    </row>
    <row r="1407" ht="15" customHeight="1" s="12">
      <c r="A1407" s="18" t="inlineStr">
        <is>
          <t>Mérida</t>
        </is>
      </c>
      <c r="B1407" s="18" t="inlineStr">
        <is>
          <t>Venezuela</t>
        </is>
      </c>
      <c r="C1407" s="19" t="n">
        <v>28517000</v>
      </c>
      <c r="D1407" s="18" t="inlineStr">
        <is>
          <t>VE</t>
        </is>
      </c>
      <c r="E1407" s="18" t="inlineStr">
        <is>
          <t>14</t>
        </is>
      </c>
      <c r="F1407" s="20" t="n">
        <v>300000</v>
      </c>
      <c r="G1407" s="18" t="n"/>
      <c r="H1407" s="18" t="n"/>
      <c r="I1407" s="18" t="n"/>
      <c r="J1407" s="18" t="n"/>
      <c r="K1407" s="18" t="n"/>
      <c r="L1407" s="18" t="inlineStr">
        <is>
          <t>100k +  pop</t>
        </is>
      </c>
      <c r="M1407" s="22" t="n">
        <v>0</v>
      </c>
      <c r="N1407" s="22" t="n">
        <v>0</v>
      </c>
      <c r="O1407" s="18" t="n"/>
      <c r="P1407" s="22">
        <f>IF(O1407="",(About!$B$5*M1407+About!$B$6*N1407)/(About!$B$5+About!$B$6),About!$B$5*M1407+About!$B$6*N1407+About!$B$7*O1407)</f>
        <v/>
      </c>
      <c r="Q1407" s="23" t="n">
        <v>8.589700000000001</v>
      </c>
      <c r="R1407" s="23" t="n">
        <v>-71.1561</v>
      </c>
    </row>
    <row r="1408" ht="15" customHeight="1" s="12">
      <c r="A1408" s="18" t="inlineStr">
        <is>
          <t>Viña del Mar</t>
        </is>
      </c>
      <c r="B1408" s="18" t="inlineStr">
        <is>
          <t>Chile</t>
        </is>
      </c>
      <c r="C1408" s="19" t="n">
        <v>20206953</v>
      </c>
      <c r="D1408" s="18" t="inlineStr">
        <is>
          <t>CL</t>
        </is>
      </c>
      <c r="E1408" s="18" t="inlineStr">
        <is>
          <t>01</t>
        </is>
      </c>
      <c r="F1408" s="20" t="n">
        <v>294551</v>
      </c>
      <c r="G1408" s="18" t="n"/>
      <c r="H1408" s="18" t="n"/>
      <c r="I1408" s="18" t="n"/>
      <c r="J1408" s="18" t="n"/>
      <c r="K1408" s="18" t="n"/>
      <c r="L1408" s="18" t="inlineStr">
        <is>
          <t>100k +  pop</t>
        </is>
      </c>
      <c r="M1408" s="22" t="n">
        <v>0</v>
      </c>
      <c r="N1408" s="22" t="n">
        <v>0</v>
      </c>
      <c r="O1408" s="18" t="n"/>
      <c r="P1408" s="22">
        <f>IF(O1408="",(About!$B$5*M1408+About!$B$6*N1408)/(About!$B$5+About!$B$6),About!$B$5*M1408+About!$B$6*N1408+About!$B$7*O1408)</f>
        <v/>
      </c>
      <c r="Q1408" s="23" t="n">
        <v>-33.0246</v>
      </c>
      <c r="R1408" s="23" t="n">
        <v>-71.5518</v>
      </c>
    </row>
    <row r="1409" ht="15" customHeight="1" s="12">
      <c r="A1409" s="18" t="inlineStr">
        <is>
          <t>Gumi</t>
        </is>
      </c>
      <c r="B1409" s="18" t="inlineStr">
        <is>
          <t>South Korea</t>
        </is>
      </c>
      <c r="C1409" s="19" t="n">
        <v>51111158</v>
      </c>
      <c r="D1409" s="18" t="inlineStr">
        <is>
          <t>KR</t>
        </is>
      </c>
      <c r="E1409" s="18" t="inlineStr">
        <is>
          <t>14</t>
        </is>
      </c>
      <c r="F1409" s="20" t="n">
        <v>291006</v>
      </c>
      <c r="G1409" s="18" t="n"/>
      <c r="H1409" s="18" t="n"/>
      <c r="I1409" s="18" t="n"/>
      <c r="J1409" s="18" t="n"/>
      <c r="K1409" s="18" t="n"/>
      <c r="L1409" s="18" t="inlineStr">
        <is>
          <t>100k +  pop</t>
        </is>
      </c>
      <c r="M1409" s="22" t="n">
        <v>0</v>
      </c>
      <c r="N1409" s="22" t="n">
        <v>0</v>
      </c>
      <c r="O1409" s="18" t="n"/>
      <c r="P1409" s="22">
        <f>IF(O1409="",(About!$B$5*M1409+About!$B$6*N1409)/(About!$B$5+About!$B$6),About!$B$5*M1409+About!$B$6*N1409+About!$B$7*O1409)</f>
        <v/>
      </c>
      <c r="Q1409" s="23" t="n">
        <v>36.1136</v>
      </c>
      <c r="R1409" s="23" t="n">
        <v>128.336</v>
      </c>
    </row>
    <row r="1410" ht="15" customHeight="1" s="12">
      <c r="A1410" s="18" t="inlineStr">
        <is>
          <t>Kasur</t>
        </is>
      </c>
      <c r="B1410" s="18" t="inlineStr">
        <is>
          <t>Pakistan</t>
        </is>
      </c>
      <c r="C1410" s="19" t="n">
        <v>241499431</v>
      </c>
      <c r="D1410" s="18" t="inlineStr">
        <is>
          <t>PK</t>
        </is>
      </c>
      <c r="E1410" s="18" t="inlineStr">
        <is>
          <t>04</t>
        </is>
      </c>
      <c r="F1410" s="20" t="n">
        <v>290643</v>
      </c>
      <c r="G1410" s="18" t="n"/>
      <c r="H1410" s="18" t="n"/>
      <c r="I1410" s="18" t="n"/>
      <c r="J1410" s="18" t="n"/>
      <c r="K1410" s="18" t="n"/>
      <c r="L1410" s="18" t="inlineStr">
        <is>
          <t>100k +  pop</t>
        </is>
      </c>
      <c r="M1410" s="22" t="n">
        <v>0</v>
      </c>
      <c r="N1410" s="22" t="n">
        <v>0</v>
      </c>
      <c r="O1410" s="18" t="n"/>
      <c r="P1410" s="22">
        <f>IF(O1410="",(About!$B$5*M1410+About!$B$6*N1410)/(About!$B$5+About!$B$6),About!$B$5*M1410+About!$B$6*N1410+About!$B$7*O1410)</f>
        <v/>
      </c>
      <c r="Q1410" s="23" t="n">
        <v>31.1187</v>
      </c>
      <c r="R1410" s="23" t="n">
        <v>74.4502</v>
      </c>
    </row>
    <row r="1411" ht="15" customHeight="1" s="12">
      <c r="A1411" s="18" t="inlineStr">
        <is>
          <t>Utrecht</t>
        </is>
      </c>
      <c r="B1411" s="18" t="inlineStr">
        <is>
          <t>Netherlands</t>
        </is>
      </c>
      <c r="C1411" s="19" t="n">
        <v>18147273</v>
      </c>
      <c r="D1411" s="18" t="inlineStr">
        <is>
          <t>NL</t>
        </is>
      </c>
      <c r="E1411" s="18" t="inlineStr">
        <is>
          <t>09</t>
        </is>
      </c>
      <c r="F1411" s="20" t="n">
        <v>290529</v>
      </c>
      <c r="G1411" s="18" t="n"/>
      <c r="H1411" s="18" t="n"/>
      <c r="I1411" s="18" t="n"/>
      <c r="J1411" s="18" t="n"/>
      <c r="K1411" s="18" t="n"/>
      <c r="L1411" s="18" t="inlineStr">
        <is>
          <t>100k +  pop</t>
        </is>
      </c>
      <c r="M1411" s="22" t="n">
        <v>0</v>
      </c>
      <c r="N1411" s="22" t="n">
        <v>0</v>
      </c>
      <c r="O1411" s="18" t="n"/>
      <c r="P1411" s="22">
        <f>IF(O1411="",(About!$B$5*M1411+About!$B$6*N1411)/(About!$B$5+About!$B$6),About!$B$5*M1411+About!$B$6*N1411+About!$B$7*O1411)</f>
        <v/>
      </c>
      <c r="Q1411" s="23" t="n">
        <v>52.0908</v>
      </c>
      <c r="R1411" s="23" t="n">
        <v>5.1222</v>
      </c>
    </row>
    <row r="1412" ht="15" customHeight="1" s="12">
      <c r="A1412" s="18" t="inlineStr">
        <is>
          <t>Al Ḩillah</t>
        </is>
      </c>
      <c r="B1412" s="18" t="inlineStr">
        <is>
          <t>Iraq</t>
        </is>
      </c>
      <c r="C1412" s="19" t="n">
        <v>46118793</v>
      </c>
      <c r="D1412" s="18" t="inlineStr">
        <is>
          <t>IQ</t>
        </is>
      </c>
      <c r="E1412" s="18" t="inlineStr">
        <is>
          <t>06</t>
        </is>
      </c>
      <c r="F1412" s="20" t="n">
        <v>289709</v>
      </c>
      <c r="G1412" s="18" t="n"/>
      <c r="H1412" s="18" t="n"/>
      <c r="I1412" s="18" t="n"/>
      <c r="J1412" s="18" t="n"/>
      <c r="K1412" s="18" t="n"/>
      <c r="L1412" s="18" t="inlineStr">
        <is>
          <t>100k +  pop</t>
        </is>
      </c>
      <c r="M1412" s="22" t="n">
        <v>0</v>
      </c>
      <c r="N1412" s="22" t="n">
        <v>0</v>
      </c>
      <c r="O1412" s="18" t="n"/>
      <c r="P1412" s="22">
        <f>IF(O1412="",(About!$B$5*M1412+About!$B$6*N1412)/(About!$B$5+About!$B$6),About!$B$5*M1412+About!$B$6*N1412+About!$B$7*O1412)</f>
        <v/>
      </c>
      <c r="Q1412" s="23" t="n">
        <v>32.4637</v>
      </c>
      <c r="R1412" s="23" t="n">
        <v>44.4196</v>
      </c>
    </row>
    <row r="1413" ht="15" customHeight="1" s="12">
      <c r="A1413" s="18" t="inlineStr">
        <is>
          <t>Adapazarı</t>
        </is>
      </c>
      <c r="B1413" s="18" t="inlineStr">
        <is>
          <t>Türkiye</t>
        </is>
      </c>
      <c r="C1413" s="19" t="n">
        <v>86092168</v>
      </c>
      <c r="D1413" s="18" t="inlineStr">
        <is>
          <t>TR</t>
        </is>
      </c>
      <c r="E1413" s="18" t="inlineStr">
        <is>
          <t>54</t>
        </is>
      </c>
      <c r="F1413" s="20" t="n">
        <v>286787</v>
      </c>
      <c r="G1413" s="18" t="n"/>
      <c r="H1413" s="18" t="n"/>
      <c r="I1413" s="18" t="n"/>
      <c r="J1413" s="18" t="n"/>
      <c r="K1413" s="18" t="n"/>
      <c r="L1413" s="18" t="inlineStr">
        <is>
          <t>100k +  pop</t>
        </is>
      </c>
      <c r="M1413" s="22" t="n">
        <v>0</v>
      </c>
      <c r="N1413" s="22" t="n">
        <v>0</v>
      </c>
      <c r="O1413" s="18" t="n"/>
      <c r="P1413" s="22">
        <f>IF(O1413="",(About!$B$5*M1413+About!$B$6*N1413)/(About!$B$5+About!$B$6),About!$B$5*M1413+About!$B$6*N1413+About!$B$7*O1413)</f>
        <v/>
      </c>
      <c r="Q1413" s="23" t="n">
        <v>40.7806</v>
      </c>
      <c r="R1413" s="23" t="n">
        <v>30.4033</v>
      </c>
    </row>
    <row r="1414" ht="15" customHeight="1" s="12">
      <c r="A1414" s="18" t="inlineStr">
        <is>
          <t>Zagazig</t>
        </is>
      </c>
      <c r="B1414" s="18" t="inlineStr">
        <is>
          <t>Egypt</t>
        </is>
      </c>
      <c r="C1414" s="19" t="n">
        <v>108613296</v>
      </c>
      <c r="D1414" s="18" t="inlineStr">
        <is>
          <t>EG</t>
        </is>
      </c>
      <c r="E1414" s="18" t="inlineStr">
        <is>
          <t>14</t>
        </is>
      </c>
      <c r="F1414" s="20" t="n">
        <v>285097</v>
      </c>
      <c r="G1414" s="18" t="n"/>
      <c r="H1414" s="18" t="n"/>
      <c r="I1414" s="18" t="n"/>
      <c r="J1414" s="18" t="n"/>
      <c r="K1414" s="18" t="n"/>
      <c r="L1414" s="18" t="inlineStr">
        <is>
          <t>100k +  pop</t>
        </is>
      </c>
      <c r="M1414" s="22" t="n">
        <v>0</v>
      </c>
      <c r="N1414" s="22" t="n">
        <v>0</v>
      </c>
      <c r="O1414" s="18" t="n"/>
      <c r="P1414" s="22">
        <f>IF(O1414="",(About!$B$5*M1414+About!$B$6*N1414)/(About!$B$5+About!$B$6),About!$B$5*M1414+About!$B$6*N1414+About!$B$7*O1414)</f>
        <v/>
      </c>
      <c r="Q1414" s="23" t="n">
        <v>30.5877</v>
      </c>
      <c r="R1414" s="23" t="n">
        <v>31.502</v>
      </c>
    </row>
    <row r="1415" ht="15" customHeight="1" s="12">
      <c r="A1415" s="18" t="inlineStr">
        <is>
          <t>Ismailia</t>
        </is>
      </c>
      <c r="B1415" s="18" t="inlineStr">
        <is>
          <t>Egypt</t>
        </is>
      </c>
      <c r="C1415" s="19" t="n">
        <v>108613296</v>
      </c>
      <c r="D1415" s="18" t="inlineStr">
        <is>
          <t>EG</t>
        </is>
      </c>
      <c r="E1415" s="18" t="inlineStr">
        <is>
          <t>07</t>
        </is>
      </c>
      <c r="F1415" s="20" t="n">
        <v>284813</v>
      </c>
      <c r="G1415" s="18" t="n"/>
      <c r="H1415" s="18" t="n"/>
      <c r="I1415" s="18" t="n"/>
      <c r="J1415" s="18" t="n"/>
      <c r="K1415" s="18" t="n"/>
      <c r="L1415" s="18" t="inlineStr">
        <is>
          <t>100k +  pop</t>
        </is>
      </c>
      <c r="M1415" s="22" t="n">
        <v>0</v>
      </c>
      <c r="N1415" s="22" t="n">
        <v>0</v>
      </c>
      <c r="O1415" s="18" t="n"/>
      <c r="P1415" s="22">
        <f>IF(O1415="",(About!$B$5*M1415+About!$B$6*N1415)/(About!$B$5+About!$B$6),About!$B$5*M1415+About!$B$6*N1415+About!$B$7*O1415)</f>
        <v/>
      </c>
      <c r="Q1415" s="23" t="n">
        <v>30.6043</v>
      </c>
      <c r="R1415" s="23" t="n">
        <v>32.2722</v>
      </c>
    </row>
    <row r="1416" ht="15" customHeight="1" s="12">
      <c r="A1416" s="18" t="inlineStr">
        <is>
          <t>Dihok</t>
        </is>
      </c>
      <c r="B1416" s="18" t="inlineStr">
        <is>
          <t>Iraq</t>
        </is>
      </c>
      <c r="C1416" s="19" t="n">
        <v>46118793</v>
      </c>
      <c r="D1416" s="18" t="inlineStr">
        <is>
          <t>IQ</t>
        </is>
      </c>
      <c r="E1416" s="18" t="inlineStr">
        <is>
          <t>08</t>
        </is>
      </c>
      <c r="F1416" s="20" t="n">
        <v>284000</v>
      </c>
      <c r="G1416" s="18" t="n"/>
      <c r="H1416" s="18" t="n"/>
      <c r="I1416" s="18" t="n"/>
      <c r="J1416" s="18" t="n"/>
      <c r="K1416" s="18" t="n"/>
      <c r="L1416" s="18" t="inlineStr">
        <is>
          <t>100k +  pop</t>
        </is>
      </c>
      <c r="M1416" s="22" t="n">
        <v>0</v>
      </c>
      <c r="N1416" s="22" t="n">
        <v>0</v>
      </c>
      <c r="O1416" s="18" t="n"/>
      <c r="P1416" s="22">
        <f>IF(O1416="",(About!$B$5*M1416+About!$B$6*N1416)/(About!$B$5+About!$B$6),About!$B$5*M1416+About!$B$6*N1416+About!$B$7*O1416)</f>
        <v/>
      </c>
      <c r="Q1416" s="23" t="n">
        <v>36.8671</v>
      </c>
      <c r="R1416" s="23" t="n">
        <v>42.9885</v>
      </c>
    </row>
    <row r="1417" ht="15" customHeight="1" s="12">
      <c r="A1417" s="18" t="inlineStr">
        <is>
          <t>Karlsruhe</t>
        </is>
      </c>
      <c r="B1417" s="18" t="inlineStr">
        <is>
          <t>Germany</t>
        </is>
      </c>
      <c r="C1417" s="19" t="n">
        <v>83497147</v>
      </c>
      <c r="D1417" s="18" t="inlineStr">
        <is>
          <t>DE</t>
        </is>
      </c>
      <c r="E1417" s="18" t="inlineStr">
        <is>
          <t>01</t>
        </is>
      </c>
      <c r="F1417" s="20" t="n">
        <v>283799</v>
      </c>
      <c r="G1417" s="18" t="n"/>
      <c r="H1417" s="18" t="n"/>
      <c r="I1417" s="18" t="n"/>
      <c r="J1417" s="18" t="n"/>
      <c r="K1417" s="18" t="n"/>
      <c r="L1417" s="18" t="inlineStr">
        <is>
          <t>100k +  pop</t>
        </is>
      </c>
      <c r="M1417" s="22" t="n">
        <v>0</v>
      </c>
      <c r="N1417" s="22" t="n">
        <v>0</v>
      </c>
      <c r="O1417" s="18" t="n"/>
      <c r="P1417" s="22">
        <f>IF(O1417="",(About!$B$5*M1417+About!$B$6*N1417)/(About!$B$5+About!$B$6),About!$B$5*M1417+About!$B$6*N1417+About!$B$7*O1417)</f>
        <v/>
      </c>
      <c r="Q1417" s="23" t="n">
        <v>49.0094</v>
      </c>
      <c r="R1417" s="23" t="n">
        <v>8.404400000000001</v>
      </c>
    </row>
    <row r="1418" ht="15" customHeight="1" s="12">
      <c r="A1418" s="18" t="inlineStr">
        <is>
          <t>Iksan</t>
        </is>
      </c>
      <c r="B1418" s="18" t="inlineStr">
        <is>
          <t>South Korea</t>
        </is>
      </c>
      <c r="C1418" s="19" t="n">
        <v>51111158</v>
      </c>
      <c r="D1418" s="18" t="inlineStr">
        <is>
          <t>KR</t>
        </is>
      </c>
      <c r="E1418" s="18" t="inlineStr">
        <is>
          <t>03</t>
        </is>
      </c>
      <c r="F1418" s="20" t="n">
        <v>283501</v>
      </c>
      <c r="G1418" s="18" t="n"/>
      <c r="H1418" s="18" t="n"/>
      <c r="I1418" s="18" t="n"/>
      <c r="J1418" s="18" t="n"/>
      <c r="K1418" s="18" t="n"/>
      <c r="L1418" s="18" t="inlineStr">
        <is>
          <t>100k +  pop</t>
        </is>
      </c>
      <c r="M1418" s="22" t="n">
        <v>0</v>
      </c>
      <c r="N1418" s="22" t="n">
        <v>0</v>
      </c>
      <c r="O1418" s="18" t="n"/>
      <c r="P1418" s="22">
        <f>IF(O1418="",(About!$B$5*M1418+About!$B$6*N1418)/(About!$B$5+About!$B$6),About!$B$5*M1418+About!$B$6*N1418+About!$B$7*O1418)</f>
        <v/>
      </c>
      <c r="Q1418" s="23" t="n">
        <v>35.9439</v>
      </c>
      <c r="R1418" s="23" t="n">
        <v>126.9544</v>
      </c>
    </row>
    <row r="1419" ht="15" customHeight="1" s="12">
      <c r="A1419" s="18" t="inlineStr">
        <is>
          <t>Nha Trang</t>
        </is>
      </c>
      <c r="B1419" s="18" t="inlineStr">
        <is>
          <t>Vietnam</t>
        </is>
      </c>
      <c r="C1419" s="19" t="n">
        <v>102300000</v>
      </c>
      <c r="D1419" s="18" t="inlineStr">
        <is>
          <t>VN</t>
        </is>
      </c>
      <c r="E1419" s="18" t="inlineStr">
        <is>
          <t>54</t>
        </is>
      </c>
      <c r="F1419" s="20" t="n">
        <v>283441</v>
      </c>
      <c r="G1419" s="18" t="n"/>
      <c r="H1419" s="18" t="n"/>
      <c r="I1419" s="18" t="n"/>
      <c r="J1419" s="18" t="n"/>
      <c r="K1419" s="18" t="n"/>
      <c r="L1419" s="18" t="inlineStr">
        <is>
          <t>100k +  pop</t>
        </is>
      </c>
      <c r="M1419" s="22" t="n">
        <v>0</v>
      </c>
      <c r="N1419" s="22" t="n">
        <v>0</v>
      </c>
      <c r="O1419" s="18" t="n"/>
      <c r="P1419" s="22">
        <f>IF(O1419="",(About!$B$5*M1419+About!$B$6*N1419)/(About!$B$5+About!$B$6),About!$B$5*M1419+About!$B$6*N1419+About!$B$7*O1419)</f>
        <v/>
      </c>
      <c r="Q1419" s="23" t="n">
        <v>12.2451</v>
      </c>
      <c r="R1419" s="23" t="n">
        <v>109.1943</v>
      </c>
    </row>
    <row r="1420" ht="15" customHeight="1" s="12">
      <c r="A1420" s="18" t="inlineStr">
        <is>
          <t>Valparaíso</t>
        </is>
      </c>
      <c r="B1420" s="18" t="inlineStr">
        <is>
          <t>Chile</t>
        </is>
      </c>
      <c r="C1420" s="19" t="n">
        <v>20206953</v>
      </c>
      <c r="D1420" s="18" t="inlineStr">
        <is>
          <t>CL</t>
        </is>
      </c>
      <c r="E1420" s="18" t="inlineStr">
        <is>
          <t>01</t>
        </is>
      </c>
      <c r="F1420" s="20" t="n">
        <v>282448</v>
      </c>
      <c r="G1420" s="18" t="n"/>
      <c r="H1420" s="18" t="n"/>
      <c r="I1420" s="18" t="n"/>
      <c r="J1420" s="18" t="n"/>
      <c r="K1420" s="18" t="n"/>
      <c r="L1420" s="18" t="inlineStr">
        <is>
          <t>100k +  pop</t>
        </is>
      </c>
      <c r="M1420" s="22" t="n">
        <v>0</v>
      </c>
      <c r="N1420" s="22" t="n">
        <v>0</v>
      </c>
      <c r="O1420" s="18" t="n"/>
      <c r="P1420" s="22">
        <f>IF(O1420="",(About!$B$5*M1420+About!$B$6*N1420)/(About!$B$5+About!$B$6),About!$B$5*M1420+About!$B$6*N1420+About!$B$7*O1420)</f>
        <v/>
      </c>
      <c r="Q1420" s="23" t="n">
        <v>-33.036</v>
      </c>
      <c r="R1420" s="23" t="n">
        <v>-71.6296</v>
      </c>
    </row>
    <row r="1421" ht="15" customHeight="1" s="12">
      <c r="A1421" s="18" t="inlineStr">
        <is>
          <t>Narsingdi</t>
        </is>
      </c>
      <c r="B1421" s="18" t="inlineStr">
        <is>
          <t>Bangladesh</t>
        </is>
      </c>
      <c r="C1421" s="19" t="n">
        <v>169828911</v>
      </c>
      <c r="D1421" s="18" t="inlineStr">
        <is>
          <t>BD</t>
        </is>
      </c>
      <c r="E1421" s="18" t="inlineStr">
        <is>
          <t>81</t>
        </is>
      </c>
      <c r="F1421" s="20" t="n">
        <v>281080</v>
      </c>
      <c r="G1421" s="18" t="n"/>
      <c r="H1421" s="18" t="n"/>
      <c r="I1421" s="18" t="n"/>
      <c r="J1421" s="18" t="n"/>
      <c r="K1421" s="18" t="n"/>
      <c r="L1421" s="18" t="inlineStr">
        <is>
          <t>100k +  pop</t>
        </is>
      </c>
      <c r="M1421" s="22" t="n">
        <v>0</v>
      </c>
      <c r="N1421" s="22" t="n">
        <v>0</v>
      </c>
      <c r="O1421" s="18" t="n"/>
      <c r="P1421" s="22">
        <f>IF(O1421="",(About!$B$5*M1421+About!$B$6*N1421)/(About!$B$5+About!$B$6),About!$B$5*M1421+About!$B$6*N1421+About!$B$7*O1421)</f>
        <v/>
      </c>
      <c r="Q1421" s="23" t="n">
        <v>23.923</v>
      </c>
      <c r="R1421" s="23" t="n">
        <v>90.71769999999999</v>
      </c>
    </row>
    <row r="1422" ht="15" customHeight="1" s="12">
      <c r="A1422" s="18" t="inlineStr">
        <is>
          <t>Merkezefendi</t>
        </is>
      </c>
      <c r="B1422" s="18" t="inlineStr">
        <is>
          <t>Türkiye</t>
        </is>
      </c>
      <c r="C1422" s="19" t="n">
        <v>86092168</v>
      </c>
      <c r="D1422" s="18" t="inlineStr">
        <is>
          <t>TR</t>
        </is>
      </c>
      <c r="E1422" s="18" t="inlineStr">
        <is>
          <t>20</t>
        </is>
      </c>
      <c r="F1422" s="20" t="n">
        <v>280341</v>
      </c>
      <c r="G1422" s="18" t="n"/>
      <c r="H1422" s="18" t="n"/>
      <c r="I1422" s="18" t="n"/>
      <c r="J1422" s="18" t="n"/>
      <c r="K1422" s="18" t="n"/>
      <c r="L1422" s="18" t="inlineStr">
        <is>
          <t>100k +  pop</t>
        </is>
      </c>
      <c r="M1422" s="22" t="n">
        <v>0</v>
      </c>
      <c r="N1422" s="22" t="n">
        <v>0</v>
      </c>
      <c r="O1422" s="18" t="n"/>
      <c r="P1422" s="22">
        <f>IF(O1422="",(About!$B$5*M1422+About!$B$6*N1422)/(About!$B$5+About!$B$6),About!$B$5*M1422+About!$B$6*N1422+About!$B$7*O1422)</f>
        <v/>
      </c>
      <c r="Q1422" s="23" t="n">
        <v>37.8054</v>
      </c>
      <c r="R1422" s="23" t="n">
        <v>29.0424</v>
      </c>
    </row>
    <row r="1423" ht="15" customHeight="1" s="12">
      <c r="A1423" s="18" t="inlineStr">
        <is>
          <t>Mingora</t>
        </is>
      </c>
      <c r="B1423" s="18" t="inlineStr">
        <is>
          <t>Pakistan</t>
        </is>
      </c>
      <c r="C1423" s="19" t="n">
        <v>241499431</v>
      </c>
      <c r="D1423" s="18" t="inlineStr">
        <is>
          <t>PK</t>
        </is>
      </c>
      <c r="E1423" s="18" t="inlineStr">
        <is>
          <t>03</t>
        </is>
      </c>
      <c r="F1423" s="20" t="n">
        <v>279914</v>
      </c>
      <c r="G1423" s="18" t="n"/>
      <c r="H1423" s="18" t="n"/>
      <c r="I1423" s="18" t="n"/>
      <c r="J1423" s="18" t="n"/>
      <c r="K1423" s="18" t="n"/>
      <c r="L1423" s="18" t="inlineStr">
        <is>
          <t>100k +  pop</t>
        </is>
      </c>
      <c r="M1423" s="22" t="n">
        <v>0</v>
      </c>
      <c r="N1423" s="22" t="n">
        <v>0</v>
      </c>
      <c r="O1423" s="18" t="n"/>
      <c r="P1423" s="22">
        <f>IF(O1423="",(About!$B$5*M1423+About!$B$6*N1423)/(About!$B$5+About!$B$6),About!$B$5*M1423+About!$B$6*N1423+About!$B$7*O1423)</f>
        <v/>
      </c>
      <c r="Q1423" s="23" t="n">
        <v>34.7795</v>
      </c>
      <c r="R1423" s="23" t="n">
        <v>72.3627</v>
      </c>
    </row>
    <row r="1424" ht="15" customHeight="1" s="12">
      <c r="A1424" s="18" t="inlineStr">
        <is>
          <t>Ensenada</t>
        </is>
      </c>
      <c r="B1424" s="18" t="inlineStr">
        <is>
          <t>Mexico</t>
        </is>
      </c>
      <c r="C1424" s="19" t="n">
        <v>131150866</v>
      </c>
      <c r="D1424" s="18" t="inlineStr">
        <is>
          <t>MX</t>
        </is>
      </c>
      <c r="E1424" s="18" t="inlineStr">
        <is>
          <t>02</t>
        </is>
      </c>
      <c r="F1424" s="20" t="n">
        <v>279765</v>
      </c>
      <c r="G1424" s="18" t="n"/>
      <c r="H1424" s="18" t="n"/>
      <c r="I1424" s="18" t="n"/>
      <c r="J1424" s="18" t="n"/>
      <c r="K1424" s="18" t="n"/>
      <c r="L1424" s="18" t="inlineStr">
        <is>
          <t>100k +  pop</t>
        </is>
      </c>
      <c r="M1424" s="22" t="n">
        <v>0</v>
      </c>
      <c r="N1424" s="22" t="n">
        <v>0</v>
      </c>
      <c r="O1424" s="18" t="n"/>
      <c r="P1424" s="22">
        <f>IF(O1424="",(About!$B$5*M1424+About!$B$6*N1424)/(About!$B$5+About!$B$6),About!$B$5*M1424+About!$B$6*N1424+About!$B$7*O1424)</f>
        <v/>
      </c>
      <c r="Q1424" s="23" t="n">
        <v>31.8715</v>
      </c>
      <c r="R1424" s="23" t="n">
        <v>-116.6007</v>
      </c>
    </row>
    <row r="1425" ht="15" customHeight="1" s="12">
      <c r="A1425" s="18" t="inlineStr">
        <is>
          <t>Gijón</t>
        </is>
      </c>
      <c r="B1425" s="18" t="inlineStr">
        <is>
          <t>Spain</t>
        </is>
      </c>
      <c r="C1425" s="19" t="n">
        <v>49687120</v>
      </c>
      <c r="D1425" s="18" t="inlineStr">
        <is>
          <t>ES</t>
        </is>
      </c>
      <c r="E1425" s="18" t="inlineStr">
        <is>
          <t>34</t>
        </is>
      </c>
      <c r="F1425" s="20" t="n">
        <v>277554</v>
      </c>
      <c r="G1425" s="18" t="n"/>
      <c r="H1425" s="18" t="n"/>
      <c r="I1425" s="18" t="n"/>
      <c r="J1425" s="18" t="n"/>
      <c r="K1425" s="18" t="n"/>
      <c r="L1425" s="18" t="inlineStr">
        <is>
          <t>100k +  pop</t>
        </is>
      </c>
      <c r="M1425" s="22" t="n">
        <v>0</v>
      </c>
      <c r="N1425" s="22" t="n">
        <v>0</v>
      </c>
      <c r="O1425" s="18" t="n"/>
      <c r="P1425" s="22">
        <f>IF(O1425="",(About!$B$5*M1425+About!$B$6*N1425)/(About!$B$5+About!$B$6),About!$B$5*M1425+About!$B$6*N1425+About!$B$7*O1425)</f>
        <v/>
      </c>
      <c r="Q1425" s="23" t="n">
        <v>43.5357</v>
      </c>
      <c r="R1425" s="23" t="n">
        <v>-5.6615</v>
      </c>
    </row>
    <row r="1426" ht="15" customHeight="1" s="12">
      <c r="A1426" s="18" t="inlineStr">
        <is>
          <t>Khomeynī Shahr</t>
        </is>
      </c>
      <c r="B1426" s="18" t="inlineStr">
        <is>
          <t>Iran</t>
        </is>
      </c>
      <c r="C1426" s="19" t="n">
        <v>87134000</v>
      </c>
      <c r="D1426" s="18" t="inlineStr">
        <is>
          <t>IR</t>
        </is>
      </c>
      <c r="E1426" s="18" t="inlineStr">
        <is>
          <t>28</t>
        </is>
      </c>
      <c r="F1426" s="20" t="n">
        <v>277334</v>
      </c>
      <c r="G1426" s="18" t="n"/>
      <c r="H1426" s="18" t="n"/>
      <c r="I1426" s="18" t="n"/>
      <c r="J1426" s="18" t="n"/>
      <c r="K1426" s="18" t="n"/>
      <c r="L1426" s="18" t="inlineStr">
        <is>
          <t>100k +  pop</t>
        </is>
      </c>
      <c r="M1426" s="22" t="n">
        <v>0</v>
      </c>
      <c r="N1426" s="22" t="n">
        <v>0</v>
      </c>
      <c r="O1426" s="18" t="n"/>
      <c r="P1426" s="22">
        <f>IF(O1426="",(About!$B$5*M1426+About!$B$6*N1426)/(About!$B$5+About!$B$6),About!$B$5*M1426+About!$B$6*N1426+About!$B$7*O1426)</f>
        <v/>
      </c>
      <c r="Q1426" s="23" t="n">
        <v>32.6856</v>
      </c>
      <c r="R1426" s="23" t="n">
        <v>51.5361</v>
      </c>
    </row>
    <row r="1427" ht="15" customHeight="1" s="12">
      <c r="A1427" s="18" t="inlineStr">
        <is>
          <t>Braşov</t>
        </is>
      </c>
      <c r="B1427" s="18" t="inlineStr">
        <is>
          <t>Romania</t>
        </is>
      </c>
      <c r="C1427" s="19" t="n">
        <v>19036031</v>
      </c>
      <c r="D1427" s="18" t="inlineStr">
        <is>
          <t>RO</t>
        </is>
      </c>
      <c r="E1427" s="18" t="inlineStr">
        <is>
          <t>09</t>
        </is>
      </c>
      <c r="F1427" s="20" t="n">
        <v>276088</v>
      </c>
      <c r="G1427" s="18" t="n"/>
      <c r="H1427" s="18" t="inlineStr">
        <is>
          <t>GHV</t>
        </is>
      </c>
      <c r="I1427" s="18" t="inlineStr">
        <is>
          <t>Brașov-Ghimbav International Airport</t>
        </is>
      </c>
      <c r="J1427" s="21" t="n">
        <v>9.1</v>
      </c>
      <c r="K1427" s="18" t="inlineStr">
        <is>
          <t>GHV</t>
        </is>
      </c>
      <c r="L1427" s="18" t="inlineStr">
        <is>
          <t>100k +  pop + airport</t>
        </is>
      </c>
      <c r="M1427" s="22" t="n">
        <v>0</v>
      </c>
      <c r="N1427" s="22" t="n">
        <v>0</v>
      </c>
      <c r="O1427" s="18" t="n"/>
      <c r="P1427" s="22">
        <f>IF(O1427="",(About!$B$5*M1427+About!$B$6*N1427)/(About!$B$5+About!$B$6),About!$B$5*M1427+About!$B$6*N1427+About!$B$7*O1427)</f>
        <v/>
      </c>
      <c r="Q1427" s="23" t="n">
        <v>45.6486</v>
      </c>
      <c r="R1427" s="23" t="n">
        <v>25.6061</v>
      </c>
    </row>
    <row r="1428" ht="15" customHeight="1" s="12">
      <c r="A1428" s="18" t="inlineStr">
        <is>
          <t>Ramadi</t>
        </is>
      </c>
      <c r="B1428" s="18" t="inlineStr">
        <is>
          <t>Iraq</t>
        </is>
      </c>
      <c r="C1428" s="19" t="n">
        <v>46118793</v>
      </c>
      <c r="D1428" s="18" t="inlineStr">
        <is>
          <t>IQ</t>
        </is>
      </c>
      <c r="E1428" s="18" t="inlineStr">
        <is>
          <t>01</t>
        </is>
      </c>
      <c r="F1428" s="20" t="n">
        <v>274539</v>
      </c>
      <c r="G1428" s="18" t="n"/>
      <c r="H1428" s="18" t="n"/>
      <c r="I1428" s="18" t="n"/>
      <c r="J1428" s="18" t="n"/>
      <c r="K1428" s="18" t="n"/>
      <c r="L1428" s="18" t="inlineStr">
        <is>
          <t>100k +  pop</t>
        </is>
      </c>
      <c r="M1428" s="22" t="n">
        <v>0</v>
      </c>
      <c r="N1428" s="22" t="n">
        <v>0</v>
      </c>
      <c r="O1428" s="18" t="n"/>
      <c r="P1428" s="22">
        <f>IF(O1428="",(About!$B$5*M1428+About!$B$6*N1428)/(About!$B$5+About!$B$6),About!$B$5*M1428+About!$B$6*N1428+About!$B$7*O1428)</f>
        <v/>
      </c>
      <c r="Q1428" s="23" t="n">
        <v>33.4206</v>
      </c>
      <c r="R1428" s="23" t="n">
        <v>43.3078</v>
      </c>
    </row>
    <row r="1429" ht="15" customHeight="1" s="12">
      <c r="A1429" s="18" t="inlineStr">
        <is>
          <t>Baguio</t>
        </is>
      </c>
      <c r="B1429" s="18" t="inlineStr">
        <is>
          <t>Philippines</t>
        </is>
      </c>
      <c r="C1429" s="19" t="n">
        <v>114123600</v>
      </c>
      <c r="D1429" s="18" t="inlineStr">
        <is>
          <t>PH</t>
        </is>
      </c>
      <c r="E1429" s="18" t="inlineStr">
        <is>
          <t>15</t>
        </is>
      </c>
      <c r="F1429" s="20" t="n">
        <v>272714</v>
      </c>
      <c r="G1429" s="18" t="n"/>
      <c r="H1429" s="18" t="n"/>
      <c r="I1429" s="18" t="n"/>
      <c r="J1429" s="18" t="n"/>
      <c r="K1429" s="18" t="n"/>
      <c r="L1429" s="18" t="inlineStr">
        <is>
          <t>100k +  pop</t>
        </is>
      </c>
      <c r="M1429" s="22" t="n">
        <v>0</v>
      </c>
      <c r="N1429" s="22" t="n">
        <v>0</v>
      </c>
      <c r="O1429" s="18" t="n"/>
      <c r="P1429" s="22">
        <f>IF(O1429="",(About!$B$5*M1429+About!$B$6*N1429)/(About!$B$5+About!$B$6),About!$B$5*M1429+About!$B$6*N1429+About!$B$7*O1429)</f>
        <v/>
      </c>
      <c r="Q1429" s="23" t="n">
        <v>16.4164</v>
      </c>
      <c r="R1429" s="23" t="n">
        <v>120.5931</v>
      </c>
    </row>
    <row r="1430" ht="15" customHeight="1" s="12">
      <c r="A1430" s="18" t="inlineStr">
        <is>
          <t>Petrópolis</t>
        </is>
      </c>
      <c r="B1430" s="18" t="inlineStr">
        <is>
          <t>Brazil</t>
        </is>
      </c>
      <c r="C1430" s="19" t="n">
        <v>213421037</v>
      </c>
      <c r="D1430" s="18" t="inlineStr">
        <is>
          <t>BR</t>
        </is>
      </c>
      <c r="E1430" s="18" t="inlineStr">
        <is>
          <t>21</t>
        </is>
      </c>
      <c r="F1430" s="20" t="n">
        <v>272691</v>
      </c>
      <c r="G1430" s="18" t="n"/>
      <c r="H1430" s="18" t="n"/>
      <c r="I1430" s="18" t="n"/>
      <c r="J1430" s="18" t="n"/>
      <c r="K1430" s="18" t="n"/>
      <c r="L1430" s="18" t="inlineStr">
        <is>
          <t>100k +  pop</t>
        </is>
      </c>
      <c r="M1430" s="22" t="n">
        <v>0</v>
      </c>
      <c r="N1430" s="22" t="n">
        <v>0</v>
      </c>
      <c r="O1430" s="18" t="n"/>
      <c r="P1430" s="22">
        <f>IF(O1430="",(About!$B$5*M1430+About!$B$6*N1430)/(About!$B$5+About!$B$6),About!$B$5*M1430+About!$B$6*N1430+About!$B$7*O1430)</f>
        <v/>
      </c>
      <c r="Q1430" s="23" t="n">
        <v>-22.505</v>
      </c>
      <c r="R1430" s="23" t="n">
        <v>-43.1786</v>
      </c>
    </row>
    <row r="1431" ht="15" customHeight="1" s="12">
      <c r="A1431" s="18" t="inlineStr">
        <is>
          <t>Gelsenkirchen</t>
        </is>
      </c>
      <c r="B1431" s="18" t="inlineStr">
        <is>
          <t>Germany</t>
        </is>
      </c>
      <c r="C1431" s="19" t="n">
        <v>83497147</v>
      </c>
      <c r="D1431" s="18" t="inlineStr">
        <is>
          <t>DE</t>
        </is>
      </c>
      <c r="E1431" s="18" t="inlineStr">
        <is>
          <t>07</t>
        </is>
      </c>
      <c r="F1431" s="20" t="n">
        <v>270028</v>
      </c>
      <c r="G1431" s="18" t="n"/>
      <c r="H1431" s="18" t="n"/>
      <c r="I1431" s="18" t="n"/>
      <c r="J1431" s="18" t="n"/>
      <c r="K1431" s="18" t="n"/>
      <c r="L1431" s="18" t="inlineStr">
        <is>
          <t>100k +  pop</t>
        </is>
      </c>
      <c r="M1431" s="22" t="n">
        <v>0</v>
      </c>
      <c r="N1431" s="22" t="n">
        <v>0</v>
      </c>
      <c r="O1431" s="18" t="n"/>
      <c r="P1431" s="22">
        <f>IF(O1431="",(About!$B$5*M1431+About!$B$6*N1431)/(About!$B$5+About!$B$6),About!$B$5*M1431+About!$B$6*N1431+About!$B$7*O1431)</f>
        <v/>
      </c>
      <c r="Q1431" s="23" t="n">
        <v>51.5051</v>
      </c>
      <c r="R1431" s="23" t="n">
        <v>7.0965</v>
      </c>
    </row>
    <row r="1432" ht="15" customHeight="1" s="12">
      <c r="A1432" s="18" t="inlineStr">
        <is>
          <t>Tshikapa</t>
        </is>
      </c>
      <c r="B1432" s="18" t="inlineStr">
        <is>
          <t>DR Congo</t>
        </is>
      </c>
      <c r="C1432" s="19" t="n">
        <v>112832000</v>
      </c>
      <c r="D1432" s="18" t="inlineStr">
        <is>
          <t>CD</t>
        </is>
      </c>
      <c r="E1432" s="18" t="inlineStr">
        <is>
          <t>18</t>
        </is>
      </c>
      <c r="F1432" s="20" t="n">
        <v>267462</v>
      </c>
      <c r="G1432" s="18" t="n"/>
      <c r="H1432" s="18" t="n"/>
      <c r="I1432" s="18" t="n"/>
      <c r="J1432" s="18" t="n"/>
      <c r="K1432" s="18" t="n"/>
      <c r="L1432" s="18" t="inlineStr">
        <is>
          <t>100k +  pop</t>
        </is>
      </c>
      <c r="M1432" s="22" t="n">
        <v>0</v>
      </c>
      <c r="N1432" s="22" t="n">
        <v>0</v>
      </c>
      <c r="O1432" s="18" t="n"/>
      <c r="P1432" s="22">
        <f>IF(O1432="",(About!$B$5*M1432+About!$B$6*N1432)/(About!$B$5+About!$B$6),About!$B$5*M1432+About!$B$6*N1432+About!$B$7*O1432)</f>
        <v/>
      </c>
      <c r="Q1432" s="23" t="n">
        <v>-6.4162</v>
      </c>
      <c r="R1432" s="23" t="n">
        <v>20.7999</v>
      </c>
    </row>
    <row r="1433" ht="15" customHeight="1" s="12">
      <c r="A1433" s="18" t="inlineStr">
        <is>
          <t>Kafr ad Dawwār</t>
        </is>
      </c>
      <c r="B1433" s="18" t="inlineStr">
        <is>
          <t>Egypt</t>
        </is>
      </c>
      <c r="C1433" s="19" t="n">
        <v>108613296</v>
      </c>
      <c r="D1433" s="18" t="inlineStr">
        <is>
          <t>EG</t>
        </is>
      </c>
      <c r="E1433" s="18" t="inlineStr">
        <is>
          <t>03</t>
        </is>
      </c>
      <c r="F1433" s="20" t="n">
        <v>267370</v>
      </c>
      <c r="G1433" s="18" t="n"/>
      <c r="H1433" s="18" t="n"/>
      <c r="I1433" s="18" t="n"/>
      <c r="J1433" s="18" t="n"/>
      <c r="K1433" s="18" t="n"/>
      <c r="L1433" s="18" t="inlineStr">
        <is>
          <t>100k +  pop</t>
        </is>
      </c>
      <c r="M1433" s="22" t="n">
        <v>0</v>
      </c>
      <c r="N1433" s="22" t="n">
        <v>0</v>
      </c>
      <c r="O1433" s="18" t="n"/>
      <c r="P1433" s="22">
        <f>IF(O1433="",(About!$B$5*M1433+About!$B$6*N1433)/(About!$B$5+About!$B$6),About!$B$5*M1433+About!$B$6*N1433+About!$B$7*O1433)</f>
        <v/>
      </c>
      <c r="Q1433" s="23" t="n">
        <v>31.1338</v>
      </c>
      <c r="R1433" s="23" t="n">
        <v>30.1297</v>
      </c>
    </row>
    <row r="1434" ht="15" customHeight="1" s="12">
      <c r="A1434" s="18" t="inlineStr">
        <is>
          <t>Haifa</t>
        </is>
      </c>
      <c r="B1434" s="18" t="inlineStr">
        <is>
          <t>Israel</t>
        </is>
      </c>
      <c r="C1434" s="19" t="n">
        <v>10244000</v>
      </c>
      <c r="D1434" s="18" t="inlineStr">
        <is>
          <t>IL</t>
        </is>
      </c>
      <c r="E1434" s="18" t="inlineStr">
        <is>
          <t>04</t>
        </is>
      </c>
      <c r="F1434" s="20" t="n">
        <v>267300</v>
      </c>
      <c r="G1434" s="18" t="n"/>
      <c r="H1434" s="18" t="inlineStr">
        <is>
          <t>HFA</t>
        </is>
      </c>
      <c r="I1434" s="18" t="inlineStr">
        <is>
          <t>Uri Michaeli Haifa International Airport</t>
        </is>
      </c>
      <c r="J1434" s="21" t="n">
        <v>5.2</v>
      </c>
      <c r="K1434" s="18" t="inlineStr">
        <is>
          <t>HFA</t>
        </is>
      </c>
      <c r="L1434" s="18" t="inlineStr">
        <is>
          <t>100k +  pop + airport</t>
        </is>
      </c>
      <c r="M1434" s="22" t="n">
        <v>0</v>
      </c>
      <c r="N1434" s="22" t="n">
        <v>0</v>
      </c>
      <c r="O1434" s="18" t="n"/>
      <c r="P1434" s="22">
        <f>IF(O1434="",(About!$B$5*M1434+About!$B$6*N1434)/(About!$B$5+About!$B$6),About!$B$5*M1434+About!$B$6*N1434+About!$B$7*O1434)</f>
        <v/>
      </c>
      <c r="Q1434" s="23" t="n">
        <v>32.8184</v>
      </c>
      <c r="R1434" s="23" t="n">
        <v>34.9885</v>
      </c>
    </row>
    <row r="1435" ht="15" customHeight="1" s="12">
      <c r="A1435" s="18" t="inlineStr">
        <is>
          <t>Bagerhat</t>
        </is>
      </c>
      <c r="B1435" s="18" t="inlineStr">
        <is>
          <t>Bangladesh</t>
        </is>
      </c>
      <c r="C1435" s="19" t="n">
        <v>169828911</v>
      </c>
      <c r="D1435" s="18" t="inlineStr">
        <is>
          <t>BD</t>
        </is>
      </c>
      <c r="E1435" s="18" t="inlineStr">
        <is>
          <t>82</t>
        </is>
      </c>
      <c r="F1435" s="20" t="n">
        <v>266388</v>
      </c>
      <c r="G1435" s="18" t="n"/>
      <c r="H1435" s="18" t="n"/>
      <c r="I1435" s="18" t="n"/>
      <c r="J1435" s="18" t="n"/>
      <c r="K1435" s="18" t="n"/>
      <c r="L1435" s="18" t="inlineStr">
        <is>
          <t>100k +  pop</t>
        </is>
      </c>
      <c r="M1435" s="22" t="n">
        <v>0</v>
      </c>
      <c r="N1435" s="22" t="n">
        <v>0</v>
      </c>
      <c r="O1435" s="18" t="n"/>
      <c r="P1435" s="22">
        <f>IF(O1435="",(About!$B$5*M1435+About!$B$6*N1435)/(About!$B$5+About!$B$6),About!$B$5*M1435+About!$B$6*N1435+About!$B$7*O1435)</f>
        <v/>
      </c>
      <c r="Q1435" s="23" t="n">
        <v>22.6566</v>
      </c>
      <c r="R1435" s="23" t="n">
        <v>89.7912</v>
      </c>
    </row>
    <row r="1436" ht="15" customHeight="1" s="12">
      <c r="A1436" s="18" t="inlineStr">
        <is>
          <t>Aachen</t>
        </is>
      </c>
      <c r="B1436" s="18" t="inlineStr">
        <is>
          <t>Germany</t>
        </is>
      </c>
      <c r="C1436" s="19" t="n">
        <v>83497147</v>
      </c>
      <c r="D1436" s="18" t="inlineStr">
        <is>
          <t>DE</t>
        </is>
      </c>
      <c r="E1436" s="18" t="inlineStr">
        <is>
          <t>07</t>
        </is>
      </c>
      <c r="F1436" s="20" t="n">
        <v>265208</v>
      </c>
      <c r="G1436" s="18" t="n"/>
      <c r="H1436" s="18" t="n"/>
      <c r="I1436" s="18" t="n"/>
      <c r="J1436" s="18" t="n"/>
      <c r="K1436" s="18" t="n"/>
      <c r="L1436" s="18" t="inlineStr">
        <is>
          <t>100k +  pop</t>
        </is>
      </c>
      <c r="M1436" s="22" t="n">
        <v>0</v>
      </c>
      <c r="N1436" s="22" t="n">
        <v>0</v>
      </c>
      <c r="O1436" s="18" t="n"/>
      <c r="P1436" s="22">
        <f>IF(O1436="",(About!$B$5*M1436+About!$B$6*N1436)/(About!$B$5+About!$B$6),About!$B$5*M1436+About!$B$6*N1436+About!$B$7*O1436)</f>
        <v/>
      </c>
      <c r="Q1436" s="23" t="n">
        <v>50.7766</v>
      </c>
      <c r="R1436" s="23" t="n">
        <v>6.0834</v>
      </c>
    </row>
    <row r="1437" ht="15" customHeight="1" s="12">
      <c r="A1437" s="18" t="inlineStr">
        <is>
          <t>Sumqayıt</t>
        </is>
      </c>
      <c r="B1437" s="18" t="inlineStr">
        <is>
          <t>Azerbaijan</t>
        </is>
      </c>
      <c r="C1437" s="19" t="n">
        <v>10259701</v>
      </c>
      <c r="D1437" s="18" t="inlineStr">
        <is>
          <t>AZ</t>
        </is>
      </c>
      <c r="E1437" s="18" t="inlineStr">
        <is>
          <t>54</t>
        </is>
      </c>
      <c r="F1437" s="20" t="n">
        <v>265150</v>
      </c>
      <c r="G1437" s="18" t="n"/>
      <c r="H1437" s="18" t="n"/>
      <c r="I1437" s="18" t="n"/>
      <c r="J1437" s="18" t="n"/>
      <c r="K1437" s="18" t="n"/>
      <c r="L1437" s="18" t="inlineStr">
        <is>
          <t>100k +  pop</t>
        </is>
      </c>
      <c r="M1437" s="22" t="n">
        <v>0</v>
      </c>
      <c r="N1437" s="22" t="n">
        <v>0</v>
      </c>
      <c r="O1437" s="18" t="n"/>
      <c r="P1437" s="22">
        <f>IF(O1437="",(About!$B$5*M1437+About!$B$6*N1437)/(About!$B$5+About!$B$6),About!$B$5*M1437+About!$B$6*N1437+About!$B$7*O1437)</f>
        <v/>
      </c>
      <c r="Q1437" s="23" t="n">
        <v>40.5897</v>
      </c>
      <c r="R1437" s="23" t="n">
        <v>49.6686</v>
      </c>
    </row>
    <row r="1438" ht="15" customHeight="1" s="12">
      <c r="A1438" s="18" t="inlineStr">
        <is>
          <t>Mantampay</t>
        </is>
      </c>
      <c r="B1438" s="18" t="inlineStr">
        <is>
          <t>Philippines</t>
        </is>
      </c>
      <c r="C1438" s="19" t="n">
        <v>114123600</v>
      </c>
      <c r="D1438" s="18" t="inlineStr">
        <is>
          <t>PH</t>
        </is>
      </c>
      <c r="E1438" s="18" t="inlineStr">
        <is>
          <t>10</t>
        </is>
      </c>
      <c r="F1438" s="20" t="n">
        <v>265032</v>
      </c>
      <c r="G1438" s="18" t="n"/>
      <c r="H1438" s="18" t="n"/>
      <c r="I1438" s="18" t="n"/>
      <c r="J1438" s="18" t="n"/>
      <c r="K1438" s="18" t="n"/>
      <c r="L1438" s="18" t="inlineStr">
        <is>
          <t>100k +  pop</t>
        </is>
      </c>
      <c r="M1438" s="22" t="n">
        <v>0</v>
      </c>
      <c r="N1438" s="22" t="n">
        <v>0</v>
      </c>
      <c r="O1438" s="18" t="n"/>
      <c r="P1438" s="22">
        <f>IF(O1438="",(About!$B$5*M1438+About!$B$6*N1438)/(About!$B$5+About!$B$6),About!$B$5*M1438+About!$B$6*N1438+About!$B$7*O1438)</f>
        <v/>
      </c>
      <c r="Q1438" s="23" t="n">
        <v>8.166700000000001</v>
      </c>
      <c r="R1438" s="23" t="n">
        <v>124.2167</v>
      </c>
    </row>
    <row r="1439" ht="15" customHeight="1" s="12">
      <c r="A1439" s="18" t="inlineStr">
        <is>
          <t>El Daein</t>
        </is>
      </c>
      <c r="B1439" s="18" t="inlineStr">
        <is>
          <t>Sudan</t>
        </is>
      </c>
      <c r="C1439" s="19" t="n">
        <v>51662000</v>
      </c>
      <c r="D1439" s="18" t="inlineStr">
        <is>
          <t>SD</t>
        </is>
      </c>
      <c r="E1439" s="18" t="inlineStr">
        <is>
          <t>60</t>
        </is>
      </c>
      <c r="F1439" s="20" t="n">
        <v>264734</v>
      </c>
      <c r="G1439" s="18" t="n"/>
      <c r="H1439" s="18" t="n"/>
      <c r="I1439" s="18" t="n"/>
      <c r="J1439" s="18" t="n"/>
      <c r="K1439" s="18" t="n"/>
      <c r="L1439" s="18" t="inlineStr">
        <is>
          <t>100k +  pop</t>
        </is>
      </c>
      <c r="M1439" s="22" t="n">
        <v>0</v>
      </c>
      <c r="N1439" s="22" t="n">
        <v>0</v>
      </c>
      <c r="O1439" s="18" t="n"/>
      <c r="P1439" s="22">
        <f>IF(O1439="",(About!$B$5*M1439+About!$B$6*N1439)/(About!$B$5+About!$B$6),About!$B$5*M1439+About!$B$6*N1439+About!$B$7*O1439)</f>
        <v/>
      </c>
      <c r="Q1439" s="23" t="n">
        <v>11.4619</v>
      </c>
      <c r="R1439" s="23" t="n">
        <v>26.1258</v>
      </c>
    </row>
    <row r="1440" ht="15" customHeight="1" s="12">
      <c r="A1440" s="18" t="inlineStr">
        <is>
          <t>Witbank</t>
        </is>
      </c>
      <c r="B1440" s="18" t="inlineStr">
        <is>
          <t>South Africa</t>
        </is>
      </c>
      <c r="C1440" s="19" t="n">
        <v>63100945</v>
      </c>
      <c r="D1440" s="18" t="inlineStr">
        <is>
          <t>ZA</t>
        </is>
      </c>
      <c r="E1440" s="18" t="inlineStr">
        <is>
          <t>07</t>
        </is>
      </c>
      <c r="F1440" s="20" t="n">
        <v>262491</v>
      </c>
      <c r="G1440" s="18" t="n"/>
      <c r="H1440" s="18" t="n"/>
      <c r="I1440" s="18" t="n"/>
      <c r="J1440" s="18" t="n"/>
      <c r="K1440" s="18" t="n"/>
      <c r="L1440" s="18" t="inlineStr">
        <is>
          <t>100k +  pop</t>
        </is>
      </c>
      <c r="M1440" s="22" t="n">
        <v>0</v>
      </c>
      <c r="N1440" s="22" t="n">
        <v>0</v>
      </c>
      <c r="O1440" s="18" t="n"/>
      <c r="P1440" s="22">
        <f>IF(O1440="",(About!$B$5*M1440+About!$B$6*N1440)/(About!$B$5+About!$B$6),About!$B$5*M1440+About!$B$6*N1440+About!$B$7*O1440)</f>
        <v/>
      </c>
      <c r="Q1440" s="23" t="n">
        <v>-25.8713</v>
      </c>
      <c r="R1440" s="23" t="n">
        <v>29.2332</v>
      </c>
    </row>
    <row r="1441" ht="15" customHeight="1" s="12">
      <c r="A1441" s="18" t="inlineStr">
        <is>
          <t>Mönchengladbach</t>
        </is>
      </c>
      <c r="B1441" s="18" t="inlineStr">
        <is>
          <t>Germany</t>
        </is>
      </c>
      <c r="C1441" s="19" t="n">
        <v>83497147</v>
      </c>
      <c r="D1441" s="18" t="inlineStr">
        <is>
          <t>DE</t>
        </is>
      </c>
      <c r="E1441" s="18" t="inlineStr">
        <is>
          <t>07</t>
        </is>
      </c>
      <c r="F1441" s="20" t="n">
        <v>261742</v>
      </c>
      <c r="G1441" s="18" t="n"/>
      <c r="H1441" s="18" t="n"/>
      <c r="I1441" s="18" t="n"/>
      <c r="J1441" s="18" t="n"/>
      <c r="K1441" s="18" t="n"/>
      <c r="L1441" s="18" t="inlineStr">
        <is>
          <t>100k +  pop</t>
        </is>
      </c>
      <c r="M1441" s="22" t="n">
        <v>0</v>
      </c>
      <c r="N1441" s="22" t="n">
        <v>0</v>
      </c>
      <c r="O1441" s="18" t="n"/>
      <c r="P1441" s="22">
        <f>IF(O1441="",(About!$B$5*M1441+About!$B$6*N1441)/(About!$B$5+About!$B$6),About!$B$5*M1441+About!$B$6*N1441+About!$B$7*O1441)</f>
        <v/>
      </c>
      <c r="Q1441" s="23" t="n">
        <v>51.1854</v>
      </c>
      <c r="R1441" s="23" t="n">
        <v>6.4417</v>
      </c>
    </row>
    <row r="1442" ht="15" customHeight="1" s="12">
      <c r="A1442" s="18" t="inlineStr">
        <is>
          <t>Markham</t>
        </is>
      </c>
      <c r="B1442" s="18" t="inlineStr">
        <is>
          <t>Canada</t>
        </is>
      </c>
      <c r="C1442" s="19" t="n">
        <v>41472081</v>
      </c>
      <c r="D1442" s="18" t="inlineStr">
        <is>
          <t>CA</t>
        </is>
      </c>
      <c r="E1442" s="18" t="inlineStr">
        <is>
          <t>08</t>
        </is>
      </c>
      <c r="F1442" s="20" t="n">
        <v>261573</v>
      </c>
      <c r="G1442" s="18" t="n"/>
      <c r="H1442" s="18" t="n"/>
      <c r="I1442" s="18" t="n"/>
      <c r="J1442" s="18" t="n"/>
      <c r="K1442" s="18" t="n"/>
      <c r="L1442" s="18" t="inlineStr">
        <is>
          <t>100k +  pop</t>
        </is>
      </c>
      <c r="M1442" s="22" t="n">
        <v>0</v>
      </c>
      <c r="N1442" s="22" t="n">
        <v>0</v>
      </c>
      <c r="O1442" s="18" t="n"/>
      <c r="P1442" s="22">
        <f>IF(O1442="",(About!$B$5*M1442+About!$B$6*N1442)/(About!$B$5+About!$B$6),About!$B$5*M1442+About!$B$6*N1442+About!$B$7*O1442)</f>
        <v/>
      </c>
      <c r="Q1442" s="23" t="n">
        <v>43.8668</v>
      </c>
      <c r="R1442" s="23" t="n">
        <v>-79.2663</v>
      </c>
    </row>
    <row r="1443" ht="15" customHeight="1" s="12">
      <c r="A1443" s="18" t="inlineStr">
        <is>
          <t>Plymouth</t>
        </is>
      </c>
      <c r="B1443" s="18" t="inlineStr">
        <is>
          <t>United Kingdom</t>
        </is>
      </c>
      <c r="C1443" s="19" t="n">
        <v>69487000</v>
      </c>
      <c r="D1443" s="18" t="inlineStr">
        <is>
          <t>GB</t>
        </is>
      </c>
      <c r="E1443" s="18" t="inlineStr">
        <is>
          <t>ENG</t>
        </is>
      </c>
      <c r="F1443" s="20" t="n">
        <v>260203</v>
      </c>
      <c r="G1443" s="18" t="n"/>
      <c r="H1443" s="18" t="n"/>
      <c r="I1443" s="18" t="n"/>
      <c r="J1443" s="18" t="n"/>
      <c r="K1443" s="18" t="n"/>
      <c r="L1443" s="18" t="inlineStr">
        <is>
          <t>100k +  pop</t>
        </is>
      </c>
      <c r="M1443" s="22" t="n">
        <v>0</v>
      </c>
      <c r="N1443" s="22" t="n">
        <v>0</v>
      </c>
      <c r="O1443" s="18" t="n"/>
      <c r="P1443" s="22">
        <f>IF(O1443="",(About!$B$5*M1443+About!$B$6*N1443)/(About!$B$5+About!$B$6),About!$B$5*M1443+About!$B$6*N1443+About!$B$7*O1443)</f>
        <v/>
      </c>
      <c r="Q1443" s="23" t="n">
        <v>50.3715</v>
      </c>
      <c r="R1443" s="23" t="n">
        <v>-4.143</v>
      </c>
    </row>
    <row r="1444" ht="15" customHeight="1" s="12">
      <c r="A1444" s="18" t="inlineStr">
        <is>
          <t>Nakuru</t>
        </is>
      </c>
      <c r="B1444" s="18" t="inlineStr">
        <is>
          <t>Kenya</t>
        </is>
      </c>
      <c r="C1444" s="19" t="n">
        <v>53330978</v>
      </c>
      <c r="D1444" s="18" t="inlineStr">
        <is>
          <t>KE</t>
        </is>
      </c>
      <c r="E1444" s="18" t="inlineStr">
        <is>
          <t>39</t>
        </is>
      </c>
      <c r="F1444" s="20" t="n">
        <v>259903</v>
      </c>
      <c r="G1444" s="18" t="n"/>
      <c r="H1444" s="18" t="n"/>
      <c r="I1444" s="18" t="n"/>
      <c r="J1444" s="18" t="n"/>
      <c r="K1444" s="18" t="n"/>
      <c r="L1444" s="18" t="inlineStr">
        <is>
          <t>100k +  pop</t>
        </is>
      </c>
      <c r="M1444" s="22" t="n">
        <v>0</v>
      </c>
      <c r="N1444" s="22" t="n">
        <v>0</v>
      </c>
      <c r="O1444" s="18" t="n"/>
      <c r="P1444" s="22">
        <f>IF(O1444="",(About!$B$5*M1444+About!$B$6*N1444)/(About!$B$5+About!$B$6),About!$B$5*M1444+About!$B$6*N1444+About!$B$7*O1444)</f>
        <v/>
      </c>
      <c r="Q1444" s="23" t="n">
        <v>-0.3072</v>
      </c>
      <c r="R1444" s="23" t="n">
        <v>36.0722</v>
      </c>
    </row>
    <row r="1445" ht="15" customHeight="1" s="12">
      <c r="A1445" s="18" t="inlineStr">
        <is>
          <t>Augsburg</t>
        </is>
      </c>
      <c r="B1445" s="18" t="inlineStr">
        <is>
          <t>Germany</t>
        </is>
      </c>
      <c r="C1445" s="19" t="n">
        <v>83497147</v>
      </c>
      <c r="D1445" s="18" t="inlineStr">
        <is>
          <t>DE</t>
        </is>
      </c>
      <c r="E1445" s="18" t="inlineStr">
        <is>
          <t>02</t>
        </is>
      </c>
      <c r="F1445" s="20" t="n">
        <v>259196</v>
      </c>
      <c r="G1445" s="18" t="n"/>
      <c r="H1445" s="18" t="n"/>
      <c r="I1445" s="18" t="n"/>
      <c r="J1445" s="18" t="n"/>
      <c r="K1445" s="18" t="n"/>
      <c r="L1445" s="18" t="inlineStr">
        <is>
          <t>100k +  pop</t>
        </is>
      </c>
      <c r="M1445" s="22" t="n">
        <v>0</v>
      </c>
      <c r="N1445" s="22" t="n">
        <v>0</v>
      </c>
      <c r="O1445" s="18" t="n"/>
      <c r="P1445" s="22">
        <f>IF(O1445="",(About!$B$5*M1445+About!$B$6*N1445)/(About!$B$5+About!$B$6),About!$B$5*M1445+About!$B$6*N1445+About!$B$7*O1445)</f>
        <v/>
      </c>
      <c r="Q1445" s="23" t="n">
        <v>48.3715</v>
      </c>
      <c r="R1445" s="23" t="n">
        <v>10.8985</v>
      </c>
    </row>
    <row r="1446" ht="15" customHeight="1" s="12">
      <c r="A1446" s="18" t="inlineStr">
        <is>
          <t>Tarsus</t>
        </is>
      </c>
      <c r="B1446" s="18" t="inlineStr">
        <is>
          <t>Türkiye</t>
        </is>
      </c>
      <c r="C1446" s="19" t="n">
        <v>86092168</v>
      </c>
      <c r="D1446" s="18" t="inlineStr">
        <is>
          <t>TR</t>
        </is>
      </c>
      <c r="E1446" s="18" t="inlineStr">
        <is>
          <t>32</t>
        </is>
      </c>
      <c r="F1446" s="20" t="n">
        <v>256482</v>
      </c>
      <c r="G1446" s="18" t="n"/>
      <c r="H1446" s="18" t="inlineStr">
        <is>
          <t>COV</t>
        </is>
      </c>
      <c r="I1446" s="18" t="inlineStr">
        <is>
          <t>Çukurova International Airport</t>
        </is>
      </c>
      <c r="J1446" s="21" t="n">
        <v>16.1</v>
      </c>
      <c r="K1446" s="18" t="inlineStr">
        <is>
          <t>COV</t>
        </is>
      </c>
      <c r="L1446" s="18" t="inlineStr">
        <is>
          <t>100k +  pop + airport</t>
        </is>
      </c>
      <c r="M1446" s="22" t="n">
        <v>0</v>
      </c>
      <c r="N1446" s="22" t="n">
        <v>0</v>
      </c>
      <c r="O1446" s="18" t="n"/>
      <c r="P1446" s="22">
        <f>IF(O1446="",(About!$B$5*M1446+About!$B$6*N1446)/(About!$B$5+About!$B$6),About!$B$5*M1446+About!$B$6*N1446+About!$B$7*O1446)</f>
        <v/>
      </c>
      <c r="Q1446" s="23" t="n">
        <v>36.9177</v>
      </c>
      <c r="R1446" s="23" t="n">
        <v>34.8928</v>
      </c>
    </row>
    <row r="1447" ht="15" customHeight="1" s="12">
      <c r="A1447" s="18" t="inlineStr">
        <is>
          <t>Wolverhampton</t>
        </is>
      </c>
      <c r="B1447" s="18" t="inlineStr">
        <is>
          <t>United Kingdom</t>
        </is>
      </c>
      <c r="C1447" s="19" t="n">
        <v>69487000</v>
      </c>
      <c r="D1447" s="18" t="inlineStr">
        <is>
          <t>GB</t>
        </is>
      </c>
      <c r="E1447" s="18" t="inlineStr">
        <is>
          <t>ENG</t>
        </is>
      </c>
      <c r="F1447" s="20" t="n">
        <v>252791</v>
      </c>
      <c r="G1447" s="18" t="n"/>
      <c r="H1447" s="18" t="n"/>
      <c r="I1447" s="18" t="n"/>
      <c r="J1447" s="18" t="n"/>
      <c r="K1447" s="18" t="n"/>
      <c r="L1447" s="18" t="inlineStr">
        <is>
          <t>100k +  pop</t>
        </is>
      </c>
      <c r="M1447" s="22" t="n">
        <v>0</v>
      </c>
      <c r="N1447" s="22" t="n">
        <v>0</v>
      </c>
      <c r="O1447" s="18" t="n"/>
      <c r="P1447" s="22">
        <f>IF(O1447="",(About!$B$5*M1447+About!$B$6*N1447)/(About!$B$5+About!$B$6),About!$B$5*M1447+About!$B$6*N1447+About!$B$7*O1447)</f>
        <v/>
      </c>
      <c r="Q1447" s="23" t="n">
        <v>52.5855</v>
      </c>
      <c r="R1447" s="23" t="n">
        <v>-2.123</v>
      </c>
    </row>
    <row r="1448" ht="15" customHeight="1" s="12">
      <c r="A1448" s="18" t="inlineStr">
        <is>
          <t>Borūjerd</t>
        </is>
      </c>
      <c r="B1448" s="18" t="inlineStr">
        <is>
          <t>Iran</t>
        </is>
      </c>
      <c r="C1448" s="19" t="n">
        <v>87134000</v>
      </c>
      <c r="D1448" s="18" t="inlineStr">
        <is>
          <t>IR</t>
        </is>
      </c>
      <c r="E1448" s="18" t="inlineStr">
        <is>
          <t>23</t>
        </is>
      </c>
      <c r="F1448" s="20" t="n">
        <v>251958</v>
      </c>
      <c r="G1448" s="18" t="n"/>
      <c r="H1448" s="18" t="n"/>
      <c r="I1448" s="18" t="n"/>
      <c r="J1448" s="18" t="n"/>
      <c r="K1448" s="18" t="n"/>
      <c r="L1448" s="18" t="inlineStr">
        <is>
          <t>100k +  pop</t>
        </is>
      </c>
      <c r="M1448" s="22" t="n">
        <v>0</v>
      </c>
      <c r="N1448" s="22" t="n">
        <v>0</v>
      </c>
      <c r="O1448" s="18" t="n"/>
      <c r="P1448" s="22">
        <f>IF(O1448="",(About!$B$5*M1448+About!$B$6*N1448)/(About!$B$5+About!$B$6),About!$B$5*M1448+About!$B$6*N1448+About!$B$7*O1448)</f>
        <v/>
      </c>
      <c r="Q1448" s="23" t="n">
        <v>33.8973</v>
      </c>
      <c r="R1448" s="23" t="n">
        <v>48.7516</v>
      </c>
    </row>
    <row r="1449" ht="15" customHeight="1" s="12">
      <c r="A1449" s="18" t="inlineStr">
        <is>
          <t>Qarchak</t>
        </is>
      </c>
      <c r="B1449" s="18" t="inlineStr">
        <is>
          <t>Iran</t>
        </is>
      </c>
      <c r="C1449" s="19" t="n">
        <v>87134000</v>
      </c>
      <c r="D1449" s="18" t="inlineStr">
        <is>
          <t>IR</t>
        </is>
      </c>
      <c r="E1449" s="18" t="inlineStr">
        <is>
          <t>26</t>
        </is>
      </c>
      <c r="F1449" s="20" t="n">
        <v>251834</v>
      </c>
      <c r="G1449" s="18" t="n"/>
      <c r="H1449" s="18" t="n"/>
      <c r="I1449" s="18" t="n"/>
      <c r="J1449" s="18" t="n"/>
      <c r="K1449" s="18" t="n"/>
      <c r="L1449" s="18" t="inlineStr">
        <is>
          <t>100k +  pop</t>
        </is>
      </c>
      <c r="M1449" s="22" t="n">
        <v>0</v>
      </c>
      <c r="N1449" s="22" t="n">
        <v>0</v>
      </c>
      <c r="O1449" s="18" t="n"/>
      <c r="P1449" s="22">
        <f>IF(O1449="",(About!$B$5*M1449+About!$B$6*N1449)/(About!$B$5+About!$B$6),About!$B$5*M1449+About!$B$6*N1449+About!$B$7*O1449)</f>
        <v/>
      </c>
      <c r="Q1449" s="23" t="n">
        <v>35.4287</v>
      </c>
      <c r="R1449" s="23" t="n">
        <v>51.5754</v>
      </c>
    </row>
    <row r="1450" ht="15" customHeight="1" s="12">
      <c r="A1450" s="18" t="inlineStr">
        <is>
          <t>Morogoro</t>
        </is>
      </c>
      <c r="B1450" s="18" t="inlineStr">
        <is>
          <t>Tanzania</t>
        </is>
      </c>
      <c r="C1450" s="19" t="n">
        <v>68153004</v>
      </c>
      <c r="D1450" s="18" t="inlineStr">
        <is>
          <t>TZ</t>
        </is>
      </c>
      <c r="E1450" s="18" t="inlineStr">
        <is>
          <t>10</t>
        </is>
      </c>
      <c r="F1450" s="20" t="n">
        <v>250902</v>
      </c>
      <c r="G1450" s="18" t="n"/>
      <c r="H1450" s="18" t="n"/>
      <c r="I1450" s="18" t="n"/>
      <c r="J1450" s="18" t="n"/>
      <c r="K1450" s="18" t="n"/>
      <c r="L1450" s="18" t="inlineStr">
        <is>
          <t>100k +  pop</t>
        </is>
      </c>
      <c r="M1450" s="22" t="n">
        <v>0</v>
      </c>
      <c r="N1450" s="22" t="n">
        <v>0</v>
      </c>
      <c r="O1450" s="18" t="n"/>
      <c r="P1450" s="22">
        <f>IF(O1450="",(About!$B$5*M1450+About!$B$6*N1450)/(About!$B$5+About!$B$6),About!$B$5*M1450+About!$B$6*N1450+About!$B$7*O1450)</f>
        <v/>
      </c>
      <c r="Q1450" s="23" t="n">
        <v>-6.821</v>
      </c>
      <c r="R1450" s="23" t="n">
        <v>37.6612</v>
      </c>
    </row>
    <row r="1451" ht="15" customHeight="1" s="12">
      <c r="A1451" s="18" t="inlineStr">
        <is>
          <t>Singa</t>
        </is>
      </c>
      <c r="B1451" s="18" t="inlineStr">
        <is>
          <t>Sudan</t>
        </is>
      </c>
      <c r="C1451" s="19" t="n">
        <v>51662000</v>
      </c>
      <c r="D1451" s="18" t="inlineStr">
        <is>
          <t>SD</t>
        </is>
      </c>
      <c r="E1451" s="18" t="inlineStr">
        <is>
          <t>58</t>
        </is>
      </c>
      <c r="F1451" s="20" t="n">
        <v>250000</v>
      </c>
      <c r="G1451" s="18" t="n"/>
      <c r="H1451" s="18" t="n"/>
      <c r="I1451" s="18" t="n"/>
      <c r="J1451" s="18" t="n"/>
      <c r="K1451" s="18" t="n"/>
      <c r="L1451" s="18" t="inlineStr">
        <is>
          <t>100k +  pop</t>
        </is>
      </c>
      <c r="M1451" s="22" t="n">
        <v>0</v>
      </c>
      <c r="N1451" s="22" t="n">
        <v>0</v>
      </c>
      <c r="O1451" s="18" t="n"/>
      <c r="P1451" s="22">
        <f>IF(O1451="",(About!$B$5*M1451+About!$B$6*N1451)/(About!$B$5+About!$B$6),About!$B$5*M1451+About!$B$6*N1451+About!$B$7*O1451)</f>
        <v/>
      </c>
      <c r="Q1451" s="23" t="n">
        <v>13.1483</v>
      </c>
      <c r="R1451" s="23" t="n">
        <v>33.9312</v>
      </c>
    </row>
    <row r="1452" ht="15" customHeight="1" s="12">
      <c r="A1452" s="18" t="inlineStr">
        <is>
          <t>Chemnitz</t>
        </is>
      </c>
      <c r="B1452" s="18" t="inlineStr">
        <is>
          <t>Germany</t>
        </is>
      </c>
      <c r="C1452" s="19" t="n">
        <v>83497147</v>
      </c>
      <c r="D1452" s="18" t="inlineStr">
        <is>
          <t>DE</t>
        </is>
      </c>
      <c r="E1452" s="18" t="inlineStr">
        <is>
          <t>13</t>
        </is>
      </c>
      <c r="F1452" s="20" t="n">
        <v>247220</v>
      </c>
      <c r="G1452" s="18" t="n"/>
      <c r="H1452" s="18" t="n"/>
      <c r="I1452" s="18" t="n"/>
      <c r="J1452" s="18" t="n"/>
      <c r="K1452" s="18" t="n"/>
      <c r="L1452" s="18" t="inlineStr">
        <is>
          <t>100k +  pop</t>
        </is>
      </c>
      <c r="M1452" s="22" t="n">
        <v>0</v>
      </c>
      <c r="N1452" s="22" t="n">
        <v>0</v>
      </c>
      <c r="O1452" s="18" t="n"/>
      <c r="P1452" s="22">
        <f>IF(O1452="",(About!$B$5*M1452+About!$B$6*N1452)/(About!$B$5+About!$B$6),About!$B$5*M1452+About!$B$6*N1452+About!$B$7*O1452)</f>
        <v/>
      </c>
      <c r="Q1452" s="23" t="n">
        <v>50.8357</v>
      </c>
      <c r="R1452" s="23" t="n">
        <v>12.9292</v>
      </c>
    </row>
    <row r="1453" ht="15" customHeight="1" s="12">
      <c r="A1453" s="18" t="inlineStr">
        <is>
          <t>Ica</t>
        </is>
      </c>
      <c r="B1453" s="18" t="inlineStr">
        <is>
          <t>Peru</t>
        </is>
      </c>
      <c r="C1453" s="19" t="n">
        <v>34350244</v>
      </c>
      <c r="D1453" s="18" t="inlineStr">
        <is>
          <t>PE</t>
        </is>
      </c>
      <c r="E1453" s="18" t="inlineStr">
        <is>
          <t>11</t>
        </is>
      </c>
      <c r="F1453" s="20" t="n">
        <v>246844</v>
      </c>
      <c r="G1453" s="18" t="n"/>
      <c r="H1453" s="18" t="n"/>
      <c r="I1453" s="18" t="n"/>
      <c r="J1453" s="18" t="n"/>
      <c r="K1453" s="18" t="n"/>
      <c r="L1453" s="18" t="inlineStr">
        <is>
          <t>100k +  pop</t>
        </is>
      </c>
      <c r="M1453" s="22" t="n">
        <v>0</v>
      </c>
      <c r="N1453" s="22" t="n">
        <v>0</v>
      </c>
      <c r="O1453" s="18" t="n"/>
      <c r="P1453" s="22">
        <f>IF(O1453="",(About!$B$5*M1453+About!$B$6*N1453)/(About!$B$5+About!$B$6),About!$B$5*M1453+About!$B$6*N1453+About!$B$7*O1453)</f>
        <v/>
      </c>
      <c r="Q1453" s="23" t="n">
        <v>-14.0678</v>
      </c>
      <c r="R1453" s="23" t="n">
        <v>-75.7286</v>
      </c>
    </row>
    <row r="1454" ht="15" customHeight="1" s="12">
      <c r="A1454" s="18" t="inlineStr">
        <is>
          <t>Vanderbijlpark</t>
        </is>
      </c>
      <c r="B1454" s="18" t="inlineStr">
        <is>
          <t>South Africa</t>
        </is>
      </c>
      <c r="C1454" s="19" t="n">
        <v>63100945</v>
      </c>
      <c r="D1454" s="18" t="inlineStr">
        <is>
          <t>ZA</t>
        </is>
      </c>
      <c r="E1454" s="18" t="inlineStr">
        <is>
          <t>06</t>
        </is>
      </c>
      <c r="F1454" s="20" t="n">
        <v>246754</v>
      </c>
      <c r="G1454" s="18" t="n"/>
      <c r="H1454" s="18" t="n"/>
      <c r="I1454" s="18" t="n"/>
      <c r="J1454" s="18" t="n"/>
      <c r="K1454" s="18" t="n"/>
      <c r="L1454" s="18" t="inlineStr">
        <is>
          <t>100k +  pop</t>
        </is>
      </c>
      <c r="M1454" s="22" t="n">
        <v>0</v>
      </c>
      <c r="N1454" s="22" t="n">
        <v>0</v>
      </c>
      <c r="O1454" s="18" t="n"/>
      <c r="P1454" s="22">
        <f>IF(O1454="",(About!$B$5*M1454+About!$B$6*N1454)/(About!$B$5+About!$B$6),About!$B$5*M1454+About!$B$6*N1454+About!$B$7*O1454)</f>
        <v/>
      </c>
      <c r="Q1454" s="23" t="n">
        <v>-26.7117</v>
      </c>
      <c r="R1454" s="23" t="n">
        <v>27.8379</v>
      </c>
    </row>
    <row r="1455" ht="15" customHeight="1" s="12">
      <c r="A1455" s="18" t="inlineStr">
        <is>
          <t>Kyain Seikgyi Township</t>
        </is>
      </c>
      <c r="B1455" s="18" t="inlineStr">
        <is>
          <t>Myanmar</t>
        </is>
      </c>
      <c r="C1455" s="19" t="n">
        <v>51375327</v>
      </c>
      <c r="D1455" s="18" t="inlineStr">
        <is>
          <t>MM</t>
        </is>
      </c>
      <c r="E1455" s="18" t="inlineStr">
        <is>
          <t>05</t>
        </is>
      </c>
      <c r="F1455" s="20" t="n">
        <v>246065</v>
      </c>
      <c r="G1455" s="18" t="n"/>
      <c r="H1455" s="18" t="n"/>
      <c r="I1455" s="18" t="n"/>
      <c r="J1455" s="18" t="n"/>
      <c r="K1455" s="18" t="n"/>
      <c r="L1455" s="18" t="inlineStr">
        <is>
          <t>100k +  pop</t>
        </is>
      </c>
      <c r="M1455" s="22" t="n">
        <v>0</v>
      </c>
      <c r="N1455" s="22" t="n">
        <v>0</v>
      </c>
      <c r="O1455" s="18" t="n"/>
      <c r="P1455" s="22">
        <f>IF(O1455="",(About!$B$5*M1455+About!$B$6*N1455)/(About!$B$5+About!$B$6),About!$B$5*M1455+About!$B$6*N1455+About!$B$7*O1455)</f>
        <v/>
      </c>
      <c r="Q1455" s="23" t="n">
        <v>15.8229</v>
      </c>
      <c r="R1455" s="23" t="n">
        <v>98.2526</v>
      </c>
    </row>
    <row r="1456" ht="15" customHeight="1" s="12">
      <c r="A1456" s="18" t="inlineStr">
        <is>
          <t>Gorgān</t>
        </is>
      </c>
      <c r="B1456" s="18" t="inlineStr">
        <is>
          <t>Iran</t>
        </is>
      </c>
      <c r="C1456" s="19" t="n">
        <v>87134000</v>
      </c>
      <c r="D1456" s="18" t="inlineStr">
        <is>
          <t>IR</t>
        </is>
      </c>
      <c r="E1456" s="18" t="inlineStr">
        <is>
          <t>37</t>
        </is>
      </c>
      <c r="F1456" s="20" t="n">
        <v>244937</v>
      </c>
      <c r="G1456" s="18" t="n"/>
      <c r="H1456" s="18" t="n"/>
      <c r="I1456" s="18" t="n"/>
      <c r="J1456" s="18" t="n"/>
      <c r="K1456" s="18" t="n"/>
      <c r="L1456" s="18" t="inlineStr">
        <is>
          <t>100k +  pop</t>
        </is>
      </c>
      <c r="M1456" s="22" t="n">
        <v>0</v>
      </c>
      <c r="N1456" s="22" t="n">
        <v>0</v>
      </c>
      <c r="O1456" s="18" t="n"/>
      <c r="P1456" s="22">
        <f>IF(O1456="",(About!$B$5*M1456+About!$B$6*N1456)/(About!$B$5+About!$B$6),About!$B$5*M1456+About!$B$6*N1456+About!$B$7*O1456)</f>
        <v/>
      </c>
      <c r="Q1456" s="23" t="n">
        <v>36.8427</v>
      </c>
      <c r="R1456" s="23" t="n">
        <v>54.4439</v>
      </c>
    </row>
    <row r="1457" ht="15" customHeight="1" s="12">
      <c r="A1457" s="18" t="inlineStr">
        <is>
          <t>Braunschweig</t>
        </is>
      </c>
      <c r="B1457" s="18" t="inlineStr">
        <is>
          <t>Germany</t>
        </is>
      </c>
      <c r="C1457" s="19" t="n">
        <v>83497147</v>
      </c>
      <c r="D1457" s="18" t="inlineStr">
        <is>
          <t>DE</t>
        </is>
      </c>
      <c r="E1457" s="18" t="inlineStr">
        <is>
          <t>06</t>
        </is>
      </c>
      <c r="F1457" s="20" t="n">
        <v>244715</v>
      </c>
      <c r="G1457" s="18" t="n"/>
      <c r="H1457" s="18" t="n"/>
      <c r="I1457" s="18" t="n"/>
      <c r="J1457" s="18" t="n"/>
      <c r="K1457" s="18" t="n"/>
      <c r="L1457" s="18" t="inlineStr">
        <is>
          <t>100k +  pop</t>
        </is>
      </c>
      <c r="M1457" s="22" t="n">
        <v>0</v>
      </c>
      <c r="N1457" s="22" t="n">
        <v>0</v>
      </c>
      <c r="O1457" s="18" t="n"/>
      <c r="P1457" s="22">
        <f>IF(O1457="",(About!$B$5*M1457+About!$B$6*N1457)/(About!$B$5+About!$B$6),About!$B$5*M1457+About!$B$6*N1457+About!$B$7*O1457)</f>
        <v/>
      </c>
      <c r="Q1457" s="23" t="n">
        <v>52.2659</v>
      </c>
      <c r="R1457" s="23" t="n">
        <v>10.5267</v>
      </c>
    </row>
    <row r="1458" ht="15" customHeight="1" s="12">
      <c r="A1458" s="18" t="inlineStr">
        <is>
          <t>Bago</t>
        </is>
      </c>
      <c r="B1458" s="18" t="inlineStr">
        <is>
          <t>Myanmar</t>
        </is>
      </c>
      <c r="C1458" s="19" t="n">
        <v>51375327</v>
      </c>
      <c r="D1458" s="18" t="inlineStr">
        <is>
          <t>MM</t>
        </is>
      </c>
      <c r="E1458" s="18" t="inlineStr">
        <is>
          <t>16</t>
        </is>
      </c>
      <c r="F1458" s="20" t="n">
        <v>244376</v>
      </c>
      <c r="G1458" s="18" t="n"/>
      <c r="H1458" s="18" t="n"/>
      <c r="I1458" s="18" t="n"/>
      <c r="J1458" s="18" t="n"/>
      <c r="K1458" s="18" t="n"/>
      <c r="L1458" s="18" t="inlineStr">
        <is>
          <t>100k +  pop</t>
        </is>
      </c>
      <c r="M1458" s="22" t="n">
        <v>0</v>
      </c>
      <c r="N1458" s="22" t="n">
        <v>0</v>
      </c>
      <c r="O1458" s="18" t="n"/>
      <c r="P1458" s="22">
        <f>IF(O1458="",(About!$B$5*M1458+About!$B$6*N1458)/(About!$B$5+About!$B$6),About!$B$5*M1458+About!$B$6*N1458+About!$B$7*O1458)</f>
        <v/>
      </c>
      <c r="Q1458" s="23" t="n">
        <v>17.3352</v>
      </c>
      <c r="R1458" s="23" t="n">
        <v>96.48139999999999</v>
      </c>
    </row>
    <row r="1459" ht="15" customHeight="1" s="12">
      <c r="A1459" s="18" t="inlineStr">
        <is>
          <t>Manisa</t>
        </is>
      </c>
      <c r="B1459" s="18" t="inlineStr">
        <is>
          <t>Türkiye</t>
        </is>
      </c>
      <c r="C1459" s="19" t="n">
        <v>86092168</v>
      </c>
      <c r="D1459" s="18" t="inlineStr">
        <is>
          <t>TR</t>
        </is>
      </c>
      <c r="E1459" s="18" t="inlineStr">
        <is>
          <t>45</t>
        </is>
      </c>
      <c r="F1459" s="20" t="n">
        <v>243971</v>
      </c>
      <c r="G1459" s="18" t="n"/>
      <c r="H1459" s="18" t="n"/>
      <c r="I1459" s="18" t="n"/>
      <c r="J1459" s="18" t="n"/>
      <c r="K1459" s="18" t="n"/>
      <c r="L1459" s="18" t="inlineStr">
        <is>
          <t>100k +  pop</t>
        </is>
      </c>
      <c r="M1459" s="22" t="n">
        <v>0</v>
      </c>
      <c r="N1459" s="22" t="n">
        <v>0</v>
      </c>
      <c r="O1459" s="18" t="n"/>
      <c r="P1459" s="22">
        <f>IF(O1459="",(About!$B$5*M1459+About!$B$6*N1459)/(About!$B$5+About!$B$6),About!$B$5*M1459+About!$B$6*N1459+About!$B$7*O1459)</f>
        <v/>
      </c>
      <c r="Q1459" s="23" t="n">
        <v>38.612</v>
      </c>
      <c r="R1459" s="23" t="n">
        <v>27.4265</v>
      </c>
    </row>
    <row r="1460" ht="15" customHeight="1" s="12">
      <c r="A1460" s="18" t="inlineStr">
        <is>
          <t>Berbera</t>
        </is>
      </c>
      <c r="B1460" s="18" t="inlineStr">
        <is>
          <t>Somalia</t>
        </is>
      </c>
      <c r="C1460" s="19" t="n">
        <v>19655000</v>
      </c>
      <c r="D1460" s="18" t="inlineStr">
        <is>
          <t>SO</t>
        </is>
      </c>
      <c r="E1460" s="18" t="inlineStr">
        <is>
          <t>20</t>
        </is>
      </c>
      <c r="F1460" s="20" t="n">
        <v>242344</v>
      </c>
      <c r="G1460" s="18" t="n"/>
      <c r="H1460" s="18" t="inlineStr">
        <is>
          <t>BBO</t>
        </is>
      </c>
      <c r="I1460" s="18" t="inlineStr">
        <is>
          <t>Berbera Airport</t>
        </is>
      </c>
      <c r="J1460" s="21" t="n">
        <v>10.4</v>
      </c>
      <c r="K1460" s="18" t="inlineStr">
        <is>
          <t>BBO</t>
        </is>
      </c>
      <c r="L1460" s="18" t="inlineStr">
        <is>
          <t>100k +  pop + airport</t>
        </is>
      </c>
      <c r="M1460" s="22" t="n">
        <v>0</v>
      </c>
      <c r="N1460" s="22" t="n">
        <v>0</v>
      </c>
      <c r="O1460" s="18" t="n"/>
      <c r="P1460" s="22">
        <f>IF(O1460="",(About!$B$5*M1460+About!$B$6*N1460)/(About!$B$5+About!$B$6),About!$B$5*M1460+About!$B$6*N1460+About!$B$7*O1460)</f>
        <v/>
      </c>
      <c r="Q1460" s="23" t="n">
        <v>10.4396</v>
      </c>
      <c r="R1460" s="23" t="n">
        <v>45.0143</v>
      </c>
    </row>
    <row r="1461" ht="15" customHeight="1" s="12">
      <c r="A1461" s="18" t="inlineStr">
        <is>
          <t>Blackpool</t>
        </is>
      </c>
      <c r="B1461" s="18" t="inlineStr">
        <is>
          <t>United Kingdom</t>
        </is>
      </c>
      <c r="C1461" s="19" t="n">
        <v>69487000</v>
      </c>
      <c r="D1461" s="18" t="inlineStr">
        <is>
          <t>GB</t>
        </is>
      </c>
      <c r="E1461" s="18" t="inlineStr">
        <is>
          <t>ENG</t>
        </is>
      </c>
      <c r="F1461" s="20" t="n">
        <v>239409</v>
      </c>
      <c r="G1461" s="18" t="n"/>
      <c r="H1461" s="18" t="n"/>
      <c r="I1461" s="18" t="n"/>
      <c r="J1461" s="18" t="n"/>
      <c r="K1461" s="18" t="n"/>
      <c r="L1461" s="18" t="inlineStr">
        <is>
          <t>100k +  pop</t>
        </is>
      </c>
      <c r="M1461" s="22" t="n">
        <v>0</v>
      </c>
      <c r="N1461" s="22" t="n">
        <v>0</v>
      </c>
      <c r="O1461" s="18" t="n"/>
      <c r="P1461" s="22">
        <f>IF(O1461="",(About!$B$5*M1461+About!$B$6*N1461)/(About!$B$5+About!$B$6),About!$B$5*M1461+About!$B$6*N1461+About!$B$7*O1461)</f>
        <v/>
      </c>
      <c r="Q1461" s="23" t="n">
        <v>53.8167</v>
      </c>
      <c r="R1461" s="23" t="n">
        <v>-3.05</v>
      </c>
    </row>
    <row r="1462" ht="15" customHeight="1" s="12">
      <c r="A1462" s="18" t="inlineStr">
        <is>
          <t>Nāgarpur</t>
        </is>
      </c>
      <c r="B1462" s="18" t="inlineStr">
        <is>
          <t>Bangladesh</t>
        </is>
      </c>
      <c r="C1462" s="19" t="n">
        <v>169828911</v>
      </c>
      <c r="D1462" s="18" t="inlineStr">
        <is>
          <t>BD</t>
        </is>
      </c>
      <c r="E1462" s="18" t="inlineStr">
        <is>
          <t>81</t>
        </is>
      </c>
      <c r="F1462" s="20" t="n">
        <v>238422</v>
      </c>
      <c r="G1462" s="18" t="n"/>
      <c r="H1462" s="18" t="n"/>
      <c r="I1462" s="18" t="n"/>
      <c r="J1462" s="18" t="n"/>
      <c r="K1462" s="18" t="n"/>
      <c r="L1462" s="18" t="inlineStr">
        <is>
          <t>100k +  pop</t>
        </is>
      </c>
      <c r="M1462" s="22" t="n">
        <v>0</v>
      </c>
      <c r="N1462" s="22" t="n">
        <v>0</v>
      </c>
      <c r="O1462" s="18" t="n"/>
      <c r="P1462" s="22">
        <f>IF(O1462="",(About!$B$5*M1462+About!$B$6*N1462)/(About!$B$5+About!$B$6),About!$B$5*M1462+About!$B$6*N1462+About!$B$7*O1462)</f>
        <v/>
      </c>
      <c r="Q1462" s="23" t="n">
        <v>24.0578</v>
      </c>
      <c r="R1462" s="23" t="n">
        <v>89.877</v>
      </c>
    </row>
    <row r="1463" ht="15" customHeight="1" s="12">
      <c r="A1463" s="18" t="inlineStr">
        <is>
          <t>Balıkesir</t>
        </is>
      </c>
      <c r="B1463" s="18" t="inlineStr">
        <is>
          <t>Türkiye</t>
        </is>
      </c>
      <c r="C1463" s="19" t="n">
        <v>86092168</v>
      </c>
      <c r="D1463" s="18" t="inlineStr">
        <is>
          <t>TR</t>
        </is>
      </c>
      <c r="E1463" s="18" t="inlineStr">
        <is>
          <t>10</t>
        </is>
      </c>
      <c r="F1463" s="20" t="n">
        <v>238151</v>
      </c>
      <c r="G1463" s="18" t="n"/>
      <c r="H1463" s="18" t="inlineStr">
        <is>
          <t>BZI</t>
        </is>
      </c>
      <c r="I1463" s="18" t="inlineStr">
        <is>
          <t>Balıkesir Airport</t>
        </is>
      </c>
      <c r="J1463" s="21" t="n">
        <v>4.8</v>
      </c>
      <c r="K1463" s="18" t="inlineStr">
        <is>
          <t>BZI</t>
        </is>
      </c>
      <c r="L1463" s="18" t="inlineStr">
        <is>
          <t>100k +  pop + airport</t>
        </is>
      </c>
      <c r="M1463" s="22" t="n">
        <v>0</v>
      </c>
      <c r="N1463" s="22" t="n">
        <v>0</v>
      </c>
      <c r="O1463" s="18" t="n"/>
      <c r="P1463" s="22">
        <f>IF(O1463="",(About!$B$5*M1463+About!$B$6*N1463)/(About!$B$5+About!$B$6),About!$B$5*M1463+About!$B$6*N1463+About!$B$7*O1463)</f>
        <v/>
      </c>
      <c r="Q1463" s="23" t="n">
        <v>39.6492</v>
      </c>
      <c r="R1463" s="23" t="n">
        <v>27.8861</v>
      </c>
    </row>
    <row r="1464" ht="15" customHeight="1" s="12">
      <c r="A1464" s="18" t="inlineStr">
        <is>
          <t>Århus</t>
        </is>
      </c>
      <c r="B1464" s="18" t="inlineStr">
        <is>
          <t>Denmark</t>
        </is>
      </c>
      <c r="C1464" s="19" t="n">
        <v>6031247</v>
      </c>
      <c r="D1464" s="18" t="inlineStr">
        <is>
          <t>DK</t>
        </is>
      </c>
      <c r="E1464" s="18" t="inlineStr">
        <is>
          <t>18</t>
        </is>
      </c>
      <c r="F1464" s="20" t="n">
        <v>237551</v>
      </c>
      <c r="G1464" s="18" t="n"/>
      <c r="H1464" s="18" t="n"/>
      <c r="I1464" s="18" t="n"/>
      <c r="J1464" s="18" t="n"/>
      <c r="K1464" s="18" t="n"/>
      <c r="L1464" s="18" t="inlineStr">
        <is>
          <t>100k +  pop</t>
        </is>
      </c>
      <c r="M1464" s="22" t="n">
        <v>0</v>
      </c>
      <c r="N1464" s="22" t="n">
        <v>0</v>
      </c>
      <c r="O1464" s="18" t="n"/>
      <c r="P1464" s="22">
        <f>IF(O1464="",(About!$B$5*M1464+About!$B$6*N1464)/(About!$B$5+About!$B$6),About!$B$5*M1464+About!$B$6*N1464+About!$B$7*O1464)</f>
        <v/>
      </c>
      <c r="Q1464" s="23" t="n">
        <v>56.1567</v>
      </c>
      <c r="R1464" s="23" t="n">
        <v>10.2108</v>
      </c>
    </row>
    <row r="1465" ht="15" customHeight="1" s="12">
      <c r="A1465" s="18" t="inlineStr">
        <is>
          <t>Batangas</t>
        </is>
      </c>
      <c r="B1465" s="18" t="inlineStr">
        <is>
          <t>Philippines</t>
        </is>
      </c>
      <c r="C1465" s="19" t="n">
        <v>114123600</v>
      </c>
      <c r="D1465" s="18" t="inlineStr">
        <is>
          <t>PH</t>
        </is>
      </c>
      <c r="E1465" s="18" t="inlineStr">
        <is>
          <t>40</t>
        </is>
      </c>
      <c r="F1465" s="20" t="n">
        <v>237370</v>
      </c>
      <c r="G1465" s="18" t="n"/>
      <c r="H1465" s="18" t="n"/>
      <c r="I1465" s="18" t="n"/>
      <c r="J1465" s="18" t="n"/>
      <c r="K1465" s="18" t="n"/>
      <c r="L1465" s="18" t="inlineStr">
        <is>
          <t>100k +  pop</t>
        </is>
      </c>
      <c r="M1465" s="22" t="n">
        <v>0</v>
      </c>
      <c r="N1465" s="22" t="n">
        <v>0</v>
      </c>
      <c r="O1465" s="18" t="n"/>
      <c r="P1465" s="22">
        <f>IF(O1465="",(About!$B$5*M1465+About!$B$6*N1465)/(About!$B$5+About!$B$6),About!$B$5*M1465+About!$B$6*N1465+About!$B$7*O1465)</f>
        <v/>
      </c>
      <c r="Q1465" s="23" t="n">
        <v>13.7567</v>
      </c>
      <c r="R1465" s="23" t="n">
        <v>121.0584</v>
      </c>
    </row>
    <row r="1466" ht="15" customHeight="1" s="12">
      <c r="A1466" s="18" t="inlineStr">
        <is>
          <t>Pathein</t>
        </is>
      </c>
      <c r="B1466" s="18" t="inlineStr">
        <is>
          <t>Myanmar</t>
        </is>
      </c>
      <c r="C1466" s="19" t="n">
        <v>51375327</v>
      </c>
      <c r="D1466" s="18" t="inlineStr">
        <is>
          <t>MM</t>
        </is>
      </c>
      <c r="E1466" s="18" t="inlineStr">
        <is>
          <t>03</t>
        </is>
      </c>
      <c r="F1466" s="20" t="n">
        <v>237089</v>
      </c>
      <c r="G1466" s="18" t="n"/>
      <c r="H1466" s="18" t="inlineStr">
        <is>
          <t>BSX</t>
        </is>
      </c>
      <c r="I1466" s="18" t="inlineStr">
        <is>
          <t>Pathein Airport</t>
        </is>
      </c>
      <c r="J1466" s="21" t="n">
        <v>6.5</v>
      </c>
      <c r="K1466" s="18" t="inlineStr">
        <is>
          <t>BSX</t>
        </is>
      </c>
      <c r="L1466" s="18" t="inlineStr">
        <is>
          <t>100k +  pop + airport</t>
        </is>
      </c>
      <c r="M1466" s="22" t="n">
        <v>0</v>
      </c>
      <c r="N1466" s="22" t="n">
        <v>0</v>
      </c>
      <c r="O1466" s="18" t="n"/>
      <c r="P1466" s="22">
        <f>IF(O1466="",(About!$B$5*M1466+About!$B$6*N1466)/(About!$B$5+About!$B$6),About!$B$5*M1466+About!$B$6*N1466+About!$B$7*O1466)</f>
        <v/>
      </c>
      <c r="Q1466" s="23" t="n">
        <v>16.7792</v>
      </c>
      <c r="R1466" s="23" t="n">
        <v>94.7321</v>
      </c>
    </row>
    <row r="1467" ht="15" customHeight="1" s="12">
      <c r="A1467" s="18" t="inlineStr">
        <is>
          <t>Djougou</t>
        </is>
      </c>
      <c r="B1467" s="18" t="inlineStr">
        <is>
          <t>Benin</t>
        </is>
      </c>
      <c r="C1467" s="19" t="n">
        <v>13224860</v>
      </c>
      <c r="D1467" s="18" t="inlineStr">
        <is>
          <t>BJ</t>
        </is>
      </c>
      <c r="E1467" s="18" t="inlineStr">
        <is>
          <t>13</t>
        </is>
      </c>
      <c r="F1467" s="20" t="n">
        <v>237040</v>
      </c>
      <c r="G1467" s="18" t="n"/>
      <c r="H1467" s="18" t="n"/>
      <c r="I1467" s="18" t="n"/>
      <c r="J1467" s="18" t="n"/>
      <c r="K1467" s="18" t="n"/>
      <c r="L1467" s="18" t="inlineStr">
        <is>
          <t>100k +  pop</t>
        </is>
      </c>
      <c r="M1467" s="22" t="n">
        <v>0</v>
      </c>
      <c r="N1467" s="22" t="n">
        <v>0</v>
      </c>
      <c r="O1467" s="18" t="n"/>
      <c r="P1467" s="22">
        <f>IF(O1467="",(About!$B$5*M1467+About!$B$6*N1467)/(About!$B$5+About!$B$6),About!$B$5*M1467+About!$B$6*N1467+About!$B$7*O1467)</f>
        <v/>
      </c>
      <c r="Q1467" s="23" t="n">
        <v>9.708500000000001</v>
      </c>
      <c r="R1467" s="23" t="n">
        <v>1.666</v>
      </c>
    </row>
    <row r="1468" ht="15" customHeight="1" s="12">
      <c r="A1468" s="18" t="inlineStr">
        <is>
          <t>Dera Ghazi Khan</t>
        </is>
      </c>
      <c r="B1468" s="18" t="inlineStr">
        <is>
          <t>Pakistan</t>
        </is>
      </c>
      <c r="C1468" s="19" t="n">
        <v>241499431</v>
      </c>
      <c r="D1468" s="18" t="inlineStr">
        <is>
          <t>PK</t>
        </is>
      </c>
      <c r="E1468" s="18" t="inlineStr">
        <is>
          <t>04</t>
        </is>
      </c>
      <c r="F1468" s="20" t="n">
        <v>236093</v>
      </c>
      <c r="G1468" s="18" t="n"/>
      <c r="H1468" s="18" t="inlineStr">
        <is>
          <t>DEA</t>
        </is>
      </c>
      <c r="I1468" s="18" t="inlineStr">
        <is>
          <t>Dera Ghazi Khan Airport</t>
        </is>
      </c>
      <c r="J1468" s="21" t="n">
        <v>17.6</v>
      </c>
      <c r="K1468" s="18" t="inlineStr">
        <is>
          <t>DEA</t>
        </is>
      </c>
      <c r="L1468" s="18" t="inlineStr">
        <is>
          <t>100k +  pop + airport</t>
        </is>
      </c>
      <c r="M1468" s="22" t="n">
        <v>0</v>
      </c>
      <c r="N1468" s="22" t="n">
        <v>0</v>
      </c>
      <c r="O1468" s="18" t="n"/>
      <c r="P1468" s="22">
        <f>IF(O1468="",(About!$B$5*M1468+About!$B$6*N1468)/(About!$B$5+About!$B$6),About!$B$5*M1468+About!$B$6*N1468+About!$B$7*O1468)</f>
        <v/>
      </c>
      <c r="Q1468" s="23" t="n">
        <v>30.0459</v>
      </c>
      <c r="R1468" s="23" t="n">
        <v>70.6403</v>
      </c>
    </row>
    <row r="1469" ht="15" customHeight="1" s="12">
      <c r="A1469" s="18" t="inlineStr">
        <is>
          <t>Sahiwal</t>
        </is>
      </c>
      <c r="B1469" s="18" t="inlineStr">
        <is>
          <t>Pakistan</t>
        </is>
      </c>
      <c r="C1469" s="19" t="n">
        <v>241499431</v>
      </c>
      <c r="D1469" s="18" t="inlineStr">
        <is>
          <t>PK</t>
        </is>
      </c>
      <c r="E1469" s="18" t="inlineStr">
        <is>
          <t>04</t>
        </is>
      </c>
      <c r="F1469" s="20" t="n">
        <v>235695</v>
      </c>
      <c r="G1469" s="18" t="n"/>
      <c r="H1469" s="18" t="n"/>
      <c r="I1469" s="18" t="n"/>
      <c r="J1469" s="18" t="n"/>
      <c r="K1469" s="18" t="n"/>
      <c r="L1469" s="18" t="inlineStr">
        <is>
          <t>100k +  pop</t>
        </is>
      </c>
      <c r="M1469" s="22" t="n">
        <v>0</v>
      </c>
      <c r="N1469" s="22" t="n">
        <v>0</v>
      </c>
      <c r="O1469" s="18" t="n"/>
      <c r="P1469" s="22">
        <f>IF(O1469="",(About!$B$5*M1469+About!$B$6*N1469)/(About!$B$5+About!$B$6),About!$B$5*M1469+About!$B$6*N1469+About!$B$7*O1469)</f>
        <v/>
      </c>
      <c r="Q1469" s="23" t="n">
        <v>30.6659</v>
      </c>
      <c r="R1469" s="23" t="n">
        <v>73.1019</v>
      </c>
    </row>
    <row r="1470" ht="15" customHeight="1" s="12">
      <c r="A1470" s="18" t="inlineStr">
        <is>
          <t>Qinā</t>
        </is>
      </c>
      <c r="B1470" s="18" t="inlineStr">
        <is>
          <t>Egypt</t>
        </is>
      </c>
      <c r="C1470" s="19" t="n">
        <v>108613296</v>
      </c>
      <c r="D1470" s="18" t="inlineStr">
        <is>
          <t>EG</t>
        </is>
      </c>
      <c r="E1470" s="18" t="inlineStr">
        <is>
          <t>23</t>
        </is>
      </c>
      <c r="F1470" s="20" t="n">
        <v>235362</v>
      </c>
      <c r="G1470" s="18" t="n"/>
      <c r="H1470" s="18" t="n"/>
      <c r="I1470" s="18" t="n"/>
      <c r="J1470" s="18" t="n"/>
      <c r="K1470" s="18" t="n"/>
      <c r="L1470" s="18" t="inlineStr">
        <is>
          <t>100k +  pop</t>
        </is>
      </c>
      <c r="M1470" s="22" t="n">
        <v>0</v>
      </c>
      <c r="N1470" s="22" t="n">
        <v>0</v>
      </c>
      <c r="O1470" s="18" t="n"/>
      <c r="P1470" s="22">
        <f>IF(O1470="",(About!$B$5*M1470+About!$B$6*N1470)/(About!$B$5+About!$B$6),About!$B$5*M1470+About!$B$6*N1470+About!$B$7*O1470)</f>
        <v/>
      </c>
      <c r="Q1470" s="23" t="n">
        <v>26.1642</v>
      </c>
      <c r="R1470" s="23" t="n">
        <v>32.7267</v>
      </c>
    </row>
    <row r="1471" ht="15" customHeight="1" s="12">
      <c r="A1471" s="18" t="inlineStr">
        <is>
          <t>Porto-Novo</t>
        </is>
      </c>
      <c r="B1471" s="18" t="inlineStr">
        <is>
          <t>Benin</t>
        </is>
      </c>
      <c r="C1471" s="19" t="n">
        <v>13224860</v>
      </c>
      <c r="D1471" s="18" t="inlineStr">
        <is>
          <t>BJ</t>
        </is>
      </c>
      <c r="E1471" s="18" t="inlineStr">
        <is>
          <t>16</t>
        </is>
      </c>
      <c r="F1471" s="20" t="n">
        <v>234168</v>
      </c>
      <c r="G1471" s="18" t="inlineStr">
        <is>
          <t>Yes</t>
        </is>
      </c>
      <c r="H1471" s="18" t="n"/>
      <c r="I1471" s="18" t="n"/>
      <c r="J1471" s="18" t="n"/>
      <c r="K1471" s="18" t="n"/>
      <c r="L1471" s="18" t="inlineStr">
        <is>
          <t>100k +  pop + capital</t>
        </is>
      </c>
      <c r="M1471" s="22" t="n">
        <v>0</v>
      </c>
      <c r="N1471" s="22" t="n">
        <v>0</v>
      </c>
      <c r="O1471" s="18" t="n"/>
      <c r="P1471" s="22">
        <f>IF(O1471="",(About!$B$5*M1471+About!$B$6*N1471)/(About!$B$5+About!$B$6),About!$B$5*M1471+About!$B$6*N1471+About!$B$7*O1471)</f>
        <v/>
      </c>
      <c r="Q1471" s="23" t="n">
        <v>6.4965</v>
      </c>
      <c r="R1471" s="23" t="n">
        <v>2.6036</v>
      </c>
    </row>
    <row r="1472" ht="15" customHeight="1" s="12">
      <c r="A1472" s="18" t="inlineStr">
        <is>
          <t>Centurion</t>
        </is>
      </c>
      <c r="B1472" s="18" t="inlineStr">
        <is>
          <t>South Africa</t>
        </is>
      </c>
      <c r="C1472" s="19" t="n">
        <v>63100945</v>
      </c>
      <c r="D1472" s="18" t="inlineStr">
        <is>
          <t>ZA</t>
        </is>
      </c>
      <c r="E1472" s="18" t="inlineStr">
        <is>
          <t>06</t>
        </is>
      </c>
      <c r="F1472" s="20" t="n">
        <v>233386</v>
      </c>
      <c r="G1472" s="18" t="n"/>
      <c r="H1472" s="18" t="n"/>
      <c r="I1472" s="18" t="n"/>
      <c r="J1472" s="18" t="n"/>
      <c r="K1472" s="18" t="n"/>
      <c r="L1472" s="18" t="inlineStr">
        <is>
          <t>100k +  pop</t>
        </is>
      </c>
      <c r="M1472" s="22" t="n">
        <v>0</v>
      </c>
      <c r="N1472" s="22" t="n">
        <v>0</v>
      </c>
      <c r="O1472" s="18" t="n"/>
      <c r="P1472" s="22">
        <f>IF(O1472="",(About!$B$5*M1472+About!$B$6*N1472)/(About!$B$5+About!$B$6),About!$B$5*M1472+About!$B$6*N1472+About!$B$7*O1472)</f>
        <v/>
      </c>
      <c r="Q1472" s="23" t="n">
        <v>-25.8589</v>
      </c>
      <c r="R1472" s="23" t="n">
        <v>28.1858</v>
      </c>
    </row>
    <row r="1473" ht="15" customHeight="1" s="12">
      <c r="A1473" s="18" t="inlineStr">
        <is>
          <t>Magugpo Poblacion</t>
        </is>
      </c>
      <c r="B1473" s="18" t="inlineStr">
        <is>
          <t>Philippines</t>
        </is>
      </c>
      <c r="C1473" s="19" t="n">
        <v>114123600</v>
      </c>
      <c r="D1473" s="18" t="inlineStr">
        <is>
          <t>PH</t>
        </is>
      </c>
      <c r="E1473" s="18" t="inlineStr">
        <is>
          <t>11</t>
        </is>
      </c>
      <c r="F1473" s="20" t="n">
        <v>233254</v>
      </c>
      <c r="G1473" s="18" t="n"/>
      <c r="H1473" s="18" t="n"/>
      <c r="I1473" s="18" t="n"/>
      <c r="J1473" s="18" t="n"/>
      <c r="K1473" s="18" t="n"/>
      <c r="L1473" s="18" t="inlineStr">
        <is>
          <t>100k +  pop</t>
        </is>
      </c>
      <c r="M1473" s="22" t="n">
        <v>0</v>
      </c>
      <c r="N1473" s="22" t="n">
        <v>0</v>
      </c>
      <c r="O1473" s="18" t="n"/>
      <c r="P1473" s="22">
        <f>IF(O1473="",(About!$B$5*M1473+About!$B$6*N1473)/(About!$B$5+About!$B$6),About!$B$5*M1473+About!$B$6*N1473+About!$B$7*O1473)</f>
        <v/>
      </c>
      <c r="Q1473" s="23" t="n">
        <v>7.4475</v>
      </c>
      <c r="R1473" s="23" t="n">
        <v>125.8046</v>
      </c>
    </row>
    <row r="1474" ht="15" customHeight="1" s="12">
      <c r="A1474" s="18" t="inlineStr">
        <is>
          <t>Kiel</t>
        </is>
      </c>
      <c r="B1474" s="18" t="inlineStr">
        <is>
          <t>Germany</t>
        </is>
      </c>
      <c r="C1474" s="19" t="n">
        <v>83497147</v>
      </c>
      <c r="D1474" s="18" t="inlineStr">
        <is>
          <t>DE</t>
        </is>
      </c>
      <c r="E1474" s="18" t="inlineStr">
        <is>
          <t>10</t>
        </is>
      </c>
      <c r="F1474" s="20" t="n">
        <v>232758</v>
      </c>
      <c r="G1474" s="18" t="n"/>
      <c r="H1474" s="18" t="n"/>
      <c r="I1474" s="18" t="n"/>
      <c r="J1474" s="18" t="n"/>
      <c r="K1474" s="18" t="n"/>
      <c r="L1474" s="18" t="inlineStr">
        <is>
          <t>100k +  pop</t>
        </is>
      </c>
      <c r="M1474" s="22" t="n">
        <v>0</v>
      </c>
      <c r="N1474" s="22" t="n">
        <v>0</v>
      </c>
      <c r="O1474" s="18" t="n"/>
      <c r="P1474" s="22">
        <f>IF(O1474="",(About!$B$5*M1474+About!$B$6*N1474)/(About!$B$5+About!$B$6),About!$B$5*M1474+About!$B$6*N1474+About!$B$7*O1474)</f>
        <v/>
      </c>
      <c r="Q1474" s="23" t="n">
        <v>54.3213</v>
      </c>
      <c r="R1474" s="23" t="n">
        <v>10.1349</v>
      </c>
    </row>
    <row r="1475" ht="15" customHeight="1" s="12">
      <c r="A1475" s="18" t="inlineStr">
        <is>
          <t>Beni</t>
        </is>
      </c>
      <c r="B1475" s="18" t="inlineStr">
        <is>
          <t>DR Congo</t>
        </is>
      </c>
      <c r="C1475" s="19" t="n">
        <v>112832000</v>
      </c>
      <c r="D1475" s="18" t="inlineStr">
        <is>
          <t>CD</t>
        </is>
      </c>
      <c r="E1475" s="18" t="inlineStr">
        <is>
          <t>11</t>
        </is>
      </c>
      <c r="F1475" s="20" t="n">
        <v>232000</v>
      </c>
      <c r="G1475" s="18" t="n"/>
      <c r="H1475" s="18" t="n"/>
      <c r="I1475" s="18" t="n"/>
      <c r="J1475" s="18" t="n"/>
      <c r="K1475" s="18" t="n"/>
      <c r="L1475" s="18" t="inlineStr">
        <is>
          <t>100k +  pop</t>
        </is>
      </c>
      <c r="M1475" s="22" t="n">
        <v>0</v>
      </c>
      <c r="N1475" s="22" t="n">
        <v>0</v>
      </c>
      <c r="O1475" s="18" t="n"/>
      <c r="P1475" s="22">
        <f>IF(O1475="",(About!$B$5*M1475+About!$B$6*N1475)/(About!$B$5+About!$B$6),About!$B$5*M1475+About!$B$6*N1475+About!$B$7*O1475)</f>
        <v/>
      </c>
      <c r="Q1475" s="23" t="n">
        <v>0.4911</v>
      </c>
      <c r="R1475" s="23" t="n">
        <v>29.4731</v>
      </c>
    </row>
    <row r="1476" ht="15" customHeight="1" s="12">
      <c r="A1476" s="18" t="inlineStr">
        <is>
          <t>Gent</t>
        </is>
      </c>
      <c r="B1476" s="18" t="inlineStr">
        <is>
          <t>Belgium</t>
        </is>
      </c>
      <c r="C1476" s="19" t="n">
        <v>11933850</v>
      </c>
      <c r="D1476" s="18" t="inlineStr">
        <is>
          <t>BE</t>
        </is>
      </c>
      <c r="E1476" s="18" t="inlineStr">
        <is>
          <t>VLG</t>
        </is>
      </c>
      <c r="F1476" s="20" t="n">
        <v>231493</v>
      </c>
      <c r="G1476" s="18" t="n"/>
      <c r="H1476" s="18" t="n"/>
      <c r="I1476" s="18" t="n"/>
      <c r="J1476" s="18" t="n"/>
      <c r="K1476" s="18" t="n"/>
      <c r="L1476" s="18" t="inlineStr">
        <is>
          <t>100k +  pop</t>
        </is>
      </c>
      <c r="M1476" s="22" t="n">
        <v>0</v>
      </c>
      <c r="N1476" s="22" t="n">
        <v>0</v>
      </c>
      <c r="O1476" s="18" t="n"/>
      <c r="P1476" s="22">
        <f>IF(O1476="",(About!$B$5*M1476+About!$B$6*N1476)/(About!$B$5+About!$B$6),About!$B$5*M1476+About!$B$6*N1476+About!$B$7*O1476)</f>
        <v/>
      </c>
      <c r="Q1476" s="23" t="n">
        <v>51.05</v>
      </c>
      <c r="R1476" s="23" t="n">
        <v>3.7167</v>
      </c>
    </row>
    <row r="1477" ht="15" customHeight="1" s="12">
      <c r="A1477" s="18" t="inlineStr">
        <is>
          <t>Ḩalwān</t>
        </is>
      </c>
      <c r="B1477" s="18" t="inlineStr">
        <is>
          <t>Egypt</t>
        </is>
      </c>
      <c r="C1477" s="19" t="n">
        <v>108613296</v>
      </c>
      <c r="D1477" s="18" t="inlineStr">
        <is>
          <t>EG</t>
        </is>
      </c>
      <c r="E1477" s="18" t="inlineStr">
        <is>
          <t>11</t>
        </is>
      </c>
      <c r="F1477" s="20" t="n">
        <v>230000</v>
      </c>
      <c r="G1477" s="18" t="n"/>
      <c r="H1477" s="18" t="n"/>
      <c r="I1477" s="18" t="n"/>
      <c r="J1477" s="18" t="n"/>
      <c r="K1477" s="18" t="n"/>
      <c r="L1477" s="18" t="inlineStr">
        <is>
          <t>100k +  pop</t>
        </is>
      </c>
      <c r="M1477" s="22" t="n">
        <v>0</v>
      </c>
      <c r="N1477" s="22" t="n">
        <v>0</v>
      </c>
      <c r="O1477" s="18" t="n"/>
      <c r="P1477" s="22">
        <f>IF(O1477="",(About!$B$5*M1477+About!$B$6*N1477)/(About!$B$5+About!$B$6),About!$B$5*M1477+About!$B$6*N1477+About!$B$7*O1477)</f>
        <v/>
      </c>
      <c r="Q1477" s="23" t="n">
        <v>29.8414</v>
      </c>
      <c r="R1477" s="23" t="n">
        <v>31.3008</v>
      </c>
    </row>
    <row r="1478" ht="15" customHeight="1" s="12">
      <c r="A1478" s="18" t="inlineStr">
        <is>
          <t>Milton Keynes</t>
        </is>
      </c>
      <c r="B1478" s="18" t="inlineStr">
        <is>
          <t>United Kingdom</t>
        </is>
      </c>
      <c r="C1478" s="19" t="n">
        <v>69487000</v>
      </c>
      <c r="D1478" s="18" t="inlineStr">
        <is>
          <t>GB</t>
        </is>
      </c>
      <c r="E1478" s="18" t="inlineStr">
        <is>
          <t>ENG</t>
        </is>
      </c>
      <c r="F1478" s="20" t="n">
        <v>229941</v>
      </c>
      <c r="G1478" s="18" t="n"/>
      <c r="H1478" s="18" t="n"/>
      <c r="I1478" s="18" t="n"/>
      <c r="J1478" s="18" t="n"/>
      <c r="K1478" s="18" t="n"/>
      <c r="L1478" s="18" t="inlineStr">
        <is>
          <t>100k +  pop</t>
        </is>
      </c>
      <c r="M1478" s="22" t="n">
        <v>0</v>
      </c>
      <c r="N1478" s="22" t="n">
        <v>0</v>
      </c>
      <c r="O1478" s="18" t="n"/>
      <c r="P1478" s="22">
        <f>IF(O1478="",(About!$B$5*M1478+About!$B$6*N1478)/(About!$B$5+About!$B$6),About!$B$5*M1478+About!$B$6*N1478+About!$B$7*O1478)</f>
        <v/>
      </c>
      <c r="Q1478" s="23" t="n">
        <v>52.0417</v>
      </c>
      <c r="R1478" s="23" t="n">
        <v>-0.7558</v>
      </c>
    </row>
    <row r="1479" ht="15" customHeight="1" s="12">
      <c r="A1479" s="18" t="inlineStr">
        <is>
          <t>Magdeburg</t>
        </is>
      </c>
      <c r="B1479" s="18" t="inlineStr">
        <is>
          <t>Germany</t>
        </is>
      </c>
      <c r="C1479" s="19" t="n">
        <v>83497147</v>
      </c>
      <c r="D1479" s="18" t="inlineStr">
        <is>
          <t>DE</t>
        </is>
      </c>
      <c r="E1479" s="18" t="inlineStr">
        <is>
          <t>14</t>
        </is>
      </c>
      <c r="F1479" s="20" t="n">
        <v>229826</v>
      </c>
      <c r="G1479" s="18" t="n"/>
      <c r="H1479" s="18" t="n"/>
      <c r="I1479" s="18" t="n"/>
      <c r="J1479" s="18" t="n"/>
      <c r="K1479" s="18" t="n"/>
      <c r="L1479" s="18" t="inlineStr">
        <is>
          <t>100k +  pop</t>
        </is>
      </c>
      <c r="M1479" s="22" t="n">
        <v>0</v>
      </c>
      <c r="N1479" s="22" t="n">
        <v>0</v>
      </c>
      <c r="O1479" s="18" t="n"/>
      <c r="P1479" s="22">
        <f>IF(O1479="",(About!$B$5*M1479+About!$B$6*N1479)/(About!$B$5+About!$B$6),About!$B$5*M1479+About!$B$6*N1479+About!$B$7*O1479)</f>
        <v/>
      </c>
      <c r="Q1479" s="23" t="n">
        <v>52.1277</v>
      </c>
      <c r="R1479" s="23" t="n">
        <v>11.6292</v>
      </c>
    </row>
    <row r="1480" ht="15" customHeight="1" s="12">
      <c r="A1480" s="18" t="inlineStr">
        <is>
          <t>Nawabshah</t>
        </is>
      </c>
      <c r="B1480" s="18" t="inlineStr">
        <is>
          <t>Pakistan</t>
        </is>
      </c>
      <c r="C1480" s="19" t="n">
        <v>241499431</v>
      </c>
      <c r="D1480" s="18" t="inlineStr">
        <is>
          <t>PK</t>
        </is>
      </c>
      <c r="E1480" s="18" t="inlineStr">
        <is>
          <t>05</t>
        </is>
      </c>
      <c r="F1480" s="20" t="n">
        <v>229504</v>
      </c>
      <c r="G1480" s="18" t="n"/>
      <c r="H1480" s="18" t="inlineStr">
        <is>
          <t>WNS</t>
        </is>
      </c>
      <c r="I1480" s="18" t="inlineStr">
        <is>
          <t>Shaheed Benazirabad Airport</t>
        </is>
      </c>
      <c r="J1480" s="21" t="n">
        <v>2.6</v>
      </c>
      <c r="K1480" s="18" t="inlineStr">
        <is>
          <t>WNS</t>
        </is>
      </c>
      <c r="L1480" s="18" t="inlineStr">
        <is>
          <t>100k +  pop + airport</t>
        </is>
      </c>
      <c r="M1480" s="22" t="n">
        <v>0</v>
      </c>
      <c r="N1480" s="22" t="n">
        <v>0</v>
      </c>
      <c r="O1480" s="18" t="n"/>
      <c r="P1480" s="22">
        <f>IF(O1480="",(About!$B$5*M1480+About!$B$6*N1480)/(About!$B$5+About!$B$6),About!$B$5*M1480+About!$B$6*N1480+About!$B$7*O1480)</f>
        <v/>
      </c>
      <c r="Q1480" s="23" t="n">
        <v>26.2394</v>
      </c>
      <c r="R1480" s="23" t="n">
        <v>68.4037</v>
      </c>
    </row>
    <row r="1481" ht="15" customHeight="1" s="12">
      <c r="A1481" s="18" t="inlineStr">
        <is>
          <t>Tripoli</t>
        </is>
      </c>
      <c r="B1481" s="18" t="inlineStr">
        <is>
          <t>Lebanon</t>
        </is>
      </c>
      <c r="C1481" s="19" t="n">
        <v>5490000</v>
      </c>
      <c r="D1481" s="18" t="inlineStr">
        <is>
          <t>LB</t>
        </is>
      </c>
      <c r="E1481" s="18" t="inlineStr">
        <is>
          <t>09</t>
        </is>
      </c>
      <c r="F1481" s="20" t="n">
        <v>229398</v>
      </c>
      <c r="G1481" s="18" t="n"/>
      <c r="H1481" s="18" t="n"/>
      <c r="I1481" s="18" t="n"/>
      <c r="J1481" s="18" t="n"/>
      <c r="K1481" s="18" t="n"/>
      <c r="L1481" s="18" t="inlineStr">
        <is>
          <t>100k +  pop</t>
        </is>
      </c>
      <c r="M1481" s="22" t="n">
        <v>0</v>
      </c>
      <c r="N1481" s="22" t="n">
        <v>0</v>
      </c>
      <c r="O1481" s="18" t="n"/>
      <c r="P1481" s="22">
        <f>IF(O1481="",(About!$B$5*M1481+About!$B$6*N1481)/(About!$B$5+About!$B$6),About!$B$5*M1481+About!$B$6*N1481+About!$B$7*O1481)</f>
        <v/>
      </c>
      <c r="Q1481" s="23" t="n">
        <v>34.4335</v>
      </c>
      <c r="R1481" s="23" t="n">
        <v>35.8441</v>
      </c>
    </row>
    <row r="1482" ht="15" customHeight="1" s="12">
      <c r="A1482" s="18" t="inlineStr">
        <is>
          <t>Uitenhage</t>
        </is>
      </c>
      <c r="B1482" s="18" t="inlineStr">
        <is>
          <t>South Africa</t>
        </is>
      </c>
      <c r="C1482" s="19" t="n">
        <v>63100945</v>
      </c>
      <c r="D1482" s="18" t="inlineStr">
        <is>
          <t>ZA</t>
        </is>
      </c>
      <c r="E1482" s="18" t="inlineStr">
        <is>
          <t>05</t>
        </is>
      </c>
      <c r="F1482" s="20" t="n">
        <v>228912</v>
      </c>
      <c r="G1482" s="18" t="n"/>
      <c r="H1482" s="18" t="n"/>
      <c r="I1482" s="18" t="n"/>
      <c r="J1482" s="18" t="n"/>
      <c r="K1482" s="18" t="n"/>
      <c r="L1482" s="18" t="inlineStr">
        <is>
          <t>100k +  pop</t>
        </is>
      </c>
      <c r="M1482" s="22" t="n">
        <v>0</v>
      </c>
      <c r="N1482" s="22" t="n">
        <v>0</v>
      </c>
      <c r="O1482" s="18" t="n"/>
      <c r="P1482" s="22">
        <f>IF(O1482="",(About!$B$5*M1482+About!$B$6*N1482)/(About!$B$5+About!$B$6),About!$B$5*M1482+About!$B$6*N1482+About!$B$7*O1482)</f>
        <v/>
      </c>
      <c r="Q1482" s="23" t="n">
        <v>-33.7576</v>
      </c>
      <c r="R1482" s="23" t="n">
        <v>25.3971</v>
      </c>
    </row>
    <row r="1483" ht="15" customHeight="1" s="12">
      <c r="A1483" s="18" t="inlineStr">
        <is>
          <t>Lucena</t>
        </is>
      </c>
      <c r="B1483" s="18" t="inlineStr">
        <is>
          <t>Philippines</t>
        </is>
      </c>
      <c r="C1483" s="19" t="n">
        <v>114123600</v>
      </c>
      <c r="D1483" s="18" t="inlineStr">
        <is>
          <t>PH</t>
        </is>
      </c>
      <c r="E1483" s="18" t="inlineStr">
        <is>
          <t>40</t>
        </is>
      </c>
      <c r="F1483" s="20" t="n">
        <v>228758</v>
      </c>
      <c r="G1483" s="18" t="n"/>
      <c r="H1483" s="18" t="n"/>
      <c r="I1483" s="18" t="n"/>
      <c r="J1483" s="18" t="n"/>
      <c r="K1483" s="18" t="n"/>
      <c r="L1483" s="18" t="inlineStr">
        <is>
          <t>100k +  pop</t>
        </is>
      </c>
      <c r="M1483" s="22" t="n">
        <v>0</v>
      </c>
      <c r="N1483" s="22" t="n">
        <v>0</v>
      </c>
      <c r="O1483" s="18" t="n"/>
      <c r="P1483" s="22">
        <f>IF(O1483="",(About!$B$5*M1483+About!$B$6*N1483)/(About!$B$5+About!$B$6),About!$B$5*M1483+About!$B$6*N1483+About!$B$7*O1483)</f>
        <v/>
      </c>
      <c r="Q1483" s="23" t="n">
        <v>13.9314</v>
      </c>
      <c r="R1483" s="23" t="n">
        <v>121.6172</v>
      </c>
    </row>
    <row r="1484" ht="15" customHeight="1" s="12">
      <c r="A1484" s="18" t="inlineStr">
        <is>
          <t>Damanhūr</t>
        </is>
      </c>
      <c r="B1484" s="18" t="inlineStr">
        <is>
          <t>Egypt</t>
        </is>
      </c>
      <c r="C1484" s="19" t="n">
        <v>108613296</v>
      </c>
      <c r="D1484" s="18" t="inlineStr">
        <is>
          <t>EG</t>
        </is>
      </c>
      <c r="E1484" s="18" t="inlineStr">
        <is>
          <t>03</t>
        </is>
      </c>
      <c r="F1484" s="20" t="n">
        <v>227943</v>
      </c>
      <c r="G1484" s="18" t="n"/>
      <c r="H1484" s="18" t="n"/>
      <c r="I1484" s="18" t="n"/>
      <c r="J1484" s="18" t="n"/>
      <c r="K1484" s="18" t="n"/>
      <c r="L1484" s="18" t="inlineStr">
        <is>
          <t>100k +  pop</t>
        </is>
      </c>
      <c r="M1484" s="22" t="n">
        <v>0</v>
      </c>
      <c r="N1484" s="22" t="n">
        <v>0</v>
      </c>
      <c r="O1484" s="18" t="n"/>
      <c r="P1484" s="22">
        <f>IF(O1484="",(About!$B$5*M1484+About!$B$6*N1484)/(About!$B$5+About!$B$6),About!$B$5*M1484+About!$B$6*N1484+About!$B$7*O1484)</f>
        <v/>
      </c>
      <c r="Q1484" s="23" t="n">
        <v>31.0341</v>
      </c>
      <c r="R1484" s="23" t="n">
        <v>30.4682</v>
      </c>
    </row>
    <row r="1485" ht="15" customHeight="1" s="12">
      <c r="A1485" s="18" t="inlineStr">
        <is>
          <t>Al Minyā</t>
        </is>
      </c>
      <c r="B1485" s="18" t="inlineStr">
        <is>
          <t>Egypt</t>
        </is>
      </c>
      <c r="C1485" s="19" t="n">
        <v>108613296</v>
      </c>
      <c r="D1485" s="18" t="inlineStr">
        <is>
          <t>EG</t>
        </is>
      </c>
      <c r="E1485" s="18" t="inlineStr">
        <is>
          <t>10</t>
        </is>
      </c>
      <c r="F1485" s="20" t="n">
        <v>227150</v>
      </c>
      <c r="G1485" s="18" t="n"/>
      <c r="H1485" s="18" t="n"/>
      <c r="I1485" s="18" t="n"/>
      <c r="J1485" s="18" t="n"/>
      <c r="K1485" s="18" t="n"/>
      <c r="L1485" s="18" t="inlineStr">
        <is>
          <t>100k +  pop</t>
        </is>
      </c>
      <c r="M1485" s="22" t="n">
        <v>0</v>
      </c>
      <c r="N1485" s="22" t="n">
        <v>0</v>
      </c>
      <c r="O1485" s="18" t="n"/>
      <c r="P1485" s="22">
        <f>IF(O1485="",(About!$B$5*M1485+About!$B$6*N1485)/(About!$B$5+About!$B$6),About!$B$5*M1485+About!$B$6*N1485+About!$B$7*O1485)</f>
        <v/>
      </c>
      <c r="Q1485" s="23" t="n">
        <v>28.0919</v>
      </c>
      <c r="R1485" s="23" t="n">
        <v>30.7581</v>
      </c>
    </row>
    <row r="1486" ht="15" customHeight="1" s="12">
      <c r="A1486" s="18" t="inlineStr">
        <is>
          <t>Pilar</t>
        </is>
      </c>
      <c r="B1486" s="18" t="inlineStr">
        <is>
          <t>Argentina</t>
        </is>
      </c>
      <c r="C1486" s="19" t="n">
        <v>46387098</v>
      </c>
      <c r="D1486" s="18" t="inlineStr">
        <is>
          <t>AR</t>
        </is>
      </c>
      <c r="E1486" s="18" t="inlineStr">
        <is>
          <t>01</t>
        </is>
      </c>
      <c r="F1486" s="20" t="n">
        <v>226517</v>
      </c>
      <c r="G1486" s="18" t="n"/>
      <c r="H1486" s="18" t="n"/>
      <c r="I1486" s="18" t="n"/>
      <c r="J1486" s="18" t="n"/>
      <c r="K1486" s="18" t="n"/>
      <c r="L1486" s="18" t="inlineStr">
        <is>
          <t>100k +  pop</t>
        </is>
      </c>
      <c r="M1486" s="22" t="n">
        <v>0</v>
      </c>
      <c r="N1486" s="22" t="n">
        <v>0</v>
      </c>
      <c r="O1486" s="18" t="n"/>
      <c r="P1486" s="22">
        <f>IF(O1486="",(About!$B$5*M1486+About!$B$6*N1486)/(About!$B$5+About!$B$6),About!$B$5*M1486+About!$B$6*N1486+About!$B$7*O1486)</f>
        <v/>
      </c>
      <c r="Q1486" s="23" t="n">
        <v>-34.4587</v>
      </c>
      <c r="R1486" s="23" t="n">
        <v>-58.9142</v>
      </c>
    </row>
    <row r="1487" ht="15" customHeight="1" s="12">
      <c r="A1487" s="18" t="inlineStr">
        <is>
          <t>Mymensingh</t>
        </is>
      </c>
      <c r="B1487" s="18" t="inlineStr">
        <is>
          <t>Bangladesh</t>
        </is>
      </c>
      <c r="C1487" s="19" t="n">
        <v>169828911</v>
      </c>
      <c r="D1487" s="18" t="inlineStr">
        <is>
          <t>BD</t>
        </is>
      </c>
      <c r="E1487" s="18" t="inlineStr">
        <is>
          <t>H</t>
        </is>
      </c>
      <c r="F1487" s="20" t="n">
        <v>225126</v>
      </c>
      <c r="G1487" s="18" t="n"/>
      <c r="H1487" s="18" t="n"/>
      <c r="I1487" s="18" t="n"/>
      <c r="J1487" s="18" t="n"/>
      <c r="K1487" s="18" t="n"/>
      <c r="L1487" s="18" t="inlineStr">
        <is>
          <t>100k +  pop</t>
        </is>
      </c>
      <c r="M1487" s="22" t="n">
        <v>0</v>
      </c>
      <c r="N1487" s="22" t="n">
        <v>0</v>
      </c>
      <c r="O1487" s="18" t="n"/>
      <c r="P1487" s="22">
        <f>IF(O1487="",(About!$B$5*M1487+About!$B$6*N1487)/(About!$B$5+About!$B$6),About!$B$5*M1487+About!$B$6*N1487+About!$B$7*O1487)</f>
        <v/>
      </c>
      <c r="Q1487" s="23" t="n">
        <v>24.7564</v>
      </c>
      <c r="R1487" s="23" t="n">
        <v>90.40649999999999</v>
      </c>
    </row>
    <row r="1488" ht="15" customHeight="1" s="12">
      <c r="A1488" s="18" t="inlineStr">
        <is>
          <t>Roodepoort</t>
        </is>
      </c>
      <c r="B1488" s="18" t="inlineStr">
        <is>
          <t>South Africa</t>
        </is>
      </c>
      <c r="C1488" s="19" t="n">
        <v>63100945</v>
      </c>
      <c r="D1488" s="18" t="inlineStr">
        <is>
          <t>ZA</t>
        </is>
      </c>
      <c r="E1488" s="18" t="inlineStr">
        <is>
          <t>06</t>
        </is>
      </c>
      <c r="F1488" s="20" t="n">
        <v>225000</v>
      </c>
      <c r="G1488" s="18" t="n"/>
      <c r="H1488" s="18" t="n"/>
      <c r="I1488" s="18" t="n"/>
      <c r="J1488" s="18" t="n"/>
      <c r="K1488" s="18" t="n"/>
      <c r="L1488" s="18" t="inlineStr">
        <is>
          <t>100k +  pop</t>
        </is>
      </c>
      <c r="M1488" s="22" t="n">
        <v>0</v>
      </c>
      <c r="N1488" s="22" t="n">
        <v>0</v>
      </c>
      <c r="O1488" s="18" t="n"/>
      <c r="P1488" s="22">
        <f>IF(O1488="",(About!$B$5*M1488+About!$B$6*N1488)/(About!$B$5+About!$B$6),About!$B$5*M1488+About!$B$6*N1488+About!$B$7*O1488)</f>
        <v/>
      </c>
      <c r="Q1488" s="23" t="n">
        <v>-26.1625</v>
      </c>
      <c r="R1488" s="23" t="n">
        <v>27.8725</v>
      </c>
    </row>
    <row r="1489" ht="15" customHeight="1" s="12">
      <c r="A1489" s="18" t="inlineStr">
        <is>
          <t>Oviedo</t>
        </is>
      </c>
      <c r="B1489" s="18" t="inlineStr">
        <is>
          <t>Spain</t>
        </is>
      </c>
      <c r="C1489" s="19" t="n">
        <v>49687120</v>
      </c>
      <c r="D1489" s="18" t="inlineStr">
        <is>
          <t>ES</t>
        </is>
      </c>
      <c r="E1489" s="18" t="inlineStr">
        <is>
          <t>34</t>
        </is>
      </c>
      <c r="F1489" s="20" t="n">
        <v>224005</v>
      </c>
      <c r="G1489" s="18" t="n"/>
      <c r="H1489" s="18" t="n"/>
      <c r="I1489" s="18" t="n"/>
      <c r="J1489" s="18" t="n"/>
      <c r="K1489" s="18" t="n"/>
      <c r="L1489" s="18" t="inlineStr">
        <is>
          <t>100k +  pop</t>
        </is>
      </c>
      <c r="M1489" s="22" t="n">
        <v>0</v>
      </c>
      <c r="N1489" s="22" t="n">
        <v>0</v>
      </c>
      <c r="O1489" s="18" t="n"/>
      <c r="P1489" s="22">
        <f>IF(O1489="",(About!$B$5*M1489+About!$B$6*N1489)/(About!$B$5+About!$B$6),About!$B$5*M1489+About!$B$6*N1489+About!$B$7*O1489)</f>
        <v/>
      </c>
      <c r="Q1489" s="23" t="n">
        <v>43.3603</v>
      </c>
      <c r="R1489" s="23" t="n">
        <v>-5.8448</v>
      </c>
    </row>
    <row r="1490" ht="15" customHeight="1" s="12">
      <c r="A1490" s="18" t="inlineStr">
        <is>
          <t>Okara</t>
        </is>
      </c>
      <c r="B1490" s="18" t="inlineStr">
        <is>
          <t>Pakistan</t>
        </is>
      </c>
      <c r="C1490" s="19" t="n">
        <v>241499431</v>
      </c>
      <c r="D1490" s="18" t="inlineStr">
        <is>
          <t>PK</t>
        </is>
      </c>
      <c r="E1490" s="18" t="inlineStr">
        <is>
          <t>04</t>
        </is>
      </c>
      <c r="F1490" s="20" t="n">
        <v>223648</v>
      </c>
      <c r="G1490" s="18" t="n"/>
      <c r="H1490" s="18" t="n"/>
      <c r="I1490" s="18" t="n"/>
      <c r="J1490" s="18" t="n"/>
      <c r="K1490" s="18" t="n"/>
      <c r="L1490" s="18" t="inlineStr">
        <is>
          <t>100k +  pop</t>
        </is>
      </c>
      <c r="M1490" s="22" t="n">
        <v>0</v>
      </c>
      <c r="N1490" s="22" t="n">
        <v>0</v>
      </c>
      <c r="O1490" s="18" t="n"/>
      <c r="P1490" s="22">
        <f>IF(O1490="",(About!$B$5*M1490+About!$B$6*N1490)/(About!$B$5+About!$B$6),About!$B$5*M1490+About!$B$6*N1490+About!$B$7*O1490)</f>
        <v/>
      </c>
      <c r="Q1490" s="23" t="n">
        <v>30.8103</v>
      </c>
      <c r="R1490" s="23" t="n">
        <v>73.4515</v>
      </c>
    </row>
    <row r="1491" ht="15" customHeight="1" s="12">
      <c r="A1491" s="18" t="inlineStr">
        <is>
          <t>Nārāyanganj</t>
        </is>
      </c>
      <c r="B1491" s="18" t="inlineStr">
        <is>
          <t>Bangladesh</t>
        </is>
      </c>
      <c r="C1491" s="19" t="n">
        <v>169828911</v>
      </c>
      <c r="D1491" s="18" t="inlineStr">
        <is>
          <t>BD</t>
        </is>
      </c>
      <c r="E1491" s="18" t="inlineStr">
        <is>
          <t>81</t>
        </is>
      </c>
      <c r="F1491" s="20" t="n">
        <v>223622</v>
      </c>
      <c r="G1491" s="18" t="n"/>
      <c r="H1491" s="18" t="n"/>
      <c r="I1491" s="18" t="n"/>
      <c r="J1491" s="18" t="n"/>
      <c r="K1491" s="18" t="n"/>
      <c r="L1491" s="18" t="inlineStr">
        <is>
          <t>100k +  pop</t>
        </is>
      </c>
      <c r="M1491" s="22" t="n">
        <v>0</v>
      </c>
      <c r="N1491" s="22" t="n">
        <v>0</v>
      </c>
      <c r="O1491" s="18" t="n"/>
      <c r="P1491" s="22">
        <f>IF(O1491="",(About!$B$5*M1491+About!$B$6*N1491)/(About!$B$5+About!$B$6),About!$B$5*M1491+About!$B$6*N1491+About!$B$7*O1491)</f>
        <v/>
      </c>
      <c r="Q1491" s="23" t="n">
        <v>23.6135</v>
      </c>
      <c r="R1491" s="23" t="n">
        <v>90.503</v>
      </c>
    </row>
    <row r="1492" ht="15" customHeight="1" s="12">
      <c r="A1492" s="18" t="inlineStr">
        <is>
          <t>Najafābād</t>
        </is>
      </c>
      <c r="B1492" s="18" t="inlineStr">
        <is>
          <t>Iran</t>
        </is>
      </c>
      <c r="C1492" s="19" t="n">
        <v>87134000</v>
      </c>
      <c r="D1492" s="18" t="inlineStr">
        <is>
          <t>IR</t>
        </is>
      </c>
      <c r="E1492" s="18" t="inlineStr">
        <is>
          <t>28</t>
        </is>
      </c>
      <c r="F1492" s="20" t="n">
        <v>223450</v>
      </c>
      <c r="G1492" s="18" t="n"/>
      <c r="H1492" s="18" t="n"/>
      <c r="I1492" s="18" t="n"/>
      <c r="J1492" s="18" t="n"/>
      <c r="K1492" s="18" t="n"/>
      <c r="L1492" s="18" t="inlineStr">
        <is>
          <t>100k +  pop</t>
        </is>
      </c>
      <c r="M1492" s="22" t="n">
        <v>0</v>
      </c>
      <c r="N1492" s="22" t="n">
        <v>0</v>
      </c>
      <c r="O1492" s="18" t="n"/>
      <c r="P1492" s="22">
        <f>IF(O1492="",(About!$B$5*M1492+About!$B$6*N1492)/(About!$B$5+About!$B$6),About!$B$5*M1492+About!$B$6*N1492+About!$B$7*O1492)</f>
        <v/>
      </c>
      <c r="Q1492" s="23" t="n">
        <v>32.6346</v>
      </c>
      <c r="R1492" s="23" t="n">
        <v>51.3653</v>
      </c>
    </row>
    <row r="1493" ht="15" customHeight="1" s="12">
      <c r="A1493" s="18" t="inlineStr">
        <is>
          <t>Olongapo</t>
        </is>
      </c>
      <c r="B1493" s="18" t="inlineStr">
        <is>
          <t>Philippines</t>
        </is>
      </c>
      <c r="C1493" s="19" t="n">
        <v>114123600</v>
      </c>
      <c r="D1493" s="18" t="inlineStr">
        <is>
          <t>PH</t>
        </is>
      </c>
      <c r="E1493" s="18" t="inlineStr">
        <is>
          <t>03</t>
        </is>
      </c>
      <c r="F1493" s="20" t="n">
        <v>221178</v>
      </c>
      <c r="G1493" s="18" t="n"/>
      <c r="H1493" s="18" t="inlineStr">
        <is>
          <t>SFS</t>
        </is>
      </c>
      <c r="I1493" s="18" t="inlineStr">
        <is>
          <t>Subic Bay International Airport / Naval Air Station Cubi Point</t>
        </is>
      </c>
      <c r="J1493" s="21" t="n">
        <v>4</v>
      </c>
      <c r="K1493" s="18" t="inlineStr">
        <is>
          <t>SFS</t>
        </is>
      </c>
      <c r="L1493" s="18" t="inlineStr">
        <is>
          <t>100k +  pop + airport</t>
        </is>
      </c>
      <c r="M1493" s="22" t="n">
        <v>0</v>
      </c>
      <c r="N1493" s="22" t="n">
        <v>0</v>
      </c>
      <c r="O1493" s="18" t="n"/>
      <c r="P1493" s="22">
        <f>IF(O1493="",(About!$B$5*M1493+About!$B$6*N1493)/(About!$B$5+About!$B$6),About!$B$5*M1493+About!$B$6*N1493+About!$B$7*O1493)</f>
        <v/>
      </c>
      <c r="Q1493" s="23" t="n">
        <v>14.8292</v>
      </c>
      <c r="R1493" s="23" t="n">
        <v>120.2828</v>
      </c>
    </row>
    <row r="1494" ht="15" customHeight="1" s="12">
      <c r="A1494" s="18" t="inlineStr">
        <is>
          <t>Neyshābūr</t>
        </is>
      </c>
      <c r="B1494" s="18" t="inlineStr">
        <is>
          <t>Iran</t>
        </is>
      </c>
      <c r="C1494" s="19" t="n">
        <v>87134000</v>
      </c>
      <c r="D1494" s="18" t="inlineStr">
        <is>
          <t>IR</t>
        </is>
      </c>
      <c r="E1494" s="18" t="inlineStr">
        <is>
          <t>42</t>
        </is>
      </c>
      <c r="F1494" s="20" t="n">
        <v>220929</v>
      </c>
      <c r="G1494" s="18" t="n"/>
      <c r="H1494" s="18" t="n"/>
      <c r="I1494" s="18" t="n"/>
      <c r="J1494" s="18" t="n"/>
      <c r="K1494" s="18" t="n"/>
      <c r="L1494" s="18" t="inlineStr">
        <is>
          <t>100k +  pop</t>
        </is>
      </c>
      <c r="M1494" s="22" t="n">
        <v>0</v>
      </c>
      <c r="N1494" s="22" t="n">
        <v>0</v>
      </c>
      <c r="O1494" s="18" t="n"/>
      <c r="P1494" s="22">
        <f>IF(O1494="",(About!$B$5*M1494+About!$B$6*N1494)/(About!$B$5+About!$B$6),About!$B$5*M1494+About!$B$6*N1494+About!$B$7*O1494)</f>
        <v/>
      </c>
      <c r="Q1494" s="23" t="n">
        <v>36.2133</v>
      </c>
      <c r="R1494" s="23" t="n">
        <v>58.7957</v>
      </c>
    </row>
    <row r="1495" ht="15" customHeight="1" s="12">
      <c r="A1495" s="18" t="inlineStr">
        <is>
          <t>Cabanatuan City</t>
        </is>
      </c>
      <c r="B1495" s="18" t="inlineStr">
        <is>
          <t>Philippines</t>
        </is>
      </c>
      <c r="C1495" s="19" t="n">
        <v>114123600</v>
      </c>
      <c r="D1495" s="18" t="inlineStr">
        <is>
          <t>PH</t>
        </is>
      </c>
      <c r="E1495" s="18" t="inlineStr">
        <is>
          <t>03</t>
        </is>
      </c>
      <c r="F1495" s="20" t="n">
        <v>220250</v>
      </c>
      <c r="G1495" s="18" t="n"/>
      <c r="H1495" s="18" t="n"/>
      <c r="I1495" s="18" t="n"/>
      <c r="J1495" s="18" t="n"/>
      <c r="K1495" s="18" t="n"/>
      <c r="L1495" s="18" t="inlineStr">
        <is>
          <t>100k +  pop</t>
        </is>
      </c>
      <c r="M1495" s="22" t="n">
        <v>0</v>
      </c>
      <c r="N1495" s="22" t="n">
        <v>0</v>
      </c>
      <c r="O1495" s="18" t="n"/>
      <c r="P1495" s="22">
        <f>IF(O1495="",(About!$B$5*M1495+About!$B$6*N1495)/(About!$B$5+About!$B$6),About!$B$5*M1495+About!$B$6*N1495+About!$B$7*O1495)</f>
        <v/>
      </c>
      <c r="Q1495" s="23" t="n">
        <v>15.4859</v>
      </c>
      <c r="R1495" s="23" t="n">
        <v>120.9665</v>
      </c>
    </row>
    <row r="1496" ht="15" customHeight="1" s="12">
      <c r="A1496" s="18" t="inlineStr">
        <is>
          <t>Chon Buri</t>
        </is>
      </c>
      <c r="B1496" s="18" t="inlineStr">
        <is>
          <t>Thailand</t>
        </is>
      </c>
      <c r="C1496" s="19" t="n">
        <v>65826149</v>
      </c>
      <c r="D1496" s="18" t="inlineStr">
        <is>
          <t>TH</t>
        </is>
      </c>
      <c r="E1496" s="18" t="inlineStr">
        <is>
          <t>46</t>
        </is>
      </c>
      <c r="F1496" s="20" t="n">
        <v>219164</v>
      </c>
      <c r="G1496" s="18" t="n"/>
      <c r="H1496" s="18" t="n"/>
      <c r="I1496" s="18" t="n"/>
      <c r="J1496" s="18" t="n"/>
      <c r="K1496" s="18" t="n"/>
      <c r="L1496" s="18" t="inlineStr">
        <is>
          <t>100k +  pop</t>
        </is>
      </c>
      <c r="M1496" s="22" t="n">
        <v>0</v>
      </c>
      <c r="N1496" s="22" t="n">
        <v>0</v>
      </c>
      <c r="O1496" s="18" t="n"/>
      <c r="P1496" s="22">
        <f>IF(O1496="",(About!$B$5*M1496+About!$B$6*N1496)/(About!$B$5+About!$B$6),About!$B$5*M1496+About!$B$6*N1496+About!$B$7*O1496)</f>
        <v/>
      </c>
      <c r="Q1496" s="23" t="n">
        <v>13.3622</v>
      </c>
      <c r="R1496" s="23" t="n">
        <v>100.9835</v>
      </c>
    </row>
    <row r="1497" ht="15" customHeight="1" s="12">
      <c r="A1497" s="18" t="inlineStr">
        <is>
          <t>Freiburg</t>
        </is>
      </c>
      <c r="B1497" s="18" t="inlineStr">
        <is>
          <t>Germany</t>
        </is>
      </c>
      <c r="C1497" s="19" t="n">
        <v>83497147</v>
      </c>
      <c r="D1497" s="18" t="inlineStr">
        <is>
          <t>DE</t>
        </is>
      </c>
      <c r="E1497" s="18" t="inlineStr">
        <is>
          <t>01</t>
        </is>
      </c>
      <c r="F1497" s="20" t="n">
        <v>215966</v>
      </c>
      <c r="G1497" s="18" t="n"/>
      <c r="H1497" s="18" t="n"/>
      <c r="I1497" s="18" t="n"/>
      <c r="J1497" s="18" t="n"/>
      <c r="K1497" s="18" t="n"/>
      <c r="L1497" s="18" t="inlineStr">
        <is>
          <t>100k +  pop</t>
        </is>
      </c>
      <c r="M1497" s="22" t="n">
        <v>0</v>
      </c>
      <c r="N1497" s="22" t="n">
        <v>0</v>
      </c>
      <c r="O1497" s="18" t="n"/>
      <c r="P1497" s="22">
        <f>IF(O1497="",(About!$B$5*M1497+About!$B$6*N1497)/(About!$B$5+About!$B$6),About!$B$5*M1497+About!$B$6*N1497+About!$B$7*O1497)</f>
        <v/>
      </c>
      <c r="Q1497" s="23" t="n">
        <v>47.9959</v>
      </c>
      <c r="R1497" s="23" t="n">
        <v>7.8522</v>
      </c>
    </row>
    <row r="1498" ht="15" customHeight="1" s="12">
      <c r="A1498" s="18" t="inlineStr">
        <is>
          <t>Northampton</t>
        </is>
      </c>
      <c r="B1498" s="18" t="inlineStr">
        <is>
          <t>United Kingdom</t>
        </is>
      </c>
      <c r="C1498" s="19" t="n">
        <v>69487000</v>
      </c>
      <c r="D1498" s="18" t="inlineStr">
        <is>
          <t>GB</t>
        </is>
      </c>
      <c r="E1498" s="18" t="inlineStr">
        <is>
          <t>ENG</t>
        </is>
      </c>
      <c r="F1498" s="20" t="n">
        <v>215963</v>
      </c>
      <c r="G1498" s="18" t="n"/>
      <c r="H1498" s="18" t="n"/>
      <c r="I1498" s="18" t="n"/>
      <c r="J1498" s="18" t="n"/>
      <c r="K1498" s="18" t="n"/>
      <c r="L1498" s="18" t="inlineStr">
        <is>
          <t>100k +  pop</t>
        </is>
      </c>
      <c r="M1498" s="22" t="n">
        <v>0</v>
      </c>
      <c r="N1498" s="22" t="n">
        <v>0</v>
      </c>
      <c r="O1498" s="18" t="n"/>
      <c r="P1498" s="22">
        <f>IF(O1498="",(About!$B$5*M1498+About!$B$6*N1498)/(About!$B$5+About!$B$6),About!$B$5*M1498+About!$B$6*N1498+About!$B$7*O1498)</f>
        <v/>
      </c>
      <c r="Q1498" s="23" t="n">
        <v>52.25</v>
      </c>
      <c r="R1498" s="23" t="n">
        <v>-0.8833</v>
      </c>
    </row>
    <row r="1499" ht="15" customHeight="1" s="12">
      <c r="A1499" s="18" t="inlineStr">
        <is>
          <t>Mirpur Khas</t>
        </is>
      </c>
      <c r="B1499" s="18" t="inlineStr">
        <is>
          <t>Pakistan</t>
        </is>
      </c>
      <c r="C1499" s="19" t="n">
        <v>241499431</v>
      </c>
      <c r="D1499" s="18" t="inlineStr">
        <is>
          <t>PK</t>
        </is>
      </c>
      <c r="E1499" s="18" t="inlineStr">
        <is>
          <t>05</t>
        </is>
      </c>
      <c r="F1499" s="20" t="n">
        <v>215657</v>
      </c>
      <c r="G1499" s="18" t="n"/>
      <c r="H1499" s="18" t="n"/>
      <c r="I1499" s="18" t="n"/>
      <c r="J1499" s="18" t="n"/>
      <c r="K1499" s="18" t="n"/>
      <c r="L1499" s="18" t="inlineStr">
        <is>
          <t>100k +  pop</t>
        </is>
      </c>
      <c r="M1499" s="22" t="n">
        <v>0</v>
      </c>
      <c r="N1499" s="22" t="n">
        <v>0</v>
      </c>
      <c r="O1499" s="18" t="n"/>
      <c r="P1499" s="22">
        <f>IF(O1499="",(About!$B$5*M1499+About!$B$6*N1499)/(About!$B$5+About!$B$6),About!$B$5*M1499+About!$B$6*N1499+About!$B$7*O1499)</f>
        <v/>
      </c>
      <c r="Q1499" s="23" t="n">
        <v>25.5276</v>
      </c>
      <c r="R1499" s="23" t="n">
        <v>69.01260000000001</v>
      </c>
    </row>
    <row r="1500" ht="15" customHeight="1" s="12">
      <c r="A1500" s="18" t="inlineStr">
        <is>
          <t>Novi Sad</t>
        </is>
      </c>
      <c r="B1500" s="18" t="inlineStr">
        <is>
          <t>Serbia</t>
        </is>
      </c>
      <c r="C1500" s="19" t="n">
        <v>6567783</v>
      </c>
      <c r="D1500" s="18" t="inlineStr">
        <is>
          <t>RS</t>
        </is>
      </c>
      <c r="E1500" s="18" t="inlineStr">
        <is>
          <t>VO</t>
        </is>
      </c>
      <c r="F1500" s="20" t="n">
        <v>215400</v>
      </c>
      <c r="G1500" s="18" t="n"/>
      <c r="H1500" s="18" t="n"/>
      <c r="I1500" s="18" t="n"/>
      <c r="J1500" s="18" t="n"/>
      <c r="K1500" s="18" t="n"/>
      <c r="L1500" s="18" t="inlineStr">
        <is>
          <t>100k +  pop</t>
        </is>
      </c>
      <c r="M1500" s="22" t="n">
        <v>0</v>
      </c>
      <c r="N1500" s="22" t="n">
        <v>0</v>
      </c>
      <c r="O1500" s="18" t="n"/>
      <c r="P1500" s="22">
        <f>IF(O1500="",(About!$B$5*M1500+About!$B$6*N1500)/(About!$B$5+About!$B$6),About!$B$5*M1500+About!$B$6*N1500+About!$B$7*O1500)</f>
        <v/>
      </c>
      <c r="Q1500" s="23" t="n">
        <v>45.2517</v>
      </c>
      <c r="R1500" s="23" t="n">
        <v>19.8369</v>
      </c>
    </row>
    <row r="1501" ht="15" customHeight="1" s="12">
      <c r="A1501" s="18" t="inlineStr">
        <is>
          <t>Velikiy Novgorod</t>
        </is>
      </c>
      <c r="B1501" s="18" t="inlineStr">
        <is>
          <t>Russia</t>
        </is>
      </c>
      <c r="C1501" s="19" t="n">
        <v>146028325</v>
      </c>
      <c r="D1501" s="18" t="inlineStr">
        <is>
          <t>RU</t>
        </is>
      </c>
      <c r="E1501" s="18" t="inlineStr">
        <is>
          <t>52</t>
        </is>
      </c>
      <c r="F1501" s="20" t="n">
        <v>215062</v>
      </c>
      <c r="G1501" s="18" t="n"/>
      <c r="H1501" s="18" t="n"/>
      <c r="I1501" s="18" t="n"/>
      <c r="J1501" s="18" t="n"/>
      <c r="K1501" s="18" t="n"/>
      <c r="L1501" s="18" t="inlineStr">
        <is>
          <t>100k +  pop</t>
        </is>
      </c>
      <c r="M1501" s="22" t="n">
        <v>0</v>
      </c>
      <c r="N1501" s="22" t="n">
        <v>0</v>
      </c>
      <c r="O1501" s="18" t="n"/>
      <c r="P1501" s="22">
        <f>IF(O1501="",(About!$B$5*M1501+About!$B$6*N1501)/(About!$B$5+About!$B$6),About!$B$5*M1501+About!$B$6*N1501+About!$B$7*O1501)</f>
        <v/>
      </c>
      <c r="Q1501" s="23" t="n">
        <v>58.5213</v>
      </c>
      <c r="R1501" s="23" t="n">
        <v>31.271</v>
      </c>
    </row>
    <row r="1502" ht="15" customHeight="1" s="12">
      <c r="A1502" s="18" t="inlineStr">
        <is>
          <t>Nazrēt</t>
        </is>
      </c>
      <c r="B1502" s="18" t="inlineStr">
        <is>
          <t>Ethiopia</t>
        </is>
      </c>
      <c r="C1502" s="19" t="n">
        <v>111652998</v>
      </c>
      <c r="D1502" s="18" t="inlineStr">
        <is>
          <t>ET</t>
        </is>
      </c>
      <c r="E1502" s="18" t="inlineStr">
        <is>
          <t>51</t>
        </is>
      </c>
      <c r="F1502" s="20" t="n">
        <v>213995</v>
      </c>
      <c r="G1502" s="18" t="n"/>
      <c r="H1502" s="18" t="n"/>
      <c r="I1502" s="18" t="n"/>
      <c r="J1502" s="18" t="n"/>
      <c r="K1502" s="18" t="n"/>
      <c r="L1502" s="18" t="inlineStr">
        <is>
          <t>100k +  pop</t>
        </is>
      </c>
      <c r="M1502" s="22" t="n">
        <v>0</v>
      </c>
      <c r="N1502" s="22" t="n">
        <v>0</v>
      </c>
      <c r="O1502" s="18" t="n"/>
      <c r="P1502" s="22">
        <f>IF(O1502="",(About!$B$5*M1502+About!$B$6*N1502)/(About!$B$5+About!$B$6),About!$B$5*M1502+About!$B$6*N1502+About!$B$7*O1502)</f>
        <v/>
      </c>
      <c r="Q1502" s="23" t="n">
        <v>8.550000000000001</v>
      </c>
      <c r="R1502" s="23" t="n">
        <v>39.2667</v>
      </c>
    </row>
    <row r="1503" ht="15" customHeight="1" s="12">
      <c r="A1503" s="18" t="inlineStr">
        <is>
          <t>Naz̧arābād</t>
        </is>
      </c>
      <c r="B1503" s="18" t="inlineStr">
        <is>
          <t>Iran</t>
        </is>
      </c>
      <c r="C1503" s="19" t="n">
        <v>87134000</v>
      </c>
      <c r="D1503" s="18" t="inlineStr">
        <is>
          <t>IR</t>
        </is>
      </c>
      <c r="E1503" s="18" t="inlineStr">
        <is>
          <t>44</t>
        </is>
      </c>
      <c r="F1503" s="20" t="n">
        <v>213388</v>
      </c>
      <c r="G1503" s="18" t="n"/>
      <c r="H1503" s="18" t="n"/>
      <c r="I1503" s="18" t="n"/>
      <c r="J1503" s="18" t="n"/>
      <c r="K1503" s="18" t="n"/>
      <c r="L1503" s="18" t="inlineStr">
        <is>
          <t>100k +  pop</t>
        </is>
      </c>
      <c r="M1503" s="22" t="n">
        <v>0</v>
      </c>
      <c r="N1503" s="22" t="n">
        <v>0</v>
      </c>
      <c r="O1503" s="18" t="n"/>
      <c r="P1503" s="22">
        <f>IF(O1503="",(About!$B$5*M1503+About!$B$6*N1503)/(About!$B$5+About!$B$6),About!$B$5*M1503+About!$B$6*N1503+About!$B$7*O1503)</f>
        <v/>
      </c>
      <c r="Q1503" s="23" t="n">
        <v>35.9541</v>
      </c>
      <c r="R1503" s="23" t="n">
        <v>50.6061</v>
      </c>
    </row>
    <row r="1504" ht="15" customHeight="1" s="12">
      <c r="A1504" s="18" t="inlineStr">
        <is>
          <t>Būkān</t>
        </is>
      </c>
      <c r="B1504" s="18" t="inlineStr">
        <is>
          <t>Iran</t>
        </is>
      </c>
      <c r="C1504" s="19" t="n">
        <v>87134000</v>
      </c>
      <c r="D1504" s="18" t="inlineStr">
        <is>
          <t>IR</t>
        </is>
      </c>
      <c r="E1504" s="18" t="inlineStr">
        <is>
          <t>01</t>
        </is>
      </c>
      <c r="F1504" s="20" t="n">
        <v>213331</v>
      </c>
      <c r="G1504" s="18" t="n"/>
      <c r="H1504" s="18" t="n"/>
      <c r="I1504" s="18" t="n"/>
      <c r="J1504" s="18" t="n"/>
      <c r="K1504" s="18" t="n"/>
      <c r="L1504" s="18" t="inlineStr">
        <is>
          <t>100k +  pop</t>
        </is>
      </c>
      <c r="M1504" s="22" t="n">
        <v>0</v>
      </c>
      <c r="N1504" s="22" t="n">
        <v>0</v>
      </c>
      <c r="O1504" s="18" t="n"/>
      <c r="P1504" s="22">
        <f>IF(O1504="",(About!$B$5*M1504+About!$B$6*N1504)/(About!$B$5+About!$B$6),About!$B$5*M1504+About!$B$6*N1504+About!$B$7*O1504)</f>
        <v/>
      </c>
      <c r="Q1504" s="23" t="n">
        <v>36.521</v>
      </c>
      <c r="R1504" s="23" t="n">
        <v>46.2089</v>
      </c>
    </row>
    <row r="1505" ht="15" customHeight="1" s="12">
      <c r="A1505" s="18" t="inlineStr">
        <is>
          <t>Lipa City</t>
        </is>
      </c>
      <c r="B1505" s="18" t="inlineStr">
        <is>
          <t>Philippines</t>
        </is>
      </c>
      <c r="C1505" s="19" t="n">
        <v>114123600</v>
      </c>
      <c r="D1505" s="18" t="inlineStr">
        <is>
          <t>PH</t>
        </is>
      </c>
      <c r="E1505" s="18" t="inlineStr">
        <is>
          <t>40</t>
        </is>
      </c>
      <c r="F1505" s="20" t="n">
        <v>212287</v>
      </c>
      <c r="G1505" s="18" t="n"/>
      <c r="H1505" s="18" t="n"/>
      <c r="I1505" s="18" t="n"/>
      <c r="J1505" s="18" t="n"/>
      <c r="K1505" s="18" t="n"/>
      <c r="L1505" s="18" t="inlineStr">
        <is>
          <t>100k +  pop</t>
        </is>
      </c>
      <c r="M1505" s="22" t="n">
        <v>0</v>
      </c>
      <c r="N1505" s="22" t="n">
        <v>0</v>
      </c>
      <c r="O1505" s="18" t="n"/>
      <c r="P1505" s="22">
        <f>IF(O1505="",(About!$B$5*M1505+About!$B$6*N1505)/(About!$B$5+About!$B$6),About!$B$5*M1505+About!$B$6*N1505+About!$B$7*O1505)</f>
        <v/>
      </c>
      <c r="Q1505" s="23" t="n">
        <v>13.9411</v>
      </c>
      <c r="R1505" s="23" t="n">
        <v>121.1631</v>
      </c>
    </row>
    <row r="1506" ht="15" customHeight="1" s="12">
      <c r="A1506" s="18" t="inlineStr">
        <is>
          <t>Cartagena</t>
        </is>
      </c>
      <c r="B1506" s="18" t="inlineStr">
        <is>
          <t>Spain</t>
        </is>
      </c>
      <c r="C1506" s="19" t="n">
        <v>49687120</v>
      </c>
      <c r="D1506" s="18" t="inlineStr">
        <is>
          <t>ES</t>
        </is>
      </c>
      <c r="E1506" s="18" t="inlineStr">
        <is>
          <t>31</t>
        </is>
      </c>
      <c r="F1506" s="20" t="n">
        <v>211996</v>
      </c>
      <c r="G1506" s="18" t="n"/>
      <c r="H1506" s="18" t="n"/>
      <c r="I1506" s="18" t="n"/>
      <c r="J1506" s="18" t="n"/>
      <c r="K1506" s="18" t="n"/>
      <c r="L1506" s="18" t="inlineStr">
        <is>
          <t>100k +  pop</t>
        </is>
      </c>
      <c r="M1506" s="22" t="n">
        <v>0</v>
      </c>
      <c r="N1506" s="22" t="n">
        <v>0</v>
      </c>
      <c r="O1506" s="18" t="n"/>
      <c r="P1506" s="22">
        <f>IF(O1506="",(About!$B$5*M1506+About!$B$6*N1506)/(About!$B$5+About!$B$6),About!$B$5*M1506+About!$B$6*N1506+About!$B$7*O1506)</f>
        <v/>
      </c>
      <c r="Q1506" s="23" t="n">
        <v>37.6051</v>
      </c>
      <c r="R1506" s="23" t="n">
        <v>-0.9862</v>
      </c>
    </row>
    <row r="1507" ht="15" customHeight="1" s="12">
      <c r="A1507" s="18" t="inlineStr">
        <is>
          <t>Kırıkkale</t>
        </is>
      </c>
      <c r="B1507" s="18" t="inlineStr">
        <is>
          <t>Türkiye</t>
        </is>
      </c>
      <c r="C1507" s="19" t="n">
        <v>86092168</v>
      </c>
      <c r="D1507" s="18" t="inlineStr">
        <is>
          <t>TR</t>
        </is>
      </c>
      <c r="E1507" s="18" t="inlineStr">
        <is>
          <t>79</t>
        </is>
      </c>
      <c r="F1507" s="20" t="n">
        <v>211138</v>
      </c>
      <c r="G1507" s="18" t="n"/>
      <c r="H1507" s="18" t="n"/>
      <c r="I1507" s="18" t="n"/>
      <c r="J1507" s="18" t="n"/>
      <c r="K1507" s="18" t="n"/>
      <c r="L1507" s="18" t="inlineStr">
        <is>
          <t>100k +  pop</t>
        </is>
      </c>
      <c r="M1507" s="22" t="n">
        <v>0</v>
      </c>
      <c r="N1507" s="22" t="n">
        <v>0</v>
      </c>
      <c r="O1507" s="18" t="n"/>
      <c r="P1507" s="22">
        <f>IF(O1507="",(About!$B$5*M1507+About!$B$6*N1507)/(About!$B$5+About!$B$6),About!$B$5*M1507+About!$B$6*N1507+About!$B$7*O1507)</f>
        <v/>
      </c>
      <c r="Q1507" s="23" t="n">
        <v>39.8453</v>
      </c>
      <c r="R1507" s="23" t="n">
        <v>33.5064</v>
      </c>
    </row>
    <row r="1508" ht="15" customHeight="1" s="12">
      <c r="A1508" s="18" t="inlineStr">
        <is>
          <t>Idkū</t>
        </is>
      </c>
      <c r="B1508" s="18" t="inlineStr">
        <is>
          <t>Egypt</t>
        </is>
      </c>
      <c r="C1508" s="19" t="n">
        <v>108613296</v>
      </c>
      <c r="D1508" s="18" t="inlineStr">
        <is>
          <t>EG</t>
        </is>
      </c>
      <c r="E1508" s="18" t="inlineStr">
        <is>
          <t>03</t>
        </is>
      </c>
      <c r="F1508" s="20" t="n">
        <v>210678</v>
      </c>
      <c r="G1508" s="18" t="n"/>
      <c r="H1508" s="18" t="n"/>
      <c r="I1508" s="18" t="n"/>
      <c r="J1508" s="18" t="n"/>
      <c r="K1508" s="18" t="n"/>
      <c r="L1508" s="18" t="inlineStr">
        <is>
          <t>100k +  pop</t>
        </is>
      </c>
      <c r="M1508" s="22" t="n">
        <v>0</v>
      </c>
      <c r="N1508" s="22" t="n">
        <v>0</v>
      </c>
      <c r="O1508" s="18" t="n"/>
      <c r="P1508" s="22">
        <f>IF(O1508="",(About!$B$5*M1508+About!$B$6*N1508)/(About!$B$5+About!$B$6),About!$B$5*M1508+About!$B$6*N1508+About!$B$7*O1508)</f>
        <v/>
      </c>
      <c r="Q1508" s="23" t="n">
        <v>31.3073</v>
      </c>
      <c r="R1508" s="23" t="n">
        <v>30.2981</v>
      </c>
    </row>
    <row r="1509" ht="15" customHeight="1" s="12">
      <c r="A1509" s="18" t="inlineStr">
        <is>
          <t>Qui Nhon</t>
        </is>
      </c>
      <c r="B1509" s="18" t="inlineStr">
        <is>
          <t>Vietnam</t>
        </is>
      </c>
      <c r="C1509" s="19" t="n">
        <v>102300000</v>
      </c>
      <c r="D1509" s="18" t="inlineStr">
        <is>
          <t>VN</t>
        </is>
      </c>
      <c r="E1509" s="18" t="inlineStr">
        <is>
          <t>46</t>
        </is>
      </c>
      <c r="F1509" s="20" t="n">
        <v>210338</v>
      </c>
      <c r="G1509" s="18" t="n"/>
      <c r="H1509" s="18" t="n"/>
      <c r="I1509" s="18" t="n"/>
      <c r="J1509" s="18" t="n"/>
      <c r="K1509" s="18" t="n"/>
      <c r="L1509" s="18" t="inlineStr">
        <is>
          <t>100k +  pop</t>
        </is>
      </c>
      <c r="M1509" s="22" t="n">
        <v>0</v>
      </c>
      <c r="N1509" s="22" t="n">
        <v>0</v>
      </c>
      <c r="O1509" s="18" t="n"/>
      <c r="P1509" s="22">
        <f>IF(O1509="",(About!$B$5*M1509+About!$B$6*N1509)/(About!$B$5+About!$B$6),About!$B$5*M1509+About!$B$6*N1509+About!$B$7*O1509)</f>
        <v/>
      </c>
      <c r="Q1509" s="23" t="n">
        <v>13.7765</v>
      </c>
      <c r="R1509" s="23" t="n">
        <v>109.2237</v>
      </c>
    </row>
    <row r="1510" ht="15" customHeight="1" s="12">
      <c r="A1510" s="18" t="inlineStr">
        <is>
          <t>Bogra</t>
        </is>
      </c>
      <c r="B1510" s="18" t="inlineStr">
        <is>
          <t>Bangladesh</t>
        </is>
      </c>
      <c r="C1510" s="19" t="n">
        <v>169828911</v>
      </c>
      <c r="D1510" s="18" t="inlineStr">
        <is>
          <t>BD</t>
        </is>
      </c>
      <c r="E1510" s="18" t="inlineStr">
        <is>
          <t>83</t>
        </is>
      </c>
      <c r="F1510" s="20" t="n">
        <v>210000</v>
      </c>
      <c r="G1510" s="18" t="n"/>
      <c r="H1510" s="18" t="n"/>
      <c r="I1510" s="18" t="n"/>
      <c r="J1510" s="18" t="n"/>
      <c r="K1510" s="18" t="n"/>
      <c r="L1510" s="18" t="inlineStr">
        <is>
          <t>100k +  pop</t>
        </is>
      </c>
      <c r="M1510" s="22" t="n">
        <v>0</v>
      </c>
      <c r="N1510" s="22" t="n">
        <v>0</v>
      </c>
      <c r="O1510" s="18" t="n"/>
      <c r="P1510" s="22">
        <f>IF(O1510="",(About!$B$5*M1510+About!$B$6*N1510)/(About!$B$5+About!$B$6),About!$B$5*M1510+About!$B$6*N1510+About!$B$7*O1510)</f>
        <v/>
      </c>
      <c r="Q1510" s="23" t="n">
        <v>24.851</v>
      </c>
      <c r="R1510" s="23" t="n">
        <v>89.3711</v>
      </c>
    </row>
    <row r="1511" ht="15" customHeight="1" s="12">
      <c r="A1511" s="18" t="inlineStr">
        <is>
          <t>Chuncheon</t>
        </is>
      </c>
      <c r="B1511" s="18" t="inlineStr">
        <is>
          <t>South Korea</t>
        </is>
      </c>
      <c r="C1511" s="19" t="n">
        <v>51111158</v>
      </c>
      <c r="D1511" s="18" t="inlineStr">
        <is>
          <t>KR</t>
        </is>
      </c>
      <c r="E1511" s="18" t="inlineStr">
        <is>
          <t>06</t>
        </is>
      </c>
      <c r="F1511" s="20" t="n">
        <v>209746</v>
      </c>
      <c r="G1511" s="18" t="n"/>
      <c r="H1511" s="18" t="n"/>
      <c r="I1511" s="18" t="n"/>
      <c r="J1511" s="18" t="n"/>
      <c r="K1511" s="18" t="n"/>
      <c r="L1511" s="18" t="inlineStr">
        <is>
          <t>100k +  pop</t>
        </is>
      </c>
      <c r="M1511" s="22" t="n">
        <v>0</v>
      </c>
      <c r="N1511" s="22" t="n">
        <v>0</v>
      </c>
      <c r="O1511" s="18" t="n"/>
      <c r="P1511" s="22">
        <f>IF(O1511="",(About!$B$5*M1511+About!$B$6*N1511)/(About!$B$5+About!$B$6),About!$B$5*M1511+About!$B$6*N1511+About!$B$7*O1511)</f>
        <v/>
      </c>
      <c r="Q1511" s="23" t="n">
        <v>37.8747</v>
      </c>
      <c r="R1511" s="23" t="n">
        <v>127.7342</v>
      </c>
    </row>
    <row r="1512" ht="15" customHeight="1" s="12">
      <c r="A1512" s="18" t="inlineStr">
        <is>
          <t>Vũng Tàu</t>
        </is>
      </c>
      <c r="B1512" s="18" t="inlineStr">
        <is>
          <t>Vietnam</t>
        </is>
      </c>
      <c r="C1512" s="19" t="n">
        <v>102300000</v>
      </c>
      <c r="D1512" s="18" t="inlineStr">
        <is>
          <t>VN</t>
        </is>
      </c>
      <c r="E1512" s="18" t="inlineStr">
        <is>
          <t>45</t>
        </is>
      </c>
      <c r="F1512" s="20" t="n">
        <v>209683</v>
      </c>
      <c r="G1512" s="18" t="n"/>
      <c r="H1512" s="18" t="n"/>
      <c r="I1512" s="18" t="n"/>
      <c r="J1512" s="18" t="n"/>
      <c r="K1512" s="18" t="n"/>
      <c r="L1512" s="18" t="inlineStr">
        <is>
          <t>100k +  pop</t>
        </is>
      </c>
      <c r="M1512" s="22" t="n">
        <v>0</v>
      </c>
      <c r="N1512" s="22" t="n">
        <v>0</v>
      </c>
      <c r="O1512" s="18" t="n"/>
      <c r="P1512" s="22">
        <f>IF(O1512="",(About!$B$5*M1512+About!$B$6*N1512)/(About!$B$5+About!$B$6),About!$B$5*M1512+About!$B$6*N1512+About!$B$7*O1512)</f>
        <v/>
      </c>
      <c r="Q1512" s="23" t="n">
        <v>10.346</v>
      </c>
      <c r="R1512" s="23" t="n">
        <v>107.0843</v>
      </c>
    </row>
    <row r="1513" ht="15" customHeight="1" s="12">
      <c r="A1513" s="18" t="inlineStr">
        <is>
          <t>Nakhon Ratchasima</t>
        </is>
      </c>
      <c r="B1513" s="18" t="inlineStr">
        <is>
          <t>Thailand</t>
        </is>
      </c>
      <c r="C1513" s="19" t="n">
        <v>65826149</v>
      </c>
      <c r="D1513" s="18" t="inlineStr">
        <is>
          <t>TH</t>
        </is>
      </c>
      <c r="E1513" s="18" t="inlineStr">
        <is>
          <t>27</t>
        </is>
      </c>
      <c r="F1513" s="20" t="n">
        <v>208781</v>
      </c>
      <c r="G1513" s="18" t="n"/>
      <c r="H1513" s="18" t="n"/>
      <c r="I1513" s="18" t="n"/>
      <c r="J1513" s="18" t="n"/>
      <c r="K1513" s="18" t="n"/>
      <c r="L1513" s="18" t="inlineStr">
        <is>
          <t>100k +  pop</t>
        </is>
      </c>
      <c r="M1513" s="22" t="n">
        <v>0</v>
      </c>
      <c r="N1513" s="22" t="n">
        <v>0</v>
      </c>
      <c r="O1513" s="18" t="n"/>
      <c r="P1513" s="22">
        <f>IF(O1513="",(About!$B$5*M1513+About!$B$6*N1513)/(About!$B$5+About!$B$6),About!$B$5*M1513+About!$B$6*N1513+About!$B$7*O1513)</f>
        <v/>
      </c>
      <c r="Q1513" s="23" t="n">
        <v>14.9707</v>
      </c>
      <c r="R1513" s="23" t="n">
        <v>102.102</v>
      </c>
    </row>
    <row r="1514" ht="15" customHeight="1" s="12">
      <c r="A1514" s="18" t="inlineStr">
        <is>
          <t>Sirjan</t>
        </is>
      </c>
      <c r="B1514" s="18" t="inlineStr">
        <is>
          <t>Iran</t>
        </is>
      </c>
      <c r="C1514" s="19" t="n">
        <v>87134000</v>
      </c>
      <c r="D1514" s="18" t="inlineStr">
        <is>
          <t>IR</t>
        </is>
      </c>
      <c r="E1514" s="18" t="inlineStr">
        <is>
          <t>29</t>
        </is>
      </c>
      <c r="F1514" s="20" t="n">
        <v>207645</v>
      </c>
      <c r="G1514" s="18" t="n"/>
      <c r="H1514" s="18" t="n"/>
      <c r="I1514" s="18" t="n"/>
      <c r="J1514" s="18" t="n"/>
      <c r="K1514" s="18" t="n"/>
      <c r="L1514" s="18" t="inlineStr">
        <is>
          <t>100k +  pop</t>
        </is>
      </c>
      <c r="M1514" s="22" t="n">
        <v>0</v>
      </c>
      <c r="N1514" s="22" t="n">
        <v>0</v>
      </c>
      <c r="O1514" s="18" t="n"/>
      <c r="P1514" s="22">
        <f>IF(O1514="",(About!$B$5*M1514+About!$B$6*N1514)/(About!$B$5+About!$B$6),About!$B$5*M1514+About!$B$6*N1514+About!$B$7*O1514)</f>
        <v/>
      </c>
      <c r="Q1514" s="23" t="n">
        <v>29.4514</v>
      </c>
      <c r="R1514" s="23" t="n">
        <v>55.6809</v>
      </c>
    </row>
    <row r="1515" ht="15" customHeight="1" s="12">
      <c r="A1515" s="18" t="inlineStr">
        <is>
          <t>San Pablo</t>
        </is>
      </c>
      <c r="B1515" s="18" t="inlineStr">
        <is>
          <t>Philippines</t>
        </is>
      </c>
      <c r="C1515" s="19" t="n">
        <v>114123600</v>
      </c>
      <c r="D1515" s="18" t="inlineStr">
        <is>
          <t>PH</t>
        </is>
      </c>
      <c r="E1515" s="18" t="inlineStr">
        <is>
          <t>40</t>
        </is>
      </c>
      <c r="F1515" s="20" t="n">
        <v>207577</v>
      </c>
      <c r="G1515" s="18" t="n"/>
      <c r="H1515" s="18" t="n"/>
      <c r="I1515" s="18" t="n"/>
      <c r="J1515" s="18" t="n"/>
      <c r="K1515" s="18" t="n"/>
      <c r="L1515" s="18" t="inlineStr">
        <is>
          <t>100k +  pop</t>
        </is>
      </c>
      <c r="M1515" s="22" t="n">
        <v>0</v>
      </c>
      <c r="N1515" s="22" t="n">
        <v>0</v>
      </c>
      <c r="O1515" s="18" t="n"/>
      <c r="P1515" s="22">
        <f>IF(O1515="",(About!$B$5*M1515+About!$B$6*N1515)/(About!$B$5+About!$B$6),About!$B$5*M1515+About!$B$6*N1515+About!$B$7*O1515)</f>
        <v/>
      </c>
      <c r="Q1515" s="23" t="n">
        <v>14.0683</v>
      </c>
      <c r="R1515" s="23" t="n">
        <v>121.3256</v>
      </c>
    </row>
    <row r="1516" ht="15" customHeight="1" s="12">
      <c r="A1516" s="18" t="inlineStr">
        <is>
          <t>Dinājpur</t>
        </is>
      </c>
      <c r="B1516" s="18" t="inlineStr">
        <is>
          <t>Bangladesh</t>
        </is>
      </c>
      <c r="C1516" s="19" t="n">
        <v>169828911</v>
      </c>
      <c r="D1516" s="18" t="inlineStr">
        <is>
          <t>BD</t>
        </is>
      </c>
      <c r="E1516" s="18" t="inlineStr">
        <is>
          <t>87</t>
        </is>
      </c>
      <c r="F1516" s="20" t="n">
        <v>206234</v>
      </c>
      <c r="G1516" s="18" t="n"/>
      <c r="H1516" s="18" t="n"/>
      <c r="I1516" s="18" t="n"/>
      <c r="J1516" s="18" t="n"/>
      <c r="K1516" s="18" t="n"/>
      <c r="L1516" s="18" t="inlineStr">
        <is>
          <t>100k +  pop</t>
        </is>
      </c>
      <c r="M1516" s="22" t="n">
        <v>0</v>
      </c>
      <c r="N1516" s="22" t="n">
        <v>0</v>
      </c>
      <c r="O1516" s="18" t="n"/>
      <c r="P1516" s="22">
        <f>IF(O1516="",(About!$B$5*M1516+About!$B$6*N1516)/(About!$B$5+About!$B$6),About!$B$5*M1516+About!$B$6*N1516+About!$B$7*O1516)</f>
        <v/>
      </c>
      <c r="Q1516" s="23" t="n">
        <v>25.6274</v>
      </c>
      <c r="R1516" s="23" t="n">
        <v>88.6378</v>
      </c>
    </row>
    <row r="1517" ht="15" customHeight="1" s="12">
      <c r="A1517" s="18" t="inlineStr">
        <is>
          <t>Padova</t>
        </is>
      </c>
      <c r="B1517" s="18" t="inlineStr">
        <is>
          <t>Italy</t>
        </is>
      </c>
      <c r="C1517" s="19" t="n">
        <v>58932330</v>
      </c>
      <c r="D1517" s="18" t="inlineStr">
        <is>
          <t>IT</t>
        </is>
      </c>
      <c r="E1517" s="18" t="inlineStr">
        <is>
          <t>20</t>
        </is>
      </c>
      <c r="F1517" s="20" t="n">
        <v>203725</v>
      </c>
      <c r="G1517" s="18" t="n"/>
      <c r="H1517" s="18" t="n"/>
      <c r="I1517" s="18" t="n"/>
      <c r="J1517" s="18" t="n"/>
      <c r="K1517" s="18" t="n"/>
      <c r="L1517" s="18" t="inlineStr">
        <is>
          <t>100k +  pop</t>
        </is>
      </c>
      <c r="M1517" s="22" t="n">
        <v>0</v>
      </c>
      <c r="N1517" s="22" t="n">
        <v>0</v>
      </c>
      <c r="O1517" s="18" t="n"/>
      <c r="P1517" s="22">
        <f>IF(O1517="",(About!$B$5*M1517+About!$B$6*N1517)/(About!$B$5+About!$B$6),About!$B$5*M1517+About!$B$6*N1517+About!$B$7*O1517)</f>
        <v/>
      </c>
      <c r="Q1517" s="23" t="n">
        <v>45.408</v>
      </c>
      <c r="R1517" s="23" t="n">
        <v>11.8859</v>
      </c>
    </row>
    <row r="1518" ht="15" customHeight="1" s="12">
      <c r="A1518" s="18" t="inlineStr">
        <is>
          <t>Osmaniye</t>
        </is>
      </c>
      <c r="B1518" s="18" t="inlineStr">
        <is>
          <t>Türkiye</t>
        </is>
      </c>
      <c r="C1518" s="19" t="n">
        <v>86092168</v>
      </c>
      <c r="D1518" s="18" t="inlineStr">
        <is>
          <t>TR</t>
        </is>
      </c>
      <c r="E1518" s="18" t="inlineStr">
        <is>
          <t>91</t>
        </is>
      </c>
      <c r="F1518" s="20" t="n">
        <v>202837</v>
      </c>
      <c r="G1518" s="18" t="n"/>
      <c r="H1518" s="18" t="n"/>
      <c r="I1518" s="18" t="n"/>
      <c r="J1518" s="18" t="n"/>
      <c r="K1518" s="18" t="n"/>
      <c r="L1518" s="18" t="inlineStr">
        <is>
          <t>100k +  pop</t>
        </is>
      </c>
      <c r="M1518" s="22" t="n">
        <v>0</v>
      </c>
      <c r="N1518" s="22" t="n">
        <v>0</v>
      </c>
      <c r="O1518" s="18" t="n"/>
      <c r="P1518" s="22">
        <f>IF(O1518="",(About!$B$5*M1518+About!$B$6*N1518)/(About!$B$5+About!$B$6),About!$B$5*M1518+About!$B$6*N1518+About!$B$7*O1518)</f>
        <v/>
      </c>
      <c r="Q1518" s="23" t="n">
        <v>37.0742</v>
      </c>
      <c r="R1518" s="23" t="n">
        <v>36.2478</v>
      </c>
    </row>
    <row r="1519" ht="15" customHeight="1" s="12">
      <c r="A1519" s="18" t="inlineStr">
        <is>
          <t>Bābol</t>
        </is>
      </c>
      <c r="B1519" s="18" t="inlineStr">
        <is>
          <t>Iran</t>
        </is>
      </c>
      <c r="C1519" s="19" t="n">
        <v>87134000</v>
      </c>
      <c r="D1519" s="18" t="inlineStr">
        <is>
          <t>IR</t>
        </is>
      </c>
      <c r="E1519" s="18" t="inlineStr">
        <is>
          <t>35</t>
        </is>
      </c>
      <c r="F1519" s="20" t="n">
        <v>202796</v>
      </c>
      <c r="G1519" s="18" t="n"/>
      <c r="H1519" s="18" t="n"/>
      <c r="I1519" s="18" t="n"/>
      <c r="J1519" s="18" t="n"/>
      <c r="K1519" s="18" t="n"/>
      <c r="L1519" s="18" t="inlineStr">
        <is>
          <t>100k +  pop</t>
        </is>
      </c>
      <c r="M1519" s="22" t="n">
        <v>0</v>
      </c>
      <c r="N1519" s="22" t="n">
        <v>0</v>
      </c>
      <c r="O1519" s="18" t="n"/>
      <c r="P1519" s="22">
        <f>IF(O1519="",(About!$B$5*M1519+About!$B$6*N1519)/(About!$B$5+About!$B$6),About!$B$5*M1519+About!$B$6*N1519+About!$B$7*O1519)</f>
        <v/>
      </c>
      <c r="Q1519" s="23" t="n">
        <v>36.551</v>
      </c>
      <c r="R1519" s="23" t="n">
        <v>52.6786</v>
      </c>
    </row>
    <row r="1520" ht="15" customHeight="1" s="12">
      <c r="A1520" s="18" t="inlineStr">
        <is>
          <t>Chiniot</t>
        </is>
      </c>
      <c r="B1520" s="18" t="inlineStr">
        <is>
          <t>Pakistan</t>
        </is>
      </c>
      <c r="C1520" s="19" t="n">
        <v>241499431</v>
      </c>
      <c r="D1520" s="18" t="inlineStr">
        <is>
          <t>PK</t>
        </is>
      </c>
      <c r="E1520" s="18" t="inlineStr">
        <is>
          <t>04</t>
        </is>
      </c>
      <c r="F1520" s="20" t="n">
        <v>201781</v>
      </c>
      <c r="G1520" s="18" t="n"/>
      <c r="H1520" s="18" t="n"/>
      <c r="I1520" s="18" t="n"/>
      <c r="J1520" s="18" t="n"/>
      <c r="K1520" s="18" t="n"/>
      <c r="L1520" s="18" t="inlineStr">
        <is>
          <t>100k +  pop</t>
        </is>
      </c>
      <c r="M1520" s="22" t="n">
        <v>0</v>
      </c>
      <c r="N1520" s="22" t="n">
        <v>0</v>
      </c>
      <c r="O1520" s="18" t="n"/>
      <c r="P1520" s="22">
        <f>IF(O1520="",(About!$B$5*M1520+About!$B$6*N1520)/(About!$B$5+About!$B$6),About!$B$5*M1520+About!$B$6*N1520+About!$B$7*O1520)</f>
        <v/>
      </c>
      <c r="Q1520" s="23" t="n">
        <v>31.7209</v>
      </c>
      <c r="R1520" s="23" t="n">
        <v>72.97839999999999</v>
      </c>
    </row>
    <row r="1521" ht="15" customHeight="1" s="12">
      <c r="A1521" s="18" t="inlineStr">
        <is>
          <t>Jalālābād</t>
        </is>
      </c>
      <c r="B1521" s="18" t="inlineStr">
        <is>
          <t>Afghanistan</t>
        </is>
      </c>
      <c r="C1521" s="19" t="n">
        <v>43844000</v>
      </c>
      <c r="D1521" s="18" t="inlineStr">
        <is>
          <t>AF</t>
        </is>
      </c>
      <c r="E1521" s="18" t="inlineStr">
        <is>
          <t>18</t>
        </is>
      </c>
      <c r="F1521" s="20" t="n">
        <v>200331</v>
      </c>
      <c r="G1521" s="18" t="n"/>
      <c r="H1521" s="18" t="n"/>
      <c r="I1521" s="18" t="n"/>
      <c r="J1521" s="18" t="n"/>
      <c r="K1521" s="18" t="n"/>
      <c r="L1521" s="18" t="inlineStr">
        <is>
          <t>100k +  pop</t>
        </is>
      </c>
      <c r="M1521" s="22" t="n">
        <v>0</v>
      </c>
      <c r="N1521" s="22" t="n">
        <v>0</v>
      </c>
      <c r="O1521" s="18" t="n"/>
      <c r="P1521" s="22">
        <f>IF(O1521="",(About!$B$5*M1521+About!$B$6*N1521)/(About!$B$5+About!$B$6),About!$B$5*M1521+About!$B$6*N1521+About!$B$7*O1521)</f>
        <v/>
      </c>
      <c r="Q1521" s="23" t="n">
        <v>34.4265</v>
      </c>
      <c r="R1521" s="23" t="n">
        <v>70.4515</v>
      </c>
    </row>
    <row r="1522" ht="15" customHeight="1" s="12">
      <c r="A1522" s="18" t="inlineStr">
        <is>
          <t>Thika</t>
        </is>
      </c>
      <c r="B1522" s="18" t="inlineStr">
        <is>
          <t>Kenya</t>
        </is>
      </c>
      <c r="C1522" s="19" t="n">
        <v>53330978</v>
      </c>
      <c r="D1522" s="18" t="inlineStr">
        <is>
          <t>KE</t>
        </is>
      </c>
      <c r="E1522" s="18" t="inlineStr">
        <is>
          <t>05</t>
        </is>
      </c>
      <c r="F1522" s="20" t="n">
        <v>200000</v>
      </c>
      <c r="G1522" s="18" t="n"/>
      <c r="H1522" s="18" t="n"/>
      <c r="I1522" s="18" t="n"/>
      <c r="J1522" s="18" t="n"/>
      <c r="K1522" s="18" t="n"/>
      <c r="L1522" s="18" t="inlineStr">
        <is>
          <t>100k +  pop</t>
        </is>
      </c>
      <c r="M1522" s="22" t="n">
        <v>0</v>
      </c>
      <c r="N1522" s="22" t="n">
        <v>0</v>
      </c>
      <c r="O1522" s="18" t="n"/>
      <c r="P1522" s="22">
        <f>IF(O1522="",(About!$B$5*M1522+About!$B$6*N1522)/(About!$B$5+About!$B$6),About!$B$5*M1522+About!$B$6*N1522+About!$B$7*O1522)</f>
        <v/>
      </c>
      <c r="Q1522" s="23" t="n">
        <v>-1.0333</v>
      </c>
      <c r="R1522" s="23" t="n">
        <v>37.0693</v>
      </c>
    </row>
    <row r="1523" ht="15" customHeight="1" s="12">
      <c r="A1523" s="18" t="inlineStr">
        <is>
          <t>Shahkot</t>
        </is>
      </c>
      <c r="B1523" s="18" t="inlineStr">
        <is>
          <t>Pakistan</t>
        </is>
      </c>
      <c r="C1523" s="19" t="n">
        <v>241499431</v>
      </c>
      <c r="D1523" s="18" t="inlineStr">
        <is>
          <t>PK</t>
        </is>
      </c>
      <c r="E1523" s="18" t="inlineStr">
        <is>
          <t>04</t>
        </is>
      </c>
      <c r="F1523" s="20" t="n">
        <v>200000</v>
      </c>
      <c r="G1523" s="18" t="n"/>
      <c r="H1523" s="18" t="n"/>
      <c r="I1523" s="18" t="n"/>
      <c r="J1523" s="18" t="n"/>
      <c r="K1523" s="18" t="n"/>
      <c r="L1523" s="18" t="inlineStr">
        <is>
          <t>100k +  pop</t>
        </is>
      </c>
      <c r="M1523" s="22" t="n">
        <v>0</v>
      </c>
      <c r="N1523" s="22" t="n">
        <v>0</v>
      </c>
      <c r="O1523" s="18" t="n"/>
      <c r="P1523" s="22">
        <f>IF(O1523="",(About!$B$5*M1523+About!$B$6*N1523)/(About!$B$5+About!$B$6),About!$B$5*M1523+About!$B$6*N1523+About!$B$7*O1523)</f>
        <v/>
      </c>
      <c r="Q1523" s="23" t="n">
        <v>31.5709</v>
      </c>
      <c r="R1523" s="23" t="n">
        <v>73.4853</v>
      </c>
    </row>
    <row r="1524" ht="15" customHeight="1" s="12">
      <c r="A1524" s="18" t="inlineStr">
        <is>
          <t>Kamoke</t>
        </is>
      </c>
      <c r="B1524" s="18" t="inlineStr">
        <is>
          <t>Pakistan</t>
        </is>
      </c>
      <c r="C1524" s="19" t="n">
        <v>241499431</v>
      </c>
      <c r="D1524" s="18" t="inlineStr">
        <is>
          <t>PK</t>
        </is>
      </c>
      <c r="E1524" s="18" t="inlineStr">
        <is>
          <t>04</t>
        </is>
      </c>
      <c r="F1524" s="20" t="n">
        <v>199531</v>
      </c>
      <c r="G1524" s="18" t="n"/>
      <c r="H1524" s="18" t="n"/>
      <c r="I1524" s="18" t="n"/>
      <c r="J1524" s="18" t="n"/>
      <c r="K1524" s="18" t="n"/>
      <c r="L1524" s="18" t="inlineStr">
        <is>
          <t>100k +  pop</t>
        </is>
      </c>
      <c r="M1524" s="22" t="n">
        <v>0</v>
      </c>
      <c r="N1524" s="22" t="n">
        <v>0</v>
      </c>
      <c r="O1524" s="18" t="n"/>
      <c r="P1524" s="22">
        <f>IF(O1524="",(About!$B$5*M1524+About!$B$6*N1524)/(About!$B$5+About!$B$6),About!$B$5*M1524+About!$B$6*N1524+About!$B$7*O1524)</f>
        <v/>
      </c>
      <c r="Q1524" s="23" t="n">
        <v>31.9753</v>
      </c>
      <c r="R1524" s="23" t="n">
        <v>74.223</v>
      </c>
    </row>
    <row r="1525" ht="15" customHeight="1" s="12">
      <c r="A1525" s="18" t="inlineStr">
        <is>
          <t>Āmol</t>
        </is>
      </c>
      <c r="B1525" s="18" t="inlineStr">
        <is>
          <t>Iran</t>
        </is>
      </c>
      <c r="C1525" s="19" t="n">
        <v>87134000</v>
      </c>
      <c r="D1525" s="18" t="inlineStr">
        <is>
          <t>IR</t>
        </is>
      </c>
      <c r="E1525" s="18" t="inlineStr">
        <is>
          <t>35</t>
        </is>
      </c>
      <c r="F1525" s="20" t="n">
        <v>199382</v>
      </c>
      <c r="G1525" s="18" t="n"/>
      <c r="H1525" s="18" t="n"/>
      <c r="I1525" s="18" t="n"/>
      <c r="J1525" s="18" t="n"/>
      <c r="K1525" s="18" t="n"/>
      <c r="L1525" s="18" t="inlineStr">
        <is>
          <t>100k +  pop</t>
        </is>
      </c>
      <c r="M1525" s="22" t="n">
        <v>0</v>
      </c>
      <c r="N1525" s="22" t="n">
        <v>0</v>
      </c>
      <c r="O1525" s="18" t="n"/>
      <c r="P1525" s="22">
        <f>IF(O1525="",(About!$B$5*M1525+About!$B$6*N1525)/(About!$B$5+About!$B$6),About!$B$5*M1525+About!$B$6*N1525+About!$B$7*O1525)</f>
        <v/>
      </c>
      <c r="Q1525" s="23" t="n">
        <v>36.4696</v>
      </c>
      <c r="R1525" s="23" t="n">
        <v>52.3507</v>
      </c>
    </row>
    <row r="1526" ht="15" customHeight="1" s="12">
      <c r="A1526" s="18" t="inlineStr">
        <is>
          <t>Malolos</t>
        </is>
      </c>
      <c r="B1526" s="18" t="inlineStr">
        <is>
          <t>Philippines</t>
        </is>
      </c>
      <c r="C1526" s="19" t="n">
        <v>114123600</v>
      </c>
      <c r="D1526" s="18" t="inlineStr">
        <is>
          <t>PH</t>
        </is>
      </c>
      <c r="E1526" s="18" t="inlineStr">
        <is>
          <t>03</t>
        </is>
      </c>
      <c r="F1526" s="20" t="n">
        <v>198748</v>
      </c>
      <c r="G1526" s="18" t="n"/>
      <c r="H1526" s="18" t="n"/>
      <c r="I1526" s="18" t="n"/>
      <c r="J1526" s="18" t="n"/>
      <c r="K1526" s="18" t="n"/>
      <c r="L1526" s="18" t="inlineStr">
        <is>
          <t>100k +  pop</t>
        </is>
      </c>
      <c r="M1526" s="22" t="n">
        <v>0</v>
      </c>
      <c r="N1526" s="22" t="n">
        <v>0</v>
      </c>
      <c r="O1526" s="18" t="n"/>
      <c r="P1526" s="22">
        <f>IF(O1526="",(About!$B$5*M1526+About!$B$6*N1526)/(About!$B$5+About!$B$6),About!$B$5*M1526+About!$B$6*N1526+About!$B$7*O1526)</f>
        <v/>
      </c>
      <c r="Q1526" s="23" t="n">
        <v>14.8443</v>
      </c>
      <c r="R1526" s="23" t="n">
        <v>120.8104</v>
      </c>
    </row>
    <row r="1527" ht="15" customHeight="1" s="12">
      <c r="A1527" s="18" t="inlineStr">
        <is>
          <t>İzmit</t>
        </is>
      </c>
      <c r="B1527" s="18" t="inlineStr">
        <is>
          <t>Türkiye</t>
        </is>
      </c>
      <c r="C1527" s="19" t="n">
        <v>86092168</v>
      </c>
      <c r="D1527" s="18" t="inlineStr">
        <is>
          <t>TR</t>
        </is>
      </c>
      <c r="E1527" s="18" t="inlineStr">
        <is>
          <t>41</t>
        </is>
      </c>
      <c r="F1527" s="20" t="n">
        <v>196571</v>
      </c>
      <c r="G1527" s="18" t="n"/>
      <c r="H1527" s="18" t="n"/>
      <c r="I1527" s="18" t="n"/>
      <c r="J1527" s="18" t="n"/>
      <c r="K1527" s="18" t="n"/>
      <c r="L1527" s="18" t="inlineStr">
        <is>
          <t>100k +  pop</t>
        </is>
      </c>
      <c r="M1527" s="22" t="n">
        <v>0</v>
      </c>
      <c r="N1527" s="22" t="n">
        <v>0</v>
      </c>
      <c r="O1527" s="18" t="n"/>
      <c r="P1527" s="22">
        <f>IF(O1527="",(About!$B$5*M1527+About!$B$6*N1527)/(About!$B$5+About!$B$6),About!$B$5*M1527+About!$B$6*N1527+About!$B$7*O1527)</f>
        <v/>
      </c>
      <c r="Q1527" s="23" t="n">
        <v>40.765</v>
      </c>
      <c r="R1527" s="23" t="n">
        <v>29.9293</v>
      </c>
    </row>
    <row r="1528" ht="15" customHeight="1" s="12">
      <c r="A1528" s="18" t="inlineStr">
        <is>
          <t>Reims</t>
        </is>
      </c>
      <c r="B1528" s="18" t="inlineStr">
        <is>
          <t>France</t>
        </is>
      </c>
      <c r="C1528" s="19" t="n">
        <v>69081996</v>
      </c>
      <c r="D1528" s="18" t="inlineStr">
        <is>
          <t>FR</t>
        </is>
      </c>
      <c r="E1528" s="18" t="inlineStr">
        <is>
          <t>44</t>
        </is>
      </c>
      <c r="F1528" s="20" t="n">
        <v>196565</v>
      </c>
      <c r="G1528" s="18" t="n"/>
      <c r="H1528" s="18" t="n"/>
      <c r="I1528" s="18" t="n"/>
      <c r="J1528" s="18" t="n"/>
      <c r="K1528" s="18" t="n"/>
      <c r="L1528" s="18" t="inlineStr">
        <is>
          <t>100k +  pop</t>
        </is>
      </c>
      <c r="M1528" s="22" t="n">
        <v>0</v>
      </c>
      <c r="N1528" s="22" t="n">
        <v>0</v>
      </c>
      <c r="O1528" s="18" t="n"/>
      <c r="P1528" s="22">
        <f>IF(O1528="",(About!$B$5*M1528+About!$B$6*N1528)/(About!$B$5+About!$B$6),About!$B$5*M1528+About!$B$6*N1528+About!$B$7*O1528)</f>
        <v/>
      </c>
      <c r="Q1528" s="23" t="n">
        <v>49.2653</v>
      </c>
      <c r="R1528" s="23" t="n">
        <v>4.0285</v>
      </c>
    </row>
    <row r="1529" ht="15" customHeight="1" s="12">
      <c r="A1529" s="18" t="inlineStr">
        <is>
          <t>Icheon-si</t>
        </is>
      </c>
      <c r="B1529" s="18" t="inlineStr">
        <is>
          <t>South Korea</t>
        </is>
      </c>
      <c r="C1529" s="19" t="n">
        <v>51111158</v>
      </c>
      <c r="D1529" s="18" t="inlineStr">
        <is>
          <t>KR</t>
        </is>
      </c>
      <c r="E1529" s="18" t="inlineStr">
        <is>
          <t>13</t>
        </is>
      </c>
      <c r="F1529" s="20" t="n">
        <v>196230</v>
      </c>
      <c r="G1529" s="18" t="n"/>
      <c r="H1529" s="18" t="n"/>
      <c r="I1529" s="18" t="n"/>
      <c r="J1529" s="18" t="n"/>
      <c r="K1529" s="18" t="n"/>
      <c r="L1529" s="18" t="inlineStr">
        <is>
          <t>100k +  pop</t>
        </is>
      </c>
      <c r="M1529" s="22" t="n">
        <v>0</v>
      </c>
      <c r="N1529" s="22" t="n">
        <v>0</v>
      </c>
      <c r="O1529" s="18" t="n"/>
      <c r="P1529" s="22">
        <f>IF(O1529="",(About!$B$5*M1529+About!$B$6*N1529)/(About!$B$5+About!$B$6),About!$B$5*M1529+About!$B$6*N1529+About!$B$7*O1529)</f>
        <v/>
      </c>
      <c r="Q1529" s="23" t="n">
        <v>37.2792</v>
      </c>
      <c r="R1529" s="23" t="n">
        <v>127.4425</v>
      </c>
    </row>
    <row r="1530" ht="15" customHeight="1" s="12">
      <c r="A1530" s="18" t="inlineStr">
        <is>
          <t>Yamoussoukro</t>
        </is>
      </c>
      <c r="B1530" s="18" t="inlineStr">
        <is>
          <t>Côte d'Ivoire</t>
        </is>
      </c>
      <c r="C1530" s="19" t="n">
        <v>31719275</v>
      </c>
      <c r="D1530" s="18" t="inlineStr">
        <is>
          <t>CI</t>
        </is>
      </c>
      <c r="E1530" s="18" t="inlineStr">
        <is>
          <t>81</t>
        </is>
      </c>
      <c r="F1530" s="20" t="n">
        <v>194530</v>
      </c>
      <c r="G1530" s="18" t="inlineStr">
        <is>
          <t>Yes</t>
        </is>
      </c>
      <c r="H1530" s="18" t="n"/>
      <c r="I1530" s="18" t="n"/>
      <c r="J1530" s="18" t="n"/>
      <c r="K1530" s="18" t="n"/>
      <c r="L1530" s="18" t="inlineStr">
        <is>
          <t>100k +  pop + capital</t>
        </is>
      </c>
      <c r="M1530" s="22" t="n">
        <v>0</v>
      </c>
      <c r="N1530" s="22" t="n">
        <v>0</v>
      </c>
      <c r="O1530" s="18" t="n"/>
      <c r="P1530" s="22">
        <f>IF(O1530="",(About!$B$5*M1530+About!$B$6*N1530)/(About!$B$5+About!$B$6),About!$B$5*M1530+About!$B$6*N1530+About!$B$7*O1530)</f>
        <v/>
      </c>
      <c r="Q1530" s="23" t="n">
        <v>6.8205</v>
      </c>
      <c r="R1530" s="23" t="n">
        <v>-5.2767</v>
      </c>
    </row>
    <row r="1531" ht="15" customHeight="1" s="12">
      <c r="A1531" s="18" t="inlineStr">
        <is>
          <t>Portsmouth</t>
        </is>
      </c>
      <c r="B1531" s="18" t="inlineStr">
        <is>
          <t>United Kingdom</t>
        </is>
      </c>
      <c r="C1531" s="19" t="n">
        <v>69487000</v>
      </c>
      <c r="D1531" s="18" t="inlineStr">
        <is>
          <t>GB</t>
        </is>
      </c>
      <c r="E1531" s="18" t="inlineStr">
        <is>
          <t>ENG</t>
        </is>
      </c>
      <c r="F1531" s="20" t="n">
        <v>194150</v>
      </c>
      <c r="G1531" s="18" t="n"/>
      <c r="H1531" s="18" t="n"/>
      <c r="I1531" s="18" t="n"/>
      <c r="J1531" s="18" t="n"/>
      <c r="K1531" s="18" t="n"/>
      <c r="L1531" s="18" t="inlineStr">
        <is>
          <t>100k +  pop</t>
        </is>
      </c>
      <c r="M1531" s="22" t="n">
        <v>0</v>
      </c>
      <c r="N1531" s="22" t="n">
        <v>0</v>
      </c>
      <c r="O1531" s="18" t="n"/>
      <c r="P1531" s="22">
        <f>IF(O1531="",(About!$B$5*M1531+About!$B$6*N1531)/(About!$B$5+About!$B$6),About!$B$5*M1531+About!$B$6*N1531+About!$B$7*O1531)</f>
        <v/>
      </c>
      <c r="Q1531" s="23" t="n">
        <v>50.799</v>
      </c>
      <c r="R1531" s="23" t="n">
        <v>-1.0913</v>
      </c>
    </row>
    <row r="1532" ht="15" customHeight="1" s="12">
      <c r="A1532" s="18" t="inlineStr">
        <is>
          <t>Nam Định</t>
        </is>
      </c>
      <c r="B1532" s="18" t="inlineStr">
        <is>
          <t>Vietnam</t>
        </is>
      </c>
      <c r="C1532" s="19" t="n">
        <v>102300000</v>
      </c>
      <c r="D1532" s="18" t="inlineStr">
        <is>
          <t>VN</t>
        </is>
      </c>
      <c r="E1532" s="18" t="inlineStr">
        <is>
          <t>82</t>
        </is>
      </c>
      <c r="F1532" s="20" t="n">
        <v>193499</v>
      </c>
      <c r="G1532" s="18" t="n"/>
      <c r="H1532" s="18" t="n"/>
      <c r="I1532" s="18" t="n"/>
      <c r="J1532" s="18" t="n"/>
      <c r="K1532" s="18" t="n"/>
      <c r="L1532" s="18" t="inlineStr">
        <is>
          <t>100k +  pop</t>
        </is>
      </c>
      <c r="M1532" s="22" t="n">
        <v>0</v>
      </c>
      <c r="N1532" s="22" t="n">
        <v>0</v>
      </c>
      <c r="O1532" s="18" t="n"/>
      <c r="P1532" s="22">
        <f>IF(O1532="",(About!$B$5*M1532+About!$B$6*N1532)/(About!$B$5+About!$B$6),About!$B$5*M1532+About!$B$6*N1532+About!$B$7*O1532)</f>
        <v/>
      </c>
      <c r="Q1532" s="23" t="n">
        <v>20.4339</v>
      </c>
      <c r="R1532" s="23" t="n">
        <v>106.1773</v>
      </c>
    </row>
    <row r="1533" ht="15" customHeight="1" s="12">
      <c r="A1533" s="18" t="inlineStr">
        <is>
          <t>Uji</t>
        </is>
      </c>
      <c r="B1533" s="18" t="inlineStr">
        <is>
          <t>Japan</t>
        </is>
      </c>
      <c r="C1533" s="19" t="n">
        <v>122810000</v>
      </c>
      <c r="D1533" s="18" t="inlineStr">
        <is>
          <t>JP</t>
        </is>
      </c>
      <c r="E1533" s="18" t="inlineStr">
        <is>
          <t>22</t>
        </is>
      </c>
      <c r="F1533" s="20" t="n">
        <v>192925</v>
      </c>
      <c r="G1533" s="18" t="n"/>
      <c r="H1533" s="18" t="n"/>
      <c r="I1533" s="18" t="n"/>
      <c r="J1533" s="18" t="n"/>
      <c r="K1533" s="18" t="n"/>
      <c r="L1533" s="18" t="inlineStr">
        <is>
          <t>100k +  pop</t>
        </is>
      </c>
      <c r="M1533" s="22" t="n">
        <v>0</v>
      </c>
      <c r="N1533" s="22" t="n">
        <v>0</v>
      </c>
      <c r="O1533" s="18" t="n"/>
      <c r="P1533" s="22">
        <f>IF(O1533="",(About!$B$5*M1533+About!$B$6*N1533)/(About!$B$5+About!$B$6),About!$B$5*M1533+About!$B$6*N1533+About!$B$7*O1533)</f>
        <v/>
      </c>
      <c r="Q1533" s="23" t="n">
        <v>34.8904</v>
      </c>
      <c r="R1533" s="23" t="n">
        <v>135.8032</v>
      </c>
    </row>
    <row r="1534" ht="15" customHeight="1" s="12">
      <c r="A1534" s="18" t="inlineStr">
        <is>
          <t>Pār Naogaon</t>
        </is>
      </c>
      <c r="B1534" s="18" t="inlineStr">
        <is>
          <t>Bangladesh</t>
        </is>
      </c>
      <c r="C1534" s="19" t="n">
        <v>169828911</v>
      </c>
      <c r="D1534" s="18" t="inlineStr">
        <is>
          <t>BD</t>
        </is>
      </c>
      <c r="E1534" s="18" t="inlineStr">
        <is>
          <t>83</t>
        </is>
      </c>
      <c r="F1534" s="20" t="n">
        <v>192464</v>
      </c>
      <c r="G1534" s="18" t="n"/>
      <c r="H1534" s="18" t="n"/>
      <c r="I1534" s="18" t="n"/>
      <c r="J1534" s="18" t="n"/>
      <c r="K1534" s="18" t="n"/>
      <c r="L1534" s="18" t="inlineStr">
        <is>
          <t>100k +  pop</t>
        </is>
      </c>
      <c r="M1534" s="22" t="n">
        <v>0</v>
      </c>
      <c r="N1534" s="22" t="n">
        <v>0</v>
      </c>
      <c r="O1534" s="18" t="n"/>
      <c r="P1534" s="22">
        <f>IF(O1534="",(About!$B$5*M1534+About!$B$6*N1534)/(About!$B$5+About!$B$6),About!$B$5*M1534+About!$B$6*N1534+About!$B$7*O1534)</f>
        <v/>
      </c>
      <c r="Q1534" s="23" t="n">
        <v>24.8042</v>
      </c>
      <c r="R1534" s="23" t="n">
        <v>88.94880000000001</v>
      </c>
    </row>
    <row r="1535" ht="15" customHeight="1" s="12">
      <c r="A1535" s="18" t="inlineStr">
        <is>
          <t>Klaipėda</t>
        </is>
      </c>
      <c r="B1535" s="18" t="inlineStr">
        <is>
          <t>Lithuania</t>
        </is>
      </c>
      <c r="C1535" s="19" t="n">
        <v>2884324</v>
      </c>
      <c r="D1535" s="18" t="inlineStr">
        <is>
          <t>LT</t>
        </is>
      </c>
      <c r="E1535" s="18" t="inlineStr">
        <is>
          <t>58</t>
        </is>
      </c>
      <c r="F1535" s="20" t="n">
        <v>192307</v>
      </c>
      <c r="G1535" s="18" t="n"/>
      <c r="H1535" s="18" t="n"/>
      <c r="I1535" s="18" t="n"/>
      <c r="J1535" s="18" t="n"/>
      <c r="K1535" s="18" t="n"/>
      <c r="L1535" s="18" t="inlineStr">
        <is>
          <t>100k +  pop</t>
        </is>
      </c>
      <c r="M1535" s="22" t="n">
        <v>0</v>
      </c>
      <c r="N1535" s="22" t="n">
        <v>0</v>
      </c>
      <c r="O1535" s="18" t="n"/>
      <c r="P1535" s="22">
        <f>IF(O1535="",(About!$B$5*M1535+About!$B$6*N1535)/(About!$B$5+About!$B$6),About!$B$5*M1535+About!$B$6*N1535+About!$B$7*O1535)</f>
        <v/>
      </c>
      <c r="Q1535" s="23" t="n">
        <v>55.7068</v>
      </c>
      <c r="R1535" s="23" t="n">
        <v>21.1391</v>
      </c>
    </row>
    <row r="1536" ht="15" customHeight="1" s="12">
      <c r="A1536" s="18" t="inlineStr">
        <is>
          <t>Sidi Bel Abbès</t>
        </is>
      </c>
      <c r="B1536" s="18" t="inlineStr">
        <is>
          <t>Algeria</t>
        </is>
      </c>
      <c r="C1536" s="19" t="n">
        <v>47400000</v>
      </c>
      <c r="D1536" s="18" t="inlineStr">
        <is>
          <t>DZ</t>
        </is>
      </c>
      <c r="E1536" s="18" t="inlineStr">
        <is>
          <t>30</t>
        </is>
      </c>
      <c r="F1536" s="20" t="n">
        <v>191769</v>
      </c>
      <c r="G1536" s="18" t="n"/>
      <c r="H1536" s="18" t="n"/>
      <c r="I1536" s="18" t="n"/>
      <c r="J1536" s="18" t="n"/>
      <c r="K1536" s="18" t="n"/>
      <c r="L1536" s="18" t="inlineStr">
        <is>
          <t>100k +  pop</t>
        </is>
      </c>
      <c r="M1536" s="22" t="n">
        <v>0</v>
      </c>
      <c r="N1536" s="22" t="n">
        <v>0</v>
      </c>
      <c r="O1536" s="18" t="n"/>
      <c r="P1536" s="22">
        <f>IF(O1536="",(About!$B$5*M1536+About!$B$6*N1536)/(About!$B$5+About!$B$6),About!$B$5*M1536+About!$B$6*N1536+About!$B$7*O1536)</f>
        <v/>
      </c>
      <c r="Q1536" s="23" t="n">
        <v>35.1899</v>
      </c>
      <c r="R1536" s="23" t="n">
        <v>-0.6309</v>
      </c>
    </row>
    <row r="1537" ht="15" customHeight="1" s="12">
      <c r="A1537" s="18" t="inlineStr">
        <is>
          <t>Ormoc</t>
        </is>
      </c>
      <c r="B1537" s="18" t="inlineStr">
        <is>
          <t>Philippines</t>
        </is>
      </c>
      <c r="C1537" s="19" t="n">
        <v>114123600</v>
      </c>
      <c r="D1537" s="18" t="inlineStr">
        <is>
          <t>PH</t>
        </is>
      </c>
      <c r="E1537" s="18" t="inlineStr">
        <is>
          <t>08</t>
        </is>
      </c>
      <c r="F1537" s="20" t="n">
        <v>191200</v>
      </c>
      <c r="G1537" s="18" t="n"/>
      <c r="H1537" s="18" t="n"/>
      <c r="I1537" s="18" t="n"/>
      <c r="J1537" s="18" t="n"/>
      <c r="K1537" s="18" t="n"/>
      <c r="L1537" s="18" t="inlineStr">
        <is>
          <t>100k +  pop</t>
        </is>
      </c>
      <c r="M1537" s="22" t="n">
        <v>0</v>
      </c>
      <c r="N1537" s="22" t="n">
        <v>0</v>
      </c>
      <c r="O1537" s="18" t="n"/>
      <c r="P1537" s="22">
        <f>IF(O1537="",(About!$B$5*M1537+About!$B$6*N1537)/(About!$B$5+About!$B$6),About!$B$5*M1537+About!$B$6*N1537+About!$B$7*O1537)</f>
        <v/>
      </c>
      <c r="Q1537" s="23" t="n">
        <v>11.0064</v>
      </c>
      <c r="R1537" s="23" t="n">
        <v>124.6075</v>
      </c>
    </row>
    <row r="1538" ht="15" customHeight="1" s="12">
      <c r="A1538" s="18" t="inlineStr">
        <is>
          <t>Al Fallūjah</t>
        </is>
      </c>
      <c r="B1538" s="18" t="inlineStr">
        <is>
          <t>Iraq</t>
        </is>
      </c>
      <c r="C1538" s="19" t="n">
        <v>46118793</v>
      </c>
      <c r="D1538" s="18" t="inlineStr">
        <is>
          <t>IQ</t>
        </is>
      </c>
      <c r="E1538" s="18" t="inlineStr">
        <is>
          <t>01</t>
        </is>
      </c>
      <c r="F1538" s="20" t="n">
        <v>190159</v>
      </c>
      <c r="G1538" s="18" t="n"/>
      <c r="H1538" s="18" t="n"/>
      <c r="I1538" s="18" t="n"/>
      <c r="J1538" s="18" t="n"/>
      <c r="K1538" s="18" t="n"/>
      <c r="L1538" s="18" t="inlineStr">
        <is>
          <t>100k +  pop</t>
        </is>
      </c>
      <c r="M1538" s="22" t="n">
        <v>0</v>
      </c>
      <c r="N1538" s="22" t="n">
        <v>0</v>
      </c>
      <c r="O1538" s="18" t="n"/>
      <c r="P1538" s="22">
        <f>IF(O1538="",(About!$B$5*M1538+About!$B$6*N1538)/(About!$B$5+About!$B$6),About!$B$5*M1538+About!$B$6*N1538+About!$B$7*O1538)</f>
        <v/>
      </c>
      <c r="Q1538" s="23" t="n">
        <v>33.3491</v>
      </c>
      <c r="R1538" s="23" t="n">
        <v>43.786</v>
      </c>
    </row>
    <row r="1539" ht="15" customHeight="1" s="12">
      <c r="A1539" s="18" t="inlineStr">
        <is>
          <t>Paarl</t>
        </is>
      </c>
      <c r="B1539" s="18" t="inlineStr">
        <is>
          <t>South Africa</t>
        </is>
      </c>
      <c r="C1539" s="19" t="n">
        <v>63100945</v>
      </c>
      <c r="D1539" s="18" t="inlineStr">
        <is>
          <t>ZA</t>
        </is>
      </c>
      <c r="E1539" s="18" t="inlineStr">
        <is>
          <t>11</t>
        </is>
      </c>
      <c r="F1539" s="20" t="n">
        <v>190000</v>
      </c>
      <c r="G1539" s="18" t="n"/>
      <c r="H1539" s="18" t="n"/>
      <c r="I1539" s="18" t="n"/>
      <c r="J1539" s="18" t="n"/>
      <c r="K1539" s="18" t="n"/>
      <c r="L1539" s="18" t="inlineStr">
        <is>
          <t>100k +  pop</t>
        </is>
      </c>
      <c r="M1539" s="22" t="n">
        <v>0</v>
      </c>
      <c r="N1539" s="22" t="n">
        <v>0</v>
      </c>
      <c r="O1539" s="18" t="n"/>
      <c r="P1539" s="22">
        <f>IF(O1539="",(About!$B$5*M1539+About!$B$6*N1539)/(About!$B$5+About!$B$6),About!$B$5*M1539+About!$B$6*N1539+About!$B$7*O1539)</f>
        <v/>
      </c>
      <c r="Q1539" s="23" t="n">
        <v>-33.7338</v>
      </c>
      <c r="R1539" s="23" t="n">
        <v>18.9752</v>
      </c>
    </row>
    <row r="1540" ht="15" customHeight="1" s="12">
      <c r="A1540" s="18" t="inlineStr">
        <is>
          <t>Banī Suwayf</t>
        </is>
      </c>
      <c r="B1540" s="18" t="inlineStr">
        <is>
          <t>Egypt</t>
        </is>
      </c>
      <c r="C1540" s="19" t="n">
        <v>108613296</v>
      </c>
      <c r="D1540" s="18" t="inlineStr">
        <is>
          <t>EG</t>
        </is>
      </c>
      <c r="E1540" s="18" t="inlineStr">
        <is>
          <t>18</t>
        </is>
      </c>
      <c r="F1540" s="20" t="n">
        <v>189624</v>
      </c>
      <c r="G1540" s="18" t="n"/>
      <c r="H1540" s="18" t="n"/>
      <c r="I1540" s="18" t="n"/>
      <c r="J1540" s="18" t="n"/>
      <c r="K1540" s="18" t="n"/>
      <c r="L1540" s="18" t="inlineStr">
        <is>
          <t>100k +  pop</t>
        </is>
      </c>
      <c r="M1540" s="22" t="n">
        <v>0</v>
      </c>
      <c r="N1540" s="22" t="n">
        <v>0</v>
      </c>
      <c r="O1540" s="18" t="n"/>
      <c r="P1540" s="22">
        <f>IF(O1540="",(About!$B$5*M1540+About!$B$6*N1540)/(About!$B$5+About!$B$6),About!$B$5*M1540+About!$B$6*N1540+About!$B$7*O1540)</f>
        <v/>
      </c>
      <c r="Q1540" s="23" t="n">
        <v>29.0744</v>
      </c>
      <c r="R1540" s="23" t="n">
        <v>31.0979</v>
      </c>
    </row>
    <row r="1541" ht="15" customHeight="1" s="12">
      <c r="A1541" s="18" t="inlineStr">
        <is>
          <t>Mwene-Ditu</t>
        </is>
      </c>
      <c r="B1541" s="18" t="inlineStr">
        <is>
          <t>DR Congo</t>
        </is>
      </c>
      <c r="C1541" s="19" t="n">
        <v>112832000</v>
      </c>
      <c r="D1541" s="18" t="inlineStr">
        <is>
          <t>CD</t>
        </is>
      </c>
      <c r="E1541" s="18" t="inlineStr">
        <is>
          <t>21</t>
        </is>
      </c>
      <c r="F1541" s="20" t="n">
        <v>189177</v>
      </c>
      <c r="G1541" s="18" t="n"/>
      <c r="H1541" s="18" t="n"/>
      <c r="I1541" s="18" t="n"/>
      <c r="J1541" s="18" t="n"/>
      <c r="K1541" s="18" t="n"/>
      <c r="L1541" s="18" t="inlineStr">
        <is>
          <t>100k +  pop</t>
        </is>
      </c>
      <c r="M1541" s="22" t="n">
        <v>0</v>
      </c>
      <c r="N1541" s="22" t="n">
        <v>0</v>
      </c>
      <c r="O1541" s="18" t="n"/>
      <c r="P1541" s="22">
        <f>IF(O1541="",(About!$B$5*M1541+About!$B$6*N1541)/(About!$B$5+About!$B$6),About!$B$5*M1541+About!$B$6*N1541+About!$B$7*O1541)</f>
        <v/>
      </c>
      <c r="Q1541" s="23" t="n">
        <v>-7.0091</v>
      </c>
      <c r="R1541" s="23" t="n">
        <v>23.4528</v>
      </c>
    </row>
    <row r="1542" ht="15" customHeight="1" s="12">
      <c r="A1542" s="18" t="inlineStr">
        <is>
          <t>Trieste</t>
        </is>
      </c>
      <c r="B1542" s="18" t="inlineStr">
        <is>
          <t>Italy</t>
        </is>
      </c>
      <c r="C1542" s="19" t="n">
        <v>58932330</v>
      </c>
      <c r="D1542" s="18" t="inlineStr">
        <is>
          <t>IT</t>
        </is>
      </c>
      <c r="E1542" s="18" t="inlineStr">
        <is>
          <t>06</t>
        </is>
      </c>
      <c r="F1542" s="20" t="n">
        <v>187056</v>
      </c>
      <c r="G1542" s="18" t="n"/>
      <c r="H1542" s="18" t="n"/>
      <c r="I1542" s="18" t="n"/>
      <c r="J1542" s="18" t="n"/>
      <c r="K1542" s="18" t="n"/>
      <c r="L1542" s="18" t="inlineStr">
        <is>
          <t>100k +  pop</t>
        </is>
      </c>
      <c r="M1542" s="22" t="n">
        <v>0</v>
      </c>
      <c r="N1542" s="22" t="n">
        <v>0</v>
      </c>
      <c r="O1542" s="18" t="n"/>
      <c r="P1542" s="22">
        <f>IF(O1542="",(About!$B$5*M1542+About!$B$6*N1542)/(About!$B$5+About!$B$6),About!$B$5*M1542+About!$B$6*N1542+About!$B$7*O1542)</f>
        <v/>
      </c>
      <c r="Q1542" s="23" t="n">
        <v>45.6495</v>
      </c>
      <c r="R1542" s="23" t="n">
        <v>13.7768</v>
      </c>
    </row>
    <row r="1543" ht="15" customHeight="1" s="12">
      <c r="A1543" s="18" t="inlineStr">
        <is>
          <t>Kikwit</t>
        </is>
      </c>
      <c r="B1543" s="18" t="inlineStr">
        <is>
          <t>DR Congo</t>
        </is>
      </c>
      <c r="C1543" s="19" t="n">
        <v>112832000</v>
      </c>
      <c r="D1543" s="18" t="inlineStr">
        <is>
          <t>CD</t>
        </is>
      </c>
      <c r="E1543" s="18" t="inlineStr">
        <is>
          <t>20</t>
        </is>
      </c>
      <c r="F1543" s="20" t="n">
        <v>186991</v>
      </c>
      <c r="G1543" s="18" t="n"/>
      <c r="H1543" s="18" t="inlineStr">
        <is>
          <t>KKW</t>
        </is>
      </c>
      <c r="I1543" s="18" t="inlineStr">
        <is>
          <t>Kikwit Airport</t>
        </is>
      </c>
      <c r="J1543" s="21" t="n">
        <v>3.4</v>
      </c>
      <c r="K1543" s="18" t="inlineStr">
        <is>
          <t>KKW</t>
        </is>
      </c>
      <c r="L1543" s="18" t="inlineStr">
        <is>
          <t>100k +  pop + airport</t>
        </is>
      </c>
      <c r="M1543" s="22" t="n">
        <v>0</v>
      </c>
      <c r="N1543" s="22" t="n">
        <v>0</v>
      </c>
      <c r="O1543" s="18" t="n"/>
      <c r="P1543" s="22">
        <f>IF(O1543="",(About!$B$5*M1543+About!$B$6*N1543)/(About!$B$5+About!$B$6),About!$B$5*M1543+About!$B$6*N1543+About!$B$7*O1543)</f>
        <v/>
      </c>
      <c r="Q1543" s="23" t="n">
        <v>-5.041</v>
      </c>
      <c r="R1543" s="23" t="n">
        <v>18.8162</v>
      </c>
    </row>
    <row r="1544" ht="15" customHeight="1" s="12">
      <c r="A1544" s="18" t="inlineStr">
        <is>
          <t>Pābna</t>
        </is>
      </c>
      <c r="B1544" s="18" t="inlineStr">
        <is>
          <t>Bangladesh</t>
        </is>
      </c>
      <c r="C1544" s="19" t="n">
        <v>169828911</v>
      </c>
      <c r="D1544" s="18" t="inlineStr">
        <is>
          <t>BD</t>
        </is>
      </c>
      <c r="E1544" s="18" t="inlineStr">
        <is>
          <t>83</t>
        </is>
      </c>
      <c r="F1544" s="20" t="n">
        <v>186781</v>
      </c>
      <c r="G1544" s="18" t="n"/>
      <c r="H1544" s="18" t="n"/>
      <c r="I1544" s="18" t="n"/>
      <c r="J1544" s="18" t="n"/>
      <c r="K1544" s="18" t="n"/>
      <c r="L1544" s="18" t="inlineStr">
        <is>
          <t>100k +  pop</t>
        </is>
      </c>
      <c r="M1544" s="22" t="n">
        <v>0</v>
      </c>
      <c r="N1544" s="22" t="n">
        <v>0</v>
      </c>
      <c r="O1544" s="18" t="n"/>
      <c r="P1544" s="22">
        <f>IF(O1544="",(About!$B$5*M1544+About!$B$6*N1544)/(About!$B$5+About!$B$6),About!$B$5*M1544+About!$B$6*N1544+About!$B$7*O1544)</f>
        <v/>
      </c>
      <c r="Q1544" s="23" t="n">
        <v>24.0064</v>
      </c>
      <c r="R1544" s="23" t="n">
        <v>89.2372</v>
      </c>
    </row>
    <row r="1545" ht="15" customHeight="1" s="12">
      <c r="A1545" s="18" t="inlineStr">
        <is>
          <t>Cienfuegos</t>
        </is>
      </c>
      <c r="B1545" s="18" t="inlineStr">
        <is>
          <t>Cuba</t>
        </is>
      </c>
      <c r="C1545" s="19" t="n">
        <v>9748007</v>
      </c>
      <c r="D1545" s="18" t="inlineStr">
        <is>
          <t>CU</t>
        </is>
      </c>
      <c r="E1545" s="18" t="inlineStr">
        <is>
          <t>08</t>
        </is>
      </c>
      <c r="F1545" s="20" t="n">
        <v>186644</v>
      </c>
      <c r="G1545" s="18" t="n"/>
      <c r="H1545" s="18" t="inlineStr">
        <is>
          <t>CFG</t>
        </is>
      </c>
      <c r="I1545" s="18" t="inlineStr">
        <is>
          <t>Jaime Gonzalez Airport</t>
        </is>
      </c>
      <c r="J1545" s="21" t="n">
        <v>3.3</v>
      </c>
      <c r="K1545" s="18" t="inlineStr">
        <is>
          <t>CFG</t>
        </is>
      </c>
      <c r="L1545" s="18" t="inlineStr">
        <is>
          <t>100k +  pop + airport</t>
        </is>
      </c>
      <c r="M1545" s="22" t="n">
        <v>0</v>
      </c>
      <c r="N1545" s="22" t="n">
        <v>0</v>
      </c>
      <c r="O1545" s="18" t="n"/>
      <c r="P1545" s="22">
        <f>IF(O1545="",(About!$B$5*M1545+About!$B$6*N1545)/(About!$B$5+About!$B$6),About!$B$5*M1545+About!$B$6*N1545+About!$B$7*O1545)</f>
        <v/>
      </c>
      <c r="Q1545" s="23" t="n">
        <v>22.1496</v>
      </c>
      <c r="R1545" s="23" t="n">
        <v>-80.4466</v>
      </c>
    </row>
    <row r="1546" ht="15" customHeight="1" s="12">
      <c r="A1546" s="18" t="inlineStr">
        <is>
          <t>Shibīn al Kawm</t>
        </is>
      </c>
      <c r="B1546" s="18" t="inlineStr">
        <is>
          <t>Egypt</t>
        </is>
      </c>
      <c r="C1546" s="19" t="n">
        <v>108613296</v>
      </c>
      <c r="D1546" s="18" t="inlineStr">
        <is>
          <t>EG</t>
        </is>
      </c>
      <c r="E1546" s="18" t="inlineStr">
        <is>
          <t>09</t>
        </is>
      </c>
      <c r="F1546" s="20" t="n">
        <v>186345</v>
      </c>
      <c r="G1546" s="18" t="n"/>
      <c r="H1546" s="18" t="n"/>
      <c r="I1546" s="18" t="n"/>
      <c r="J1546" s="18" t="n"/>
      <c r="K1546" s="18" t="n"/>
      <c r="L1546" s="18" t="inlineStr">
        <is>
          <t>100k +  pop</t>
        </is>
      </c>
      <c r="M1546" s="22" t="n">
        <v>0</v>
      </c>
      <c r="N1546" s="22" t="n">
        <v>0</v>
      </c>
      <c r="O1546" s="18" t="n"/>
      <c r="P1546" s="22">
        <f>IF(O1546="",(About!$B$5*M1546+About!$B$6*N1546)/(About!$B$5+About!$B$6),About!$B$5*M1546+About!$B$6*N1546+About!$B$7*O1546)</f>
        <v/>
      </c>
      <c r="Q1546" s="23" t="n">
        <v>30.5526</v>
      </c>
      <c r="R1546" s="23" t="n">
        <v>31.009</v>
      </c>
    </row>
    <row r="1547" ht="15" customHeight="1" s="12">
      <c r="A1547" s="18" t="inlineStr">
        <is>
          <t>Antsirabe</t>
        </is>
      </c>
      <c r="B1547" s="18" t="inlineStr">
        <is>
          <t>Madagascar</t>
        </is>
      </c>
      <c r="C1547" s="19" t="n">
        <v>31727042</v>
      </c>
      <c r="D1547" s="18" t="inlineStr">
        <is>
          <t>MG</t>
        </is>
      </c>
      <c r="E1547" s="18" t="inlineStr">
        <is>
          <t>12</t>
        </is>
      </c>
      <c r="F1547" s="20" t="n">
        <v>186253</v>
      </c>
      <c r="G1547" s="18" t="n"/>
      <c r="H1547" s="18" t="n"/>
      <c r="I1547" s="18" t="n"/>
      <c r="J1547" s="18" t="n"/>
      <c r="K1547" s="18" t="n"/>
      <c r="L1547" s="18" t="inlineStr">
        <is>
          <t>100k +  pop</t>
        </is>
      </c>
      <c r="M1547" s="22" t="n">
        <v>0</v>
      </c>
      <c r="N1547" s="22" t="n">
        <v>0</v>
      </c>
      <c r="O1547" s="18" t="n"/>
      <c r="P1547" s="22">
        <f>IF(O1547="",(About!$B$5*M1547+About!$B$6*N1547)/(About!$B$5+About!$B$6),About!$B$5*M1547+About!$B$6*N1547+About!$B$7*O1547)</f>
        <v/>
      </c>
      <c r="Q1547" s="23" t="n">
        <v>-19.8659</v>
      </c>
      <c r="R1547" s="23" t="n">
        <v>47.0333</v>
      </c>
    </row>
    <row r="1548" ht="15" customHeight="1" s="12">
      <c r="A1548" s="18" t="inlineStr">
        <is>
          <t>Ad-Damazin</t>
        </is>
      </c>
      <c r="B1548" s="18" t="inlineStr">
        <is>
          <t>Sudan</t>
        </is>
      </c>
      <c r="C1548" s="19" t="n">
        <v>51662000</v>
      </c>
      <c r="D1548" s="18" t="inlineStr">
        <is>
          <t>SD</t>
        </is>
      </c>
      <c r="E1548" s="18" t="inlineStr">
        <is>
          <t>42</t>
        </is>
      </c>
      <c r="F1548" s="20" t="n">
        <v>186051</v>
      </c>
      <c r="G1548" s="18" t="n"/>
      <c r="H1548" s="18" t="n"/>
      <c r="I1548" s="18" t="n"/>
      <c r="J1548" s="18" t="n"/>
      <c r="K1548" s="18" t="n"/>
      <c r="L1548" s="18" t="inlineStr">
        <is>
          <t>100k +  pop</t>
        </is>
      </c>
      <c r="M1548" s="22" t="n">
        <v>0</v>
      </c>
      <c r="N1548" s="22" t="n">
        <v>0</v>
      </c>
      <c r="O1548" s="18" t="n"/>
      <c r="P1548" s="22">
        <f>IF(O1548="",(About!$B$5*M1548+About!$B$6*N1548)/(About!$B$5+About!$B$6),About!$B$5*M1548+About!$B$6*N1548+About!$B$7*O1548)</f>
        <v/>
      </c>
      <c r="Q1548" s="23" t="n">
        <v>11.7891</v>
      </c>
      <c r="R1548" s="23" t="n">
        <v>34.3592</v>
      </c>
    </row>
    <row r="1549" ht="15" customHeight="1" s="12">
      <c r="A1549" s="18" t="inlineStr">
        <is>
          <t>Swindon</t>
        </is>
      </c>
      <c r="B1549" s="18" t="inlineStr">
        <is>
          <t>United Kingdom</t>
        </is>
      </c>
      <c r="C1549" s="19" t="n">
        <v>69487000</v>
      </c>
      <c r="D1549" s="18" t="inlineStr">
        <is>
          <t>GB</t>
        </is>
      </c>
      <c r="E1549" s="18" t="inlineStr">
        <is>
          <t>ENG</t>
        </is>
      </c>
      <c r="F1549" s="20" t="n">
        <v>185609</v>
      </c>
      <c r="G1549" s="18" t="n"/>
      <c r="H1549" s="18" t="n"/>
      <c r="I1549" s="18" t="n"/>
      <c r="J1549" s="18" t="n"/>
      <c r="K1549" s="18" t="n"/>
      <c r="L1549" s="18" t="inlineStr">
        <is>
          <t>100k +  pop</t>
        </is>
      </c>
      <c r="M1549" s="22" t="n">
        <v>0</v>
      </c>
      <c r="N1549" s="22" t="n">
        <v>0</v>
      </c>
      <c r="O1549" s="18" t="n"/>
      <c r="P1549" s="22">
        <f>IF(O1549="",(About!$B$5*M1549+About!$B$6*N1549)/(About!$B$5+About!$B$6),About!$B$5*M1549+About!$B$6*N1549+About!$B$7*O1549)</f>
        <v/>
      </c>
      <c r="Q1549" s="23" t="n">
        <v>51.558</v>
      </c>
      <c r="R1549" s="23" t="n">
        <v>-1.7812</v>
      </c>
    </row>
    <row r="1550" ht="15" customHeight="1" s="12">
      <c r="A1550" s="18" t="inlineStr">
        <is>
          <t>Richmond Hill</t>
        </is>
      </c>
      <c r="B1550" s="18" t="inlineStr">
        <is>
          <t>Canada</t>
        </is>
      </c>
      <c r="C1550" s="19" t="n">
        <v>41472081</v>
      </c>
      <c r="D1550" s="18" t="inlineStr">
        <is>
          <t>CA</t>
        </is>
      </c>
      <c r="E1550" s="18" t="inlineStr">
        <is>
          <t>08</t>
        </is>
      </c>
      <c r="F1550" s="20" t="n">
        <v>185541</v>
      </c>
      <c r="G1550" s="18" t="n"/>
      <c r="H1550" s="18" t="n"/>
      <c r="I1550" s="18" t="n"/>
      <c r="J1550" s="18" t="n"/>
      <c r="K1550" s="18" t="n"/>
      <c r="L1550" s="18" t="inlineStr">
        <is>
          <t>100k +  pop</t>
        </is>
      </c>
      <c r="M1550" s="22" t="n">
        <v>0</v>
      </c>
      <c r="N1550" s="22" t="n">
        <v>0</v>
      </c>
      <c r="O1550" s="18" t="n"/>
      <c r="P1550" s="22">
        <f>IF(O1550="",(About!$B$5*M1550+About!$B$6*N1550)/(About!$B$5+About!$B$6),About!$B$5*M1550+About!$B$6*N1550+About!$B$7*O1550)</f>
        <v/>
      </c>
      <c r="Q1550" s="23" t="n">
        <v>43.8711</v>
      </c>
      <c r="R1550" s="23" t="n">
        <v>-79.43729999999999</v>
      </c>
    </row>
    <row r="1551" ht="15" customHeight="1" s="12">
      <c r="A1551" s="18" t="inlineStr">
        <is>
          <t>Kütahya</t>
        </is>
      </c>
      <c r="B1551" s="18" t="inlineStr">
        <is>
          <t>Türkiye</t>
        </is>
      </c>
      <c r="C1551" s="19" t="n">
        <v>86092168</v>
      </c>
      <c r="D1551" s="18" t="inlineStr">
        <is>
          <t>TR</t>
        </is>
      </c>
      <c r="E1551" s="18" t="inlineStr">
        <is>
          <t>43</t>
        </is>
      </c>
      <c r="F1551" s="20" t="n">
        <v>185008</v>
      </c>
      <c r="G1551" s="18" t="n"/>
      <c r="H1551" s="18" t="n"/>
      <c r="I1551" s="18" t="n"/>
      <c r="J1551" s="18" t="n"/>
      <c r="K1551" s="18" t="n"/>
      <c r="L1551" s="18" t="inlineStr">
        <is>
          <t>100k +  pop</t>
        </is>
      </c>
      <c r="M1551" s="22" t="n">
        <v>0</v>
      </c>
      <c r="N1551" s="22" t="n">
        <v>0</v>
      </c>
      <c r="O1551" s="18" t="n"/>
      <c r="P1551" s="22">
        <f>IF(O1551="",(About!$B$5*M1551+About!$B$6*N1551)/(About!$B$5+About!$B$6),About!$B$5*M1551+About!$B$6*N1551+About!$B$7*O1551)</f>
        <v/>
      </c>
      <c r="Q1551" s="23" t="n">
        <v>39.4242</v>
      </c>
      <c r="R1551" s="23" t="n">
        <v>29.9833</v>
      </c>
    </row>
    <row r="1552" ht="15" customHeight="1" s="12">
      <c r="A1552" s="18" t="inlineStr">
        <is>
          <t>Meycauayan</t>
        </is>
      </c>
      <c r="B1552" s="18" t="inlineStr">
        <is>
          <t>Philippines</t>
        </is>
      </c>
      <c r="C1552" s="19" t="n">
        <v>114123600</v>
      </c>
      <c r="D1552" s="18" t="inlineStr">
        <is>
          <t>PH</t>
        </is>
      </c>
      <c r="E1552" s="18" t="inlineStr">
        <is>
          <t>03</t>
        </is>
      </c>
      <c r="F1552" s="20" t="n">
        <v>184839</v>
      </c>
      <c r="G1552" s="18" t="n"/>
      <c r="H1552" s="18" t="n"/>
      <c r="I1552" s="18" t="n"/>
      <c r="J1552" s="18" t="n"/>
      <c r="K1552" s="18" t="n"/>
      <c r="L1552" s="18" t="inlineStr">
        <is>
          <t>100k +  pop</t>
        </is>
      </c>
      <c r="M1552" s="22" t="n">
        <v>0</v>
      </c>
      <c r="N1552" s="22" t="n">
        <v>0</v>
      </c>
      <c r="O1552" s="18" t="n"/>
      <c r="P1552" s="22">
        <f>IF(O1552="",(About!$B$5*M1552+About!$B$6*N1552)/(About!$B$5+About!$B$6),About!$B$5*M1552+About!$B$6*N1552+About!$B$7*O1552)</f>
        <v/>
      </c>
      <c r="Q1552" s="23" t="n">
        <v>14.7369</v>
      </c>
      <c r="R1552" s="23" t="n">
        <v>120.9608</v>
      </c>
    </row>
    <row r="1553" ht="15" customHeight="1" s="12">
      <c r="A1553" s="18" t="inlineStr">
        <is>
          <t>Brescia</t>
        </is>
      </c>
      <c r="B1553" s="18" t="inlineStr">
        <is>
          <t>Italy</t>
        </is>
      </c>
      <c r="C1553" s="19" t="n">
        <v>58932330</v>
      </c>
      <c r="D1553" s="18" t="inlineStr">
        <is>
          <t>IT</t>
        </is>
      </c>
      <c r="E1553" s="18" t="inlineStr">
        <is>
          <t>09</t>
        </is>
      </c>
      <c r="F1553" s="20" t="n">
        <v>184826</v>
      </c>
      <c r="G1553" s="18" t="n"/>
      <c r="H1553" s="18" t="inlineStr">
        <is>
          <t>VBS</t>
        </is>
      </c>
      <c r="I1553" s="18" t="inlineStr">
        <is>
          <t>Brescia Gabriele d'Annunzio Airport</t>
        </is>
      </c>
      <c r="J1553" s="21" t="n">
        <v>14.9</v>
      </c>
      <c r="K1553" s="18" t="inlineStr">
        <is>
          <t>VBS</t>
        </is>
      </c>
      <c r="L1553" s="18" t="inlineStr">
        <is>
          <t>100k +  pop</t>
        </is>
      </c>
      <c r="M1553" s="22" t="n">
        <v>0</v>
      </c>
      <c r="N1553" s="22" t="n">
        <v>0</v>
      </c>
      <c r="O1553" s="18" t="n"/>
      <c r="P1553" s="22">
        <f>IF(O1553="",(About!$B$5*M1553+About!$B$6*N1553)/(About!$B$5+About!$B$6),About!$B$5*M1553+About!$B$6*N1553+About!$B$7*O1553)</f>
        <v/>
      </c>
      <c r="Q1553" s="23" t="n">
        <v>45.5356</v>
      </c>
      <c r="R1553" s="23" t="n">
        <v>10.2147</v>
      </c>
    </row>
    <row r="1554" ht="15" customHeight="1" s="12">
      <c r="A1554" s="18" t="inlineStr">
        <is>
          <t>Tarlac City</t>
        </is>
      </c>
      <c r="B1554" s="18" t="inlineStr">
        <is>
          <t>Philippines</t>
        </is>
      </c>
      <c r="C1554" s="19" t="n">
        <v>114123600</v>
      </c>
      <c r="D1554" s="18" t="inlineStr">
        <is>
          <t>PH</t>
        </is>
      </c>
      <c r="E1554" s="18" t="inlineStr">
        <is>
          <t>03</t>
        </is>
      </c>
      <c r="F1554" s="20" t="n">
        <v>183930</v>
      </c>
      <c r="G1554" s="18" t="n"/>
      <c r="H1554" s="18" t="n"/>
      <c r="I1554" s="18" t="n"/>
      <c r="J1554" s="18" t="n"/>
      <c r="K1554" s="18" t="n"/>
      <c r="L1554" s="18" t="inlineStr">
        <is>
          <t>100k +  pop</t>
        </is>
      </c>
      <c r="M1554" s="22" t="n">
        <v>0</v>
      </c>
      <c r="N1554" s="22" t="n">
        <v>0</v>
      </c>
      <c r="O1554" s="18" t="n"/>
      <c r="P1554" s="22">
        <f>IF(O1554="",(About!$B$5*M1554+About!$B$6*N1554)/(About!$B$5+About!$B$6),About!$B$5*M1554+About!$B$6*N1554+About!$B$7*O1554)</f>
        <v/>
      </c>
      <c r="Q1554" s="23" t="n">
        <v>15.4802</v>
      </c>
      <c r="R1554" s="23" t="n">
        <v>120.5979</v>
      </c>
    </row>
    <row r="1555" ht="15" customHeight="1" s="12">
      <c r="A1555" s="18" t="inlineStr">
        <is>
          <t>Būrewāla</t>
        </is>
      </c>
      <c r="B1555" s="18" t="inlineStr">
        <is>
          <t>Pakistan</t>
        </is>
      </c>
      <c r="C1555" s="19" t="n">
        <v>241499431</v>
      </c>
      <c r="D1555" s="18" t="inlineStr">
        <is>
          <t>PK</t>
        </is>
      </c>
      <c r="E1555" s="18" t="inlineStr">
        <is>
          <t>04</t>
        </is>
      </c>
      <c r="F1555" s="20" t="n">
        <v>183915</v>
      </c>
      <c r="G1555" s="18" t="n"/>
      <c r="H1555" s="18" t="n"/>
      <c r="I1555" s="18" t="n"/>
      <c r="J1555" s="18" t="n"/>
      <c r="K1555" s="18" t="n"/>
      <c r="L1555" s="18" t="inlineStr">
        <is>
          <t>100k +  pop</t>
        </is>
      </c>
      <c r="M1555" s="22" t="n">
        <v>0</v>
      </c>
      <c r="N1555" s="22" t="n">
        <v>0</v>
      </c>
      <c r="O1555" s="18" t="n"/>
      <c r="P1555" s="22">
        <f>IF(O1555="",(About!$B$5*M1555+About!$B$6*N1555)/(About!$B$5+About!$B$6),About!$B$5*M1555+About!$B$6*N1555+About!$B$7*O1555)</f>
        <v/>
      </c>
      <c r="Q1555" s="23" t="n">
        <v>30.1667</v>
      </c>
      <c r="R1555" s="23" t="n">
        <v>72.65000000000001</v>
      </c>
    </row>
    <row r="1556" ht="15" customHeight="1" s="12">
      <c r="A1556" s="18" t="inlineStr">
        <is>
          <t>Cergy-Pontoise</t>
        </is>
      </c>
      <c r="B1556" s="18" t="inlineStr">
        <is>
          <t>France</t>
        </is>
      </c>
      <c r="C1556" s="19" t="n">
        <v>69081996</v>
      </c>
      <c r="D1556" s="18" t="inlineStr">
        <is>
          <t>FR</t>
        </is>
      </c>
      <c r="E1556" s="18" t="inlineStr">
        <is>
          <t>11</t>
        </is>
      </c>
      <c r="F1556" s="20" t="n">
        <v>183430</v>
      </c>
      <c r="G1556" s="18" t="n"/>
      <c r="H1556" s="18" t="n"/>
      <c r="I1556" s="18" t="n"/>
      <c r="J1556" s="18" t="n"/>
      <c r="K1556" s="18" t="n"/>
      <c r="L1556" s="18" t="inlineStr">
        <is>
          <t>100k +  pop</t>
        </is>
      </c>
      <c r="M1556" s="22" t="n">
        <v>0</v>
      </c>
      <c r="N1556" s="22" t="n">
        <v>0</v>
      </c>
      <c r="O1556" s="18" t="n"/>
      <c r="P1556" s="22">
        <f>IF(O1556="",(About!$B$5*M1556+About!$B$6*N1556)/(About!$B$5+About!$B$6),About!$B$5*M1556+About!$B$6*N1556+About!$B$7*O1556)</f>
        <v/>
      </c>
      <c r="Q1556" s="23" t="n">
        <v>49.0389</v>
      </c>
      <c r="R1556" s="23" t="n">
        <v>2.0781</v>
      </c>
    </row>
    <row r="1557" ht="15" customHeight="1" s="12">
      <c r="A1557" s="18" t="inlineStr">
        <is>
          <t>Çorum</t>
        </is>
      </c>
      <c r="B1557" s="18" t="inlineStr">
        <is>
          <t>Türkiye</t>
        </is>
      </c>
      <c r="C1557" s="19" t="n">
        <v>86092168</v>
      </c>
      <c r="D1557" s="18" t="inlineStr">
        <is>
          <t>TR</t>
        </is>
      </c>
      <c r="E1557" s="18" t="inlineStr">
        <is>
          <t>19</t>
        </is>
      </c>
      <c r="F1557" s="20" t="n">
        <v>183418</v>
      </c>
      <c r="G1557" s="18" t="n"/>
      <c r="H1557" s="18" t="n"/>
      <c r="I1557" s="18" t="n"/>
      <c r="J1557" s="18" t="n"/>
      <c r="K1557" s="18" t="n"/>
      <c r="L1557" s="18" t="inlineStr">
        <is>
          <t>100k +  pop</t>
        </is>
      </c>
      <c r="M1557" s="22" t="n">
        <v>0</v>
      </c>
      <c r="N1557" s="22" t="n">
        <v>0</v>
      </c>
      <c r="O1557" s="18" t="n"/>
      <c r="P1557" s="22">
        <f>IF(O1557="",(About!$B$5*M1557+About!$B$6*N1557)/(About!$B$5+About!$B$6),About!$B$5*M1557+About!$B$6*N1557+About!$B$7*O1557)</f>
        <v/>
      </c>
      <c r="Q1557" s="23" t="n">
        <v>40.5489</v>
      </c>
      <c r="R1557" s="23" t="n">
        <v>34.9533</v>
      </c>
    </row>
    <row r="1558" ht="15" customHeight="1" s="12">
      <c r="A1558" s="18" t="inlineStr">
        <is>
          <t>Blida</t>
        </is>
      </c>
      <c r="B1558" s="18" t="inlineStr">
        <is>
          <t>Algeria</t>
        </is>
      </c>
      <c r="C1558" s="19" t="n">
        <v>47400000</v>
      </c>
      <c r="D1558" s="18" t="inlineStr">
        <is>
          <t>DZ</t>
        </is>
      </c>
      <c r="E1558" s="18" t="inlineStr">
        <is>
          <t>20</t>
        </is>
      </c>
      <c r="F1558" s="20" t="n">
        <v>182447</v>
      </c>
      <c r="G1558" s="18" t="n"/>
      <c r="H1558" s="18" t="n"/>
      <c r="I1558" s="18" t="n"/>
      <c r="J1558" s="18" t="n"/>
      <c r="K1558" s="18" t="n"/>
      <c r="L1558" s="18" t="inlineStr">
        <is>
          <t>100k +  pop</t>
        </is>
      </c>
      <c r="M1558" s="22" t="n">
        <v>0</v>
      </c>
      <c r="N1558" s="22" t="n">
        <v>0</v>
      </c>
      <c r="O1558" s="18" t="n"/>
      <c r="P1558" s="22">
        <f>IF(O1558="",(About!$B$5*M1558+About!$B$6*N1558)/(About!$B$5+About!$B$6),About!$B$5*M1558+About!$B$6*N1558+About!$B$7*O1558)</f>
        <v/>
      </c>
      <c r="Q1558" s="23" t="n">
        <v>36.47</v>
      </c>
      <c r="R1558" s="23" t="n">
        <v>2.8277</v>
      </c>
    </row>
    <row r="1559" ht="15" customHeight="1" s="12">
      <c r="A1559" s="18" t="inlineStr">
        <is>
          <t>Carletonville</t>
        </is>
      </c>
      <c r="B1559" s="18" t="inlineStr">
        <is>
          <t>South Africa</t>
        </is>
      </c>
      <c r="C1559" s="19" t="n">
        <v>63100945</v>
      </c>
      <c r="D1559" s="18" t="inlineStr">
        <is>
          <t>ZA</t>
        </is>
      </c>
      <c r="E1559" s="18" t="inlineStr">
        <is>
          <t>06</t>
        </is>
      </c>
      <c r="F1559" s="20" t="n">
        <v>182304</v>
      </c>
      <c r="G1559" s="18" t="n"/>
      <c r="H1559" s="18" t="n"/>
      <c r="I1559" s="18" t="n"/>
      <c r="J1559" s="18" t="n"/>
      <c r="K1559" s="18" t="n"/>
      <c r="L1559" s="18" t="inlineStr">
        <is>
          <t>100k +  pop</t>
        </is>
      </c>
      <c r="M1559" s="22" t="n">
        <v>0</v>
      </c>
      <c r="N1559" s="22" t="n">
        <v>0</v>
      </c>
      <c r="O1559" s="18" t="n"/>
      <c r="P1559" s="22">
        <f>IF(O1559="",(About!$B$5*M1559+About!$B$6*N1559)/(About!$B$5+About!$B$6),About!$B$5*M1559+About!$B$6*N1559+About!$B$7*O1559)</f>
        <v/>
      </c>
      <c r="Q1559" s="23" t="n">
        <v>-26.3609</v>
      </c>
      <c r="R1559" s="23" t="n">
        <v>27.3977</v>
      </c>
    </row>
    <row r="1560" ht="15" customHeight="1" s="12">
      <c r="A1560" s="18" t="inlineStr">
        <is>
          <t>Barrie</t>
        </is>
      </c>
      <c r="B1560" s="18" t="inlineStr">
        <is>
          <t>Canada</t>
        </is>
      </c>
      <c r="C1560" s="19" t="n">
        <v>41472081</v>
      </c>
      <c r="D1560" s="18" t="inlineStr">
        <is>
          <t>CA</t>
        </is>
      </c>
      <c r="E1560" s="18" t="inlineStr">
        <is>
          <t>08</t>
        </is>
      </c>
      <c r="F1560" s="20" t="n">
        <v>182041</v>
      </c>
      <c r="G1560" s="18" t="n"/>
      <c r="H1560" s="18" t="inlineStr">
        <is>
          <t>YLK</t>
        </is>
      </c>
      <c r="I1560" s="18" t="inlineStr">
        <is>
          <t>Barrie-Lake Simcoe Regional Airport</t>
        </is>
      </c>
      <c r="J1560" s="21" t="n">
        <v>13</v>
      </c>
      <c r="K1560" s="18" t="inlineStr">
        <is>
          <t>YLK</t>
        </is>
      </c>
      <c r="L1560" s="18" t="inlineStr">
        <is>
          <t>100k +  pop + airport</t>
        </is>
      </c>
      <c r="M1560" s="22" t="n">
        <v>0</v>
      </c>
      <c r="N1560" s="22" t="n">
        <v>0</v>
      </c>
      <c r="O1560" s="18" t="n"/>
      <c r="P1560" s="22">
        <f>IF(O1560="",(About!$B$5*M1560+About!$B$6*N1560)/(About!$B$5+About!$B$6),About!$B$5*M1560+About!$B$6*N1560+About!$B$7*O1560)</f>
        <v/>
      </c>
      <c r="Q1560" s="23" t="n">
        <v>44.4001</v>
      </c>
      <c r="R1560" s="23" t="n">
        <v>-79.66630000000001</v>
      </c>
    </row>
    <row r="1561" ht="15" customHeight="1" s="12">
      <c r="A1561" s="18" t="inlineStr">
        <is>
          <t>Monywa</t>
        </is>
      </c>
      <c r="B1561" s="18" t="inlineStr">
        <is>
          <t>Myanmar</t>
        </is>
      </c>
      <c r="C1561" s="19" t="n">
        <v>51375327</v>
      </c>
      <c r="D1561" s="18" t="inlineStr">
        <is>
          <t>MM</t>
        </is>
      </c>
      <c r="E1561" s="18" t="inlineStr">
        <is>
          <t>10</t>
        </is>
      </c>
      <c r="F1561" s="20" t="n">
        <v>182011</v>
      </c>
      <c r="G1561" s="18" t="n"/>
      <c r="H1561" s="18" t="n"/>
      <c r="I1561" s="18" t="n"/>
      <c r="J1561" s="18" t="n"/>
      <c r="K1561" s="18" t="n"/>
      <c r="L1561" s="18" t="inlineStr">
        <is>
          <t>100k +  pop</t>
        </is>
      </c>
      <c r="M1561" s="22" t="n">
        <v>0</v>
      </c>
      <c r="N1561" s="22" t="n">
        <v>0</v>
      </c>
      <c r="O1561" s="18" t="n"/>
      <c r="P1561" s="22">
        <f>IF(O1561="",(About!$B$5*M1561+About!$B$6*N1561)/(About!$B$5+About!$B$6),About!$B$5*M1561+About!$B$6*N1561+About!$B$7*O1561)</f>
        <v/>
      </c>
      <c r="Q1561" s="23" t="n">
        <v>22.1086</v>
      </c>
      <c r="R1561" s="23" t="n">
        <v>95.1358</v>
      </c>
    </row>
    <row r="1562" ht="15" customHeight="1" s="12">
      <c r="A1562" s="18" t="inlineStr">
        <is>
          <t>Taranto</t>
        </is>
      </c>
      <c r="B1562" s="18" t="inlineStr">
        <is>
          <t>Italy</t>
        </is>
      </c>
      <c r="C1562" s="19" t="n">
        <v>58932330</v>
      </c>
      <c r="D1562" s="18" t="inlineStr">
        <is>
          <t>IT</t>
        </is>
      </c>
      <c r="E1562" s="18" t="inlineStr">
        <is>
          <t>13</t>
        </is>
      </c>
      <c r="F1562" s="20" t="n">
        <v>181082</v>
      </c>
      <c r="G1562" s="18" t="n"/>
      <c r="H1562" s="18" t="n"/>
      <c r="I1562" s="18" t="n"/>
      <c r="J1562" s="18" t="n"/>
      <c r="K1562" s="18" t="n"/>
      <c r="L1562" s="18" t="inlineStr">
        <is>
          <t>100k +  pop</t>
        </is>
      </c>
      <c r="M1562" s="22" t="n">
        <v>0</v>
      </c>
      <c r="N1562" s="22" t="n">
        <v>0</v>
      </c>
      <c r="O1562" s="18" t="n"/>
      <c r="P1562" s="22">
        <f>IF(O1562="",(About!$B$5*M1562+About!$B$6*N1562)/(About!$B$5+About!$B$6),About!$B$5*M1562+About!$B$6*N1562+About!$B$7*O1562)</f>
        <v/>
      </c>
      <c r="Q1562" s="23" t="n">
        <v>40.4644</v>
      </c>
      <c r="R1562" s="23" t="n">
        <v>17.2471</v>
      </c>
    </row>
    <row r="1563" ht="15" customHeight="1" s="12">
      <c r="A1563" s="18" t="inlineStr">
        <is>
          <t>Malacca</t>
        </is>
      </c>
      <c r="B1563" s="18" t="inlineStr">
        <is>
          <t>Malaysia</t>
        </is>
      </c>
      <c r="C1563" s="19" t="n">
        <v>34374300</v>
      </c>
      <c r="D1563" s="18" t="inlineStr">
        <is>
          <t>MY</t>
        </is>
      </c>
      <c r="E1563" s="18" t="inlineStr">
        <is>
          <t>04</t>
        </is>
      </c>
      <c r="F1563" s="20" t="n">
        <v>180671</v>
      </c>
      <c r="G1563" s="18" t="n"/>
      <c r="H1563" s="18" t="inlineStr">
        <is>
          <t>MKZ</t>
        </is>
      </c>
      <c r="I1563" s="18" t="inlineStr">
        <is>
          <t>Malacca International Airport</t>
        </is>
      </c>
      <c r="J1563" s="21" t="n">
        <v>7.9</v>
      </c>
      <c r="K1563" s="18" t="inlineStr">
        <is>
          <t>MKZ</t>
        </is>
      </c>
      <c r="L1563" s="18" t="inlineStr">
        <is>
          <t>100k +  pop + airport</t>
        </is>
      </c>
      <c r="M1563" s="22" t="n">
        <v>0</v>
      </c>
      <c r="N1563" s="22" t="n">
        <v>0</v>
      </c>
      <c r="O1563" s="18" t="n"/>
      <c r="P1563" s="22">
        <f>IF(O1563="",(About!$B$5*M1563+About!$B$6*N1563)/(About!$B$5+About!$B$6),About!$B$5*M1563+About!$B$6*N1563+About!$B$7*O1563)</f>
        <v/>
      </c>
      <c r="Q1563" s="23" t="n">
        <v>2.196</v>
      </c>
      <c r="R1563" s="23" t="n">
        <v>102.2405</v>
      </c>
    </row>
    <row r="1564" ht="15" customHeight="1" s="12">
      <c r="A1564" s="18" t="inlineStr">
        <is>
          <t>Gangneung</t>
        </is>
      </c>
      <c r="B1564" s="18" t="inlineStr">
        <is>
          <t>South Korea</t>
        </is>
      </c>
      <c r="C1564" s="19" t="n">
        <v>51111158</v>
      </c>
      <c r="D1564" s="18" t="inlineStr">
        <is>
          <t>KR</t>
        </is>
      </c>
      <c r="E1564" s="18" t="inlineStr">
        <is>
          <t>06</t>
        </is>
      </c>
      <c r="F1564" s="20" t="n">
        <v>180611</v>
      </c>
      <c r="G1564" s="18" t="n"/>
      <c r="H1564" s="18" t="n"/>
      <c r="I1564" s="18" t="n"/>
      <c r="J1564" s="18" t="n"/>
      <c r="K1564" s="18" t="n"/>
      <c r="L1564" s="18" t="inlineStr">
        <is>
          <t>100k +  pop</t>
        </is>
      </c>
      <c r="M1564" s="22" t="n">
        <v>0</v>
      </c>
      <c r="N1564" s="22" t="n">
        <v>0</v>
      </c>
      <c r="O1564" s="18" t="n"/>
      <c r="P1564" s="22">
        <f>IF(O1564="",(About!$B$5*M1564+About!$B$6*N1564)/(About!$B$5+About!$B$6),About!$B$5*M1564+About!$B$6*N1564+About!$B$7*O1564)</f>
        <v/>
      </c>
      <c r="Q1564" s="23" t="n">
        <v>37.7527</v>
      </c>
      <c r="R1564" s="23" t="n">
        <v>128.8724</v>
      </c>
    </row>
    <row r="1565" ht="15" customHeight="1" s="12">
      <c r="A1565" s="18" t="inlineStr">
        <is>
          <t>Tāngāil</t>
        </is>
      </c>
      <c r="B1565" s="18" t="inlineStr">
        <is>
          <t>Bangladesh</t>
        </is>
      </c>
      <c r="C1565" s="19" t="n">
        <v>169828911</v>
      </c>
      <c r="D1565" s="18" t="inlineStr">
        <is>
          <t>BD</t>
        </is>
      </c>
      <c r="E1565" s="18" t="inlineStr">
        <is>
          <t>81</t>
        </is>
      </c>
      <c r="F1565" s="20" t="n">
        <v>180144</v>
      </c>
      <c r="G1565" s="18" t="n"/>
      <c r="H1565" s="18" t="n"/>
      <c r="I1565" s="18" t="n"/>
      <c r="J1565" s="18" t="n"/>
      <c r="K1565" s="18" t="n"/>
      <c r="L1565" s="18" t="inlineStr">
        <is>
          <t>100k +  pop</t>
        </is>
      </c>
      <c r="M1565" s="22" t="n">
        <v>0</v>
      </c>
      <c r="N1565" s="22" t="n">
        <v>0</v>
      </c>
      <c r="O1565" s="18" t="n"/>
      <c r="P1565" s="22">
        <f>IF(O1565="",(About!$B$5*M1565+About!$B$6*N1565)/(About!$B$5+About!$B$6),About!$B$5*M1565+About!$B$6*N1565+About!$B$7*O1565)</f>
        <v/>
      </c>
      <c r="Q1565" s="23" t="n">
        <v>24.2498</v>
      </c>
      <c r="R1565" s="23" t="n">
        <v>89.9166</v>
      </c>
    </row>
    <row r="1566" ht="15" customHeight="1" s="12">
      <c r="A1566" s="18" t="inlineStr">
        <is>
          <t>Matadi</t>
        </is>
      </c>
      <c r="B1566" s="18" t="inlineStr">
        <is>
          <t>DR Congo</t>
        </is>
      </c>
      <c r="C1566" s="19" t="n">
        <v>112832000</v>
      </c>
      <c r="D1566" s="18" t="inlineStr">
        <is>
          <t>CD</t>
        </is>
      </c>
      <c r="E1566" s="18" t="inlineStr">
        <is>
          <t>08</t>
        </is>
      </c>
      <c r="F1566" s="20" t="n">
        <v>180109</v>
      </c>
      <c r="G1566" s="18" t="n"/>
      <c r="H1566" s="18" t="n"/>
      <c r="I1566" s="18" t="n"/>
      <c r="J1566" s="18" t="n"/>
      <c r="K1566" s="18" t="n"/>
      <c r="L1566" s="18" t="inlineStr">
        <is>
          <t>100k +  pop</t>
        </is>
      </c>
      <c r="M1566" s="22" t="n">
        <v>0</v>
      </c>
      <c r="N1566" s="22" t="n">
        <v>0</v>
      </c>
      <c r="O1566" s="18" t="n"/>
      <c r="P1566" s="22">
        <f>IF(O1566="",(About!$B$5*M1566+About!$B$6*N1566)/(About!$B$5+About!$B$6),About!$B$5*M1566+About!$B$6*N1566+About!$B$7*O1566)</f>
        <v/>
      </c>
      <c r="Q1566" s="23" t="n">
        <v>-5.8386</v>
      </c>
      <c r="R1566" s="23" t="n">
        <v>13.4631</v>
      </c>
    </row>
    <row r="1567" ht="15" customHeight="1" s="12">
      <c r="A1567" s="18" t="inlineStr">
        <is>
          <t>Castelló de la Plana</t>
        </is>
      </c>
      <c r="B1567" s="18" t="inlineStr">
        <is>
          <t>Spain</t>
        </is>
      </c>
      <c r="C1567" s="19" t="n">
        <v>49687120</v>
      </c>
      <c r="D1567" s="18" t="inlineStr">
        <is>
          <t>ES</t>
        </is>
      </c>
      <c r="E1567" s="18" t="inlineStr">
        <is>
          <t>60</t>
        </is>
      </c>
      <c r="F1567" s="20" t="n">
        <v>180005</v>
      </c>
      <c r="G1567" s="18" t="n"/>
      <c r="H1567" s="18" t="n"/>
      <c r="I1567" s="18" t="n"/>
      <c r="J1567" s="18" t="n"/>
      <c r="K1567" s="18" t="n"/>
      <c r="L1567" s="18" t="inlineStr">
        <is>
          <t>100k +  pop</t>
        </is>
      </c>
      <c r="M1567" s="22" t="n">
        <v>0</v>
      </c>
      <c r="N1567" s="22" t="n">
        <v>0</v>
      </c>
      <c r="O1567" s="18" t="n"/>
      <c r="P1567" s="22">
        <f>IF(O1567="",(About!$B$5*M1567+About!$B$6*N1567)/(About!$B$5+About!$B$6),About!$B$5*M1567+About!$B$6*N1567+About!$B$7*O1567)</f>
        <v/>
      </c>
      <c r="Q1567" s="23" t="n">
        <v>39.9857</v>
      </c>
      <c r="R1567" s="23" t="n">
        <v>-0.0493</v>
      </c>
    </row>
    <row r="1568" ht="15" customHeight="1" s="12">
      <c r="A1568" s="18" t="inlineStr">
        <is>
          <t>Yangju</t>
        </is>
      </c>
      <c r="B1568" s="18" t="inlineStr">
        <is>
          <t>South Korea</t>
        </is>
      </c>
      <c r="C1568" s="19" t="n">
        <v>51111158</v>
      </c>
      <c r="D1568" s="18" t="inlineStr">
        <is>
          <t>KR</t>
        </is>
      </c>
      <c r="E1568" s="18" t="inlineStr">
        <is>
          <t>13</t>
        </is>
      </c>
      <c r="F1568" s="20" t="n">
        <v>179923</v>
      </c>
      <c r="G1568" s="18" t="n"/>
      <c r="H1568" s="18" t="n"/>
      <c r="I1568" s="18" t="n"/>
      <c r="J1568" s="18" t="n"/>
      <c r="K1568" s="18" t="n"/>
      <c r="L1568" s="18" t="inlineStr">
        <is>
          <t>100k +  pop</t>
        </is>
      </c>
      <c r="M1568" s="22" t="n">
        <v>0</v>
      </c>
      <c r="N1568" s="22" t="n">
        <v>0</v>
      </c>
      <c r="O1568" s="18" t="n"/>
      <c r="P1568" s="22">
        <f>IF(O1568="",(About!$B$5*M1568+About!$B$6*N1568)/(About!$B$5+About!$B$6),About!$B$5*M1568+About!$B$6*N1568+About!$B$7*O1568)</f>
        <v/>
      </c>
      <c r="Q1568" s="23" t="n">
        <v>37.8331</v>
      </c>
      <c r="R1568" s="23" t="n">
        <v>127.0617</v>
      </c>
    </row>
    <row r="1569" ht="15" customHeight="1" s="12">
      <c r="A1569" s="18" t="inlineStr">
        <is>
          <t>Varāmīn</t>
        </is>
      </c>
      <c r="B1569" s="18" t="inlineStr">
        <is>
          <t>Iran</t>
        </is>
      </c>
      <c r="C1569" s="19" t="n">
        <v>87134000</v>
      </c>
      <c r="D1569" s="18" t="inlineStr">
        <is>
          <t>IR</t>
        </is>
      </c>
      <c r="E1569" s="18" t="inlineStr">
        <is>
          <t>26</t>
        </is>
      </c>
      <c r="F1569" s="20" t="n">
        <v>179603</v>
      </c>
      <c r="G1569" s="18" t="n"/>
      <c r="H1569" s="18" t="n"/>
      <c r="I1569" s="18" t="n"/>
      <c r="J1569" s="18" t="n"/>
      <c r="K1569" s="18" t="n"/>
      <c r="L1569" s="18" t="inlineStr">
        <is>
          <t>100k +  pop</t>
        </is>
      </c>
      <c r="M1569" s="22" t="n">
        <v>0</v>
      </c>
      <c r="N1569" s="22" t="n">
        <v>0</v>
      </c>
      <c r="O1569" s="18" t="n"/>
      <c r="P1569" s="22">
        <f>IF(O1569="",(About!$B$5*M1569+About!$B$6*N1569)/(About!$B$5+About!$B$6),About!$B$5*M1569+About!$B$6*N1569+About!$B$7*O1569)</f>
        <v/>
      </c>
      <c r="Q1569" s="23" t="n">
        <v>35.3242</v>
      </c>
      <c r="R1569" s="23" t="n">
        <v>51.6457</v>
      </c>
    </row>
    <row r="1570" ht="15" customHeight="1" s="12">
      <c r="A1570" s="18" t="inlineStr">
        <is>
          <t>Legaspi</t>
        </is>
      </c>
      <c r="B1570" s="18" t="inlineStr">
        <is>
          <t>Philippines</t>
        </is>
      </c>
      <c r="C1570" s="19" t="n">
        <v>114123600</v>
      </c>
      <c r="D1570" s="18" t="inlineStr">
        <is>
          <t>PH</t>
        </is>
      </c>
      <c r="E1570" s="18" t="inlineStr">
        <is>
          <t>05</t>
        </is>
      </c>
      <c r="F1570" s="20" t="n">
        <v>179481</v>
      </c>
      <c r="G1570" s="18" t="n"/>
      <c r="H1570" s="18" t="inlineStr">
        <is>
          <t>DRP</t>
        </is>
      </c>
      <c r="I1570" s="18" t="inlineStr">
        <is>
          <t>Bicol International Airport</t>
        </is>
      </c>
      <c r="J1570" s="21" t="n">
        <v>7.7</v>
      </c>
      <c r="K1570" s="18" t="inlineStr">
        <is>
          <t>DRP</t>
        </is>
      </c>
      <c r="L1570" s="18" t="inlineStr">
        <is>
          <t>100k +  pop + airport</t>
        </is>
      </c>
      <c r="M1570" s="22" t="n">
        <v>0</v>
      </c>
      <c r="N1570" s="22" t="n">
        <v>0</v>
      </c>
      <c r="O1570" s="18" t="n"/>
      <c r="P1570" s="22">
        <f>IF(O1570="",(About!$B$5*M1570+About!$B$6*N1570)/(About!$B$5+About!$B$6),About!$B$5*M1570+About!$B$6*N1570+About!$B$7*O1570)</f>
        <v/>
      </c>
      <c r="Q1570" s="23" t="n">
        <v>13.1412</v>
      </c>
      <c r="R1570" s="23" t="n">
        <v>123.7407</v>
      </c>
    </row>
    <row r="1571" ht="15" customHeight="1" s="12">
      <c r="A1571" s="18" t="inlineStr">
        <is>
          <t>Burgos</t>
        </is>
      </c>
      <c r="B1571" s="18" t="inlineStr">
        <is>
          <t>Spain</t>
        </is>
      </c>
      <c r="C1571" s="19" t="n">
        <v>49687120</v>
      </c>
      <c r="D1571" s="18" t="inlineStr">
        <is>
          <t>ES</t>
        </is>
      </c>
      <c r="E1571" s="18" t="inlineStr">
        <is>
          <t>55</t>
        </is>
      </c>
      <c r="F1571" s="20" t="n">
        <v>178966</v>
      </c>
      <c r="G1571" s="18" t="n"/>
      <c r="H1571" s="18" t="n"/>
      <c r="I1571" s="18" t="n"/>
      <c r="J1571" s="18" t="n"/>
      <c r="K1571" s="18" t="n"/>
      <c r="L1571" s="18" t="inlineStr">
        <is>
          <t>100k +  pop</t>
        </is>
      </c>
      <c r="M1571" s="22" t="n">
        <v>0</v>
      </c>
      <c r="N1571" s="22" t="n">
        <v>0</v>
      </c>
      <c r="O1571" s="18" t="n"/>
      <c r="P1571" s="22">
        <f>IF(O1571="",(About!$B$5*M1571+About!$B$6*N1571)/(About!$B$5+About!$B$6),About!$B$5*M1571+About!$B$6*N1571+About!$B$7*O1571)</f>
        <v/>
      </c>
      <c r="Q1571" s="23" t="n">
        <v>42.3411</v>
      </c>
      <c r="R1571" s="23" t="n">
        <v>-3.7018</v>
      </c>
    </row>
    <row r="1572" ht="15" customHeight="1" s="12">
      <c r="A1572" s="18" t="inlineStr">
        <is>
          <t>Klerksdorp</t>
        </is>
      </c>
      <c r="B1572" s="18" t="inlineStr">
        <is>
          <t>South Africa</t>
        </is>
      </c>
      <c r="C1572" s="19" t="n">
        <v>63100945</v>
      </c>
      <c r="D1572" s="18" t="inlineStr">
        <is>
          <t>ZA</t>
        </is>
      </c>
      <c r="E1572" s="18" t="inlineStr">
        <is>
          <t>10</t>
        </is>
      </c>
      <c r="F1572" s="20" t="n">
        <v>178921</v>
      </c>
      <c r="G1572" s="18" t="n"/>
      <c r="H1572" s="18" t="n"/>
      <c r="I1572" s="18" t="n"/>
      <c r="J1572" s="18" t="n"/>
      <c r="K1572" s="18" t="n"/>
      <c r="L1572" s="18" t="inlineStr">
        <is>
          <t>100k +  pop</t>
        </is>
      </c>
      <c r="M1572" s="22" t="n">
        <v>0</v>
      </c>
      <c r="N1572" s="22" t="n">
        <v>0</v>
      </c>
      <c r="O1572" s="18" t="n"/>
      <c r="P1572" s="22">
        <f>IF(O1572="",(About!$B$5*M1572+About!$B$6*N1572)/(About!$B$5+About!$B$6),About!$B$5*M1572+About!$B$6*N1572+About!$B$7*O1572)</f>
        <v/>
      </c>
      <c r="Q1572" s="23" t="n">
        <v>-26.8521</v>
      </c>
      <c r="R1572" s="23" t="n">
        <v>26.6667</v>
      </c>
    </row>
    <row r="1573" ht="15" customHeight="1" s="12">
      <c r="A1573" s="18" t="inlineStr">
        <is>
          <t>Si Racha</t>
        </is>
      </c>
      <c r="B1573" s="18" t="inlineStr">
        <is>
          <t>Thailand</t>
        </is>
      </c>
      <c r="C1573" s="19" t="n">
        <v>65826149</v>
      </c>
      <c r="D1573" s="18" t="inlineStr">
        <is>
          <t>TH</t>
        </is>
      </c>
      <c r="E1573" s="18" t="inlineStr">
        <is>
          <t>46</t>
        </is>
      </c>
      <c r="F1573" s="20" t="n">
        <v>178916</v>
      </c>
      <c r="G1573" s="18" t="n"/>
      <c r="H1573" s="18" t="n"/>
      <c r="I1573" s="18" t="n"/>
      <c r="J1573" s="18" t="n"/>
      <c r="K1573" s="18" t="n"/>
      <c r="L1573" s="18" t="inlineStr">
        <is>
          <t>100k +  pop</t>
        </is>
      </c>
      <c r="M1573" s="22" t="n">
        <v>0</v>
      </c>
      <c r="N1573" s="22" t="n">
        <v>0</v>
      </c>
      <c r="O1573" s="18" t="n"/>
      <c r="P1573" s="22">
        <f>IF(O1573="",(About!$B$5*M1573+About!$B$6*N1573)/(About!$B$5+About!$B$6),About!$B$5*M1573+About!$B$6*N1573+About!$B$7*O1573)</f>
        <v/>
      </c>
      <c r="Q1573" s="23" t="n">
        <v>13.1737</v>
      </c>
      <c r="R1573" s="23" t="n">
        <v>100.9311</v>
      </c>
    </row>
    <row r="1574" ht="15" customHeight="1" s="12">
      <c r="A1574" s="18" t="inlineStr">
        <is>
          <t>Tiaret</t>
        </is>
      </c>
      <c r="B1574" s="18" t="inlineStr">
        <is>
          <t>Algeria</t>
        </is>
      </c>
      <c r="C1574" s="19" t="n">
        <v>47400000</v>
      </c>
      <c r="D1574" s="18" t="inlineStr">
        <is>
          <t>DZ</t>
        </is>
      </c>
      <c r="E1574" s="18" t="inlineStr">
        <is>
          <t>13</t>
        </is>
      </c>
      <c r="F1574" s="20" t="n">
        <v>178915</v>
      </c>
      <c r="G1574" s="18" t="n"/>
      <c r="H1574" s="18" t="n"/>
      <c r="I1574" s="18" t="n"/>
      <c r="J1574" s="18" t="n"/>
      <c r="K1574" s="18" t="n"/>
      <c r="L1574" s="18" t="inlineStr">
        <is>
          <t>100k +  pop</t>
        </is>
      </c>
      <c r="M1574" s="22" t="n">
        <v>0</v>
      </c>
      <c r="N1574" s="22" t="n">
        <v>0</v>
      </c>
      <c r="O1574" s="18" t="n"/>
      <c r="P1574" s="22">
        <f>IF(O1574="",(About!$B$5*M1574+About!$B$6*N1574)/(About!$B$5+About!$B$6),About!$B$5*M1574+About!$B$6*N1574+About!$B$7*O1574)</f>
        <v/>
      </c>
      <c r="Q1574" s="23" t="n">
        <v>35.371</v>
      </c>
      <c r="R1574" s="23" t="n">
        <v>1.317</v>
      </c>
    </row>
    <row r="1575" ht="15" customHeight="1" s="12">
      <c r="A1575" s="18" t="inlineStr">
        <is>
          <t>Ipswich</t>
        </is>
      </c>
      <c r="B1575" s="18" t="inlineStr">
        <is>
          <t>United Kingdom</t>
        </is>
      </c>
      <c r="C1575" s="19" t="n">
        <v>69487000</v>
      </c>
      <c r="D1575" s="18" t="inlineStr">
        <is>
          <t>GB</t>
        </is>
      </c>
      <c r="E1575" s="18" t="inlineStr">
        <is>
          <t>ENG</t>
        </is>
      </c>
      <c r="F1575" s="20" t="n">
        <v>178835</v>
      </c>
      <c r="G1575" s="18" t="n"/>
      <c r="H1575" s="18" t="n"/>
      <c r="I1575" s="18" t="n"/>
      <c r="J1575" s="18" t="n"/>
      <c r="K1575" s="18" t="n"/>
      <c r="L1575" s="18" t="inlineStr">
        <is>
          <t>100k +  pop</t>
        </is>
      </c>
      <c r="M1575" s="22" t="n">
        <v>0</v>
      </c>
      <c r="N1575" s="22" t="n">
        <v>0</v>
      </c>
      <c r="O1575" s="18" t="n"/>
      <c r="P1575" s="22">
        <f>IF(O1575="",(About!$B$5*M1575+About!$B$6*N1575)/(About!$B$5+About!$B$6),About!$B$5*M1575+About!$B$6*N1575+About!$B$7*O1575)</f>
        <v/>
      </c>
      <c r="Q1575" s="23" t="n">
        <v>52.0592</v>
      </c>
      <c r="R1575" s="23" t="n">
        <v>1.1555</v>
      </c>
    </row>
    <row r="1576" ht="15" customHeight="1" s="12">
      <c r="A1576" s="18" t="inlineStr">
        <is>
          <t>Meiktila</t>
        </is>
      </c>
      <c r="B1576" s="18" t="inlineStr">
        <is>
          <t>Myanmar</t>
        </is>
      </c>
      <c r="C1576" s="19" t="n">
        <v>51375327</v>
      </c>
      <c r="D1576" s="18" t="inlineStr">
        <is>
          <t>MM</t>
        </is>
      </c>
      <c r="E1576" s="18" t="inlineStr">
        <is>
          <t>08</t>
        </is>
      </c>
      <c r="F1576" s="20" t="n">
        <v>177442</v>
      </c>
      <c r="G1576" s="18" t="n"/>
      <c r="H1576" s="18" t="n"/>
      <c r="I1576" s="18" t="n"/>
      <c r="J1576" s="18" t="n"/>
      <c r="K1576" s="18" t="n"/>
      <c r="L1576" s="18" t="inlineStr">
        <is>
          <t>100k +  pop</t>
        </is>
      </c>
      <c r="M1576" s="22" t="n">
        <v>0</v>
      </c>
      <c r="N1576" s="22" t="n">
        <v>0</v>
      </c>
      <c r="O1576" s="18" t="n"/>
      <c r="P1576" s="22">
        <f>IF(O1576="",(About!$B$5*M1576+About!$B$6*N1576)/(About!$B$5+About!$B$6),About!$B$5*M1576+About!$B$6*N1576+About!$B$7*O1576)</f>
        <v/>
      </c>
      <c r="Q1576" s="23" t="n">
        <v>20.8778</v>
      </c>
      <c r="R1576" s="23" t="n">
        <v>95.8584</v>
      </c>
    </row>
    <row r="1577" ht="15" customHeight="1" s="12">
      <c r="A1577" s="18" t="inlineStr">
        <is>
          <t>Santa Ana</t>
        </is>
      </c>
      <c r="B1577" s="18" t="inlineStr">
        <is>
          <t>El Salvador</t>
        </is>
      </c>
      <c r="C1577" s="19" t="n">
        <v>6029976</v>
      </c>
      <c r="D1577" s="18" t="inlineStr">
        <is>
          <t>SV</t>
        </is>
      </c>
      <c r="E1577" s="18" t="inlineStr">
        <is>
          <t>11</t>
        </is>
      </c>
      <c r="F1577" s="20" t="n">
        <v>176661</v>
      </c>
      <c r="G1577" s="18" t="n"/>
      <c r="H1577" s="18" t="n"/>
      <c r="I1577" s="18" t="n"/>
      <c r="J1577" s="18" t="n"/>
      <c r="K1577" s="18" t="n"/>
      <c r="L1577" s="18" t="inlineStr">
        <is>
          <t>100k +  pop</t>
        </is>
      </c>
      <c r="M1577" s="22" t="n">
        <v>0</v>
      </c>
      <c r="N1577" s="22" t="n">
        <v>0</v>
      </c>
      <c r="O1577" s="18" t="n"/>
      <c r="P1577" s="22">
        <f>IF(O1577="",(About!$B$5*M1577+About!$B$6*N1577)/(About!$B$5+About!$B$6),About!$B$5*M1577+About!$B$6*N1577+About!$B$7*O1577)</f>
        <v/>
      </c>
      <c r="Q1577" s="23" t="n">
        <v>13.9942</v>
      </c>
      <c r="R1577" s="23" t="n">
        <v>-89.55970000000001</v>
      </c>
    </row>
    <row r="1578" ht="15" customHeight="1" s="12">
      <c r="A1578" s="18" t="inlineStr">
        <is>
          <t>Malāyer</t>
        </is>
      </c>
      <c r="B1578" s="18" t="inlineStr">
        <is>
          <t>Iran</t>
        </is>
      </c>
      <c r="C1578" s="19" t="n">
        <v>87134000</v>
      </c>
      <c r="D1578" s="18" t="inlineStr">
        <is>
          <t>IR</t>
        </is>
      </c>
      <c r="E1578" s="18" t="inlineStr">
        <is>
          <t>09</t>
        </is>
      </c>
      <c r="F1578" s="20" t="n">
        <v>176573</v>
      </c>
      <c r="G1578" s="18" t="n"/>
      <c r="H1578" s="18" t="n"/>
      <c r="I1578" s="18" t="n"/>
      <c r="J1578" s="18" t="n"/>
      <c r="K1578" s="18" t="n"/>
      <c r="L1578" s="18" t="inlineStr">
        <is>
          <t>100k +  pop</t>
        </is>
      </c>
      <c r="M1578" s="22" t="n">
        <v>0</v>
      </c>
      <c r="N1578" s="22" t="n">
        <v>0</v>
      </c>
      <c r="O1578" s="18" t="n"/>
      <c r="P1578" s="22">
        <f>IF(O1578="",(About!$B$5*M1578+About!$B$6*N1578)/(About!$B$5+About!$B$6),About!$B$5*M1578+About!$B$6*N1578+About!$B$7*O1578)</f>
        <v/>
      </c>
      <c r="Q1578" s="23" t="n">
        <v>34.3016</v>
      </c>
      <c r="R1578" s="23" t="n">
        <v>48.8217</v>
      </c>
    </row>
    <row r="1579" ht="15" customHeight="1" s="12">
      <c r="A1579" s="18" t="inlineStr">
        <is>
          <t>Saint-Étienne</t>
        </is>
      </c>
      <c r="B1579" s="18" t="inlineStr">
        <is>
          <t>France</t>
        </is>
      </c>
      <c r="C1579" s="19" t="n">
        <v>69081996</v>
      </c>
      <c r="D1579" s="18" t="inlineStr">
        <is>
          <t>FR</t>
        </is>
      </c>
      <c r="E1579" s="18" t="inlineStr">
        <is>
          <t>84</t>
        </is>
      </c>
      <c r="F1579" s="20" t="n">
        <v>176280</v>
      </c>
      <c r="G1579" s="18" t="n"/>
      <c r="H1579" s="18" t="n"/>
      <c r="I1579" s="18" t="n"/>
      <c r="J1579" s="18" t="n"/>
      <c r="K1579" s="18" t="n"/>
      <c r="L1579" s="18" t="inlineStr">
        <is>
          <t>100k +  pop</t>
        </is>
      </c>
      <c r="M1579" s="22" t="n">
        <v>0</v>
      </c>
      <c r="N1579" s="22" t="n">
        <v>0</v>
      </c>
      <c r="O1579" s="18" t="n"/>
      <c r="P1579" s="22">
        <f>IF(O1579="",(About!$B$5*M1579+About!$B$6*N1579)/(About!$B$5+About!$B$6),About!$B$5*M1579+About!$B$6*N1579+About!$B$7*O1579)</f>
        <v/>
      </c>
      <c r="Q1579" s="23" t="n">
        <v>45.4339</v>
      </c>
      <c r="R1579" s="23" t="n">
        <v>4.39</v>
      </c>
    </row>
    <row r="1580" ht="15" customHeight="1" s="12">
      <c r="A1580" s="18" t="inlineStr">
        <is>
          <t>Saint-Louis</t>
        </is>
      </c>
      <c r="B1580" s="18" t="inlineStr">
        <is>
          <t>Senegal</t>
        </is>
      </c>
      <c r="C1580" s="19" t="n">
        <v>19075959</v>
      </c>
      <c r="D1580" s="18" t="inlineStr">
        <is>
          <t>SN</t>
        </is>
      </c>
      <c r="E1580" s="18" t="inlineStr">
        <is>
          <t>14</t>
        </is>
      </c>
      <c r="F1580" s="20" t="n">
        <v>176000</v>
      </c>
      <c r="G1580" s="18" t="n"/>
      <c r="H1580" s="18" t="n"/>
      <c r="I1580" s="18" t="n"/>
      <c r="J1580" s="18" t="n"/>
      <c r="K1580" s="18" t="n"/>
      <c r="L1580" s="18" t="inlineStr">
        <is>
          <t>100k +  pop</t>
        </is>
      </c>
      <c r="M1580" s="22" t="n">
        <v>0</v>
      </c>
      <c r="N1580" s="22" t="n">
        <v>0</v>
      </c>
      <c r="O1580" s="18" t="n"/>
      <c r="P1580" s="22">
        <f>IF(O1580="",(About!$B$5*M1580+About!$B$6*N1580)/(About!$B$5+About!$B$6),About!$B$5*M1580+About!$B$6*N1580+About!$B$7*O1580)</f>
        <v/>
      </c>
      <c r="Q1580" s="23" t="n">
        <v>16.0179</v>
      </c>
      <c r="R1580" s="23" t="n">
        <v>-16.4896</v>
      </c>
    </row>
    <row r="1581" ht="15" customHeight="1" s="12">
      <c r="A1581" s="18" t="inlineStr">
        <is>
          <t>Sāveh</t>
        </is>
      </c>
      <c r="B1581" s="18" t="inlineStr">
        <is>
          <t>Iran</t>
        </is>
      </c>
      <c r="C1581" s="19" t="n">
        <v>87134000</v>
      </c>
      <c r="D1581" s="18" t="inlineStr">
        <is>
          <t>IR</t>
        </is>
      </c>
      <c r="E1581" s="18" t="inlineStr">
        <is>
          <t>34</t>
        </is>
      </c>
      <c r="F1581" s="20" t="n">
        <v>175533</v>
      </c>
      <c r="G1581" s="18" t="n"/>
      <c r="H1581" s="18" t="n"/>
      <c r="I1581" s="18" t="n"/>
      <c r="J1581" s="18" t="n"/>
      <c r="K1581" s="18" t="n"/>
      <c r="L1581" s="18" t="inlineStr">
        <is>
          <t>100k +  pop</t>
        </is>
      </c>
      <c r="M1581" s="22" t="n">
        <v>0</v>
      </c>
      <c r="N1581" s="22" t="n">
        <v>0</v>
      </c>
      <c r="O1581" s="18" t="n"/>
      <c r="P1581" s="22">
        <f>IF(O1581="",(About!$B$5*M1581+About!$B$6*N1581)/(About!$B$5+About!$B$6),About!$B$5*M1581+About!$B$6*N1581+About!$B$7*O1581)</f>
        <v/>
      </c>
      <c r="Q1581" s="23" t="n">
        <v>35.0213</v>
      </c>
      <c r="R1581" s="23" t="n">
        <v>50.3566</v>
      </c>
    </row>
    <row r="1582" ht="15" customHeight="1" s="12">
      <c r="A1582" s="18" t="inlineStr">
        <is>
          <t>Wigan</t>
        </is>
      </c>
      <c r="B1582" s="18" t="inlineStr">
        <is>
          <t>United Kingdom</t>
        </is>
      </c>
      <c r="C1582" s="19" t="n">
        <v>69487000</v>
      </c>
      <c r="D1582" s="18" t="inlineStr">
        <is>
          <t>GB</t>
        </is>
      </c>
      <c r="E1582" s="18" t="inlineStr">
        <is>
          <t>ENG</t>
        </is>
      </c>
      <c r="F1582" s="20" t="n">
        <v>175405</v>
      </c>
      <c r="G1582" s="18" t="n"/>
      <c r="H1582" s="18" t="n"/>
      <c r="I1582" s="18" t="n"/>
      <c r="J1582" s="18" t="n"/>
      <c r="K1582" s="18" t="n"/>
      <c r="L1582" s="18" t="inlineStr">
        <is>
          <t>100k +  pop</t>
        </is>
      </c>
      <c r="M1582" s="22" t="n">
        <v>0</v>
      </c>
      <c r="N1582" s="22" t="n">
        <v>0</v>
      </c>
      <c r="O1582" s="18" t="n"/>
      <c r="P1582" s="22">
        <f>IF(O1582="",(About!$B$5*M1582+About!$B$6*N1582)/(About!$B$5+About!$B$6),About!$B$5*M1582+About!$B$6*N1582+About!$B$7*O1582)</f>
        <v/>
      </c>
      <c r="Q1582" s="23" t="n">
        <v>53.543</v>
      </c>
      <c r="R1582" s="23" t="n">
        <v>-2.6371</v>
      </c>
    </row>
    <row r="1583" ht="15" customHeight="1" s="12">
      <c r="A1583" s="18" t="inlineStr">
        <is>
          <t>Khowy</t>
        </is>
      </c>
      <c r="B1583" s="18" t="inlineStr">
        <is>
          <t>Iran</t>
        </is>
      </c>
      <c r="C1583" s="19" t="n">
        <v>87134000</v>
      </c>
      <c r="D1583" s="18" t="inlineStr">
        <is>
          <t>IR</t>
        </is>
      </c>
      <c r="E1583" s="18" t="inlineStr">
        <is>
          <t>01</t>
        </is>
      </c>
      <c r="F1583" s="20" t="n">
        <v>175370</v>
      </c>
      <c r="G1583" s="18" t="n"/>
      <c r="H1583" s="18" t="n"/>
      <c r="I1583" s="18" t="n"/>
      <c r="J1583" s="18" t="n"/>
      <c r="K1583" s="18" t="n"/>
      <c r="L1583" s="18" t="inlineStr">
        <is>
          <t>100k +  pop</t>
        </is>
      </c>
      <c r="M1583" s="22" t="n">
        <v>0</v>
      </c>
      <c r="N1583" s="22" t="n">
        <v>0</v>
      </c>
      <c r="O1583" s="18" t="n"/>
      <c r="P1583" s="22">
        <f>IF(O1583="",(About!$B$5*M1583+About!$B$6*N1583)/(About!$B$5+About!$B$6),About!$B$5*M1583+About!$B$6*N1583+About!$B$7*O1583)</f>
        <v/>
      </c>
      <c r="Q1583" s="23" t="n">
        <v>38.5503</v>
      </c>
      <c r="R1583" s="23" t="n">
        <v>44.9521</v>
      </c>
    </row>
    <row r="1584" ht="15" customHeight="1" s="12">
      <c r="A1584" s="18" t="inlineStr">
        <is>
          <t>Mzuzu</t>
        </is>
      </c>
      <c r="B1584" s="18" t="inlineStr">
        <is>
          <t>Malawi</t>
        </is>
      </c>
      <c r="C1584" s="19" t="n">
        <v>20734262</v>
      </c>
      <c r="D1584" s="18" t="inlineStr">
        <is>
          <t>MW</t>
        </is>
      </c>
      <c r="E1584" s="18" t="inlineStr">
        <is>
          <t>N</t>
        </is>
      </c>
      <c r="F1584" s="20" t="n">
        <v>175345</v>
      </c>
      <c r="G1584" s="18" t="n"/>
      <c r="H1584" s="18" t="n"/>
      <c r="I1584" s="18" t="n"/>
      <c r="J1584" s="18" t="n"/>
      <c r="K1584" s="18" t="n"/>
      <c r="L1584" s="18" t="inlineStr">
        <is>
          <t>100k +  pop</t>
        </is>
      </c>
      <c r="M1584" s="22" t="n">
        <v>0</v>
      </c>
      <c r="N1584" s="22" t="n">
        <v>0</v>
      </c>
      <c r="O1584" s="18" t="n"/>
      <c r="P1584" s="22">
        <f>IF(O1584="",(About!$B$5*M1584+About!$B$6*N1584)/(About!$B$5+About!$B$6),About!$B$5*M1584+About!$B$6*N1584+About!$B$7*O1584)</f>
        <v/>
      </c>
      <c r="Q1584" s="23" t="n">
        <v>-11.4656</v>
      </c>
      <c r="R1584" s="23" t="n">
        <v>34.0207</v>
      </c>
    </row>
    <row r="1585" ht="15" customHeight="1" s="12">
      <c r="A1585" s="18" t="inlineStr">
        <is>
          <t>Siverek</t>
        </is>
      </c>
      <c r="B1585" s="18" t="inlineStr">
        <is>
          <t>Türkiye</t>
        </is>
      </c>
      <c r="C1585" s="19" t="n">
        <v>86092168</v>
      </c>
      <c r="D1585" s="18" t="inlineStr">
        <is>
          <t>TR</t>
        </is>
      </c>
      <c r="E1585" s="18" t="inlineStr">
        <is>
          <t>63</t>
        </is>
      </c>
      <c r="F1585" s="20" t="n">
        <v>175341</v>
      </c>
      <c r="G1585" s="18" t="n"/>
      <c r="H1585" s="18" t="n"/>
      <c r="I1585" s="18" t="n"/>
      <c r="J1585" s="18" t="n"/>
      <c r="K1585" s="18" t="n"/>
      <c r="L1585" s="18" t="inlineStr">
        <is>
          <t>100k +  pop</t>
        </is>
      </c>
      <c r="M1585" s="22" t="n">
        <v>0</v>
      </c>
      <c r="N1585" s="22" t="n">
        <v>0</v>
      </c>
      <c r="O1585" s="18" t="n"/>
      <c r="P1585" s="22">
        <f>IF(O1585="",(About!$B$5*M1585+About!$B$6*N1585)/(About!$B$5+About!$B$6),About!$B$5*M1585+About!$B$6*N1585+About!$B$7*O1585)</f>
        <v/>
      </c>
      <c r="Q1585" s="23" t="n">
        <v>37.755</v>
      </c>
      <c r="R1585" s="23" t="n">
        <v>39.3167</v>
      </c>
    </row>
    <row r="1586" ht="15" customHeight="1" s="12">
      <c r="A1586" s="18" t="inlineStr">
        <is>
          <t>Bo</t>
        </is>
      </c>
      <c r="B1586" s="18" t="inlineStr">
        <is>
          <t>Sierra Leone</t>
        </is>
      </c>
      <c r="C1586" s="19" t="n">
        <v>9077691</v>
      </c>
      <c r="D1586" s="18" t="inlineStr">
        <is>
          <t>SL</t>
        </is>
      </c>
      <c r="E1586" s="18" t="inlineStr">
        <is>
          <t>03</t>
        </is>
      </c>
      <c r="F1586" s="20" t="n">
        <v>174354</v>
      </c>
      <c r="G1586" s="18" t="n"/>
      <c r="H1586" s="18" t="n"/>
      <c r="I1586" s="18" t="n"/>
      <c r="J1586" s="18" t="n"/>
      <c r="K1586" s="18" t="n"/>
      <c r="L1586" s="18" t="inlineStr">
        <is>
          <t>100k +  pop</t>
        </is>
      </c>
      <c r="M1586" s="22" t="n">
        <v>0</v>
      </c>
      <c r="N1586" s="22" t="n">
        <v>0</v>
      </c>
      <c r="O1586" s="18" t="n"/>
      <c r="P1586" s="22">
        <f>IF(O1586="",(About!$B$5*M1586+About!$B$6*N1586)/(About!$B$5+About!$B$6),About!$B$5*M1586+About!$B$6*N1586+About!$B$7*O1586)</f>
        <v/>
      </c>
      <c r="Q1586" s="23" t="n">
        <v>7.9647</v>
      </c>
      <c r="R1586" s="23" t="n">
        <v>-11.7383</v>
      </c>
    </row>
    <row r="1587" ht="15" customHeight="1" s="12">
      <c r="A1587" s="18" t="inlineStr">
        <is>
          <t>Khān Yūnis</t>
        </is>
      </c>
      <c r="B1587" s="18" t="inlineStr">
        <is>
          <t>Palestine</t>
        </is>
      </c>
      <c r="C1587" s="19" t="n">
        <v>5483450</v>
      </c>
      <c r="D1587" s="18" t="inlineStr">
        <is>
          <t>PS</t>
        </is>
      </c>
      <c r="E1587" s="18" t="inlineStr">
        <is>
          <t>GZ</t>
        </is>
      </c>
      <c r="F1587" s="20" t="n">
        <v>173183</v>
      </c>
      <c r="G1587" s="18" t="n"/>
      <c r="H1587" s="18" t="n"/>
      <c r="I1587" s="18" t="n"/>
      <c r="J1587" s="18" t="n"/>
      <c r="K1587" s="18" t="n"/>
      <c r="L1587" s="18" t="inlineStr">
        <is>
          <t>100k +  pop</t>
        </is>
      </c>
      <c r="M1587" s="22" t="n">
        <v>0</v>
      </c>
      <c r="N1587" s="22" t="n">
        <v>0</v>
      </c>
      <c r="O1587" s="18" t="n"/>
      <c r="P1587" s="22">
        <f>IF(O1587="",(About!$B$5*M1587+About!$B$6*N1587)/(About!$B$5+About!$B$6),About!$B$5*M1587+About!$B$6*N1587+About!$B$7*O1587)</f>
        <v/>
      </c>
      <c r="Q1587" s="23" t="n">
        <v>31.3402</v>
      </c>
      <c r="R1587" s="23" t="n">
        <v>34.3063</v>
      </c>
    </row>
    <row r="1588" ht="15" customHeight="1" s="12">
      <c r="A1588" s="18" t="inlineStr">
        <is>
          <t>Bata</t>
        </is>
      </c>
      <c r="B1588" s="18" t="inlineStr">
        <is>
          <t>Equatorial Guinea</t>
        </is>
      </c>
      <c r="C1588" s="19" t="n">
        <v>1668768</v>
      </c>
      <c r="D1588" s="18" t="inlineStr">
        <is>
          <t>GQ</t>
        </is>
      </c>
      <c r="E1588" s="18" t="inlineStr">
        <is>
          <t>08</t>
        </is>
      </c>
      <c r="F1588" s="20" t="n">
        <v>173046</v>
      </c>
      <c r="G1588" s="18" t="n"/>
      <c r="H1588" s="18" t="inlineStr">
        <is>
          <t>BSG</t>
        </is>
      </c>
      <c r="I1588" s="18" t="inlineStr">
        <is>
          <t>Bata International Airport</t>
        </is>
      </c>
      <c r="J1588" s="21" t="n">
        <v>6.4</v>
      </c>
      <c r="K1588" s="18" t="inlineStr">
        <is>
          <t>BSG</t>
        </is>
      </c>
      <c r="L1588" s="18" t="inlineStr">
        <is>
          <t>100k +  pop + airport</t>
        </is>
      </c>
      <c r="M1588" s="22" t="n">
        <v>0</v>
      </c>
      <c r="N1588" s="22" t="n">
        <v>0</v>
      </c>
      <c r="O1588" s="18" t="n"/>
      <c r="P1588" s="22">
        <f>IF(O1588="",(About!$B$5*M1588+About!$B$6*N1588)/(About!$B$5+About!$B$6),About!$B$5*M1588+About!$B$6*N1588+About!$B$7*O1588)</f>
        <v/>
      </c>
      <c r="Q1588" s="23" t="n">
        <v>1.8639</v>
      </c>
      <c r="R1588" s="23" t="n">
        <v>9.7658</v>
      </c>
    </row>
    <row r="1589" ht="15" customHeight="1" s="12">
      <c r="A1589" s="18" t="inlineStr">
        <is>
          <t>Miskolc</t>
        </is>
      </c>
      <c r="B1589" s="18" t="inlineStr">
        <is>
          <t>Hungary</t>
        </is>
      </c>
      <c r="C1589" s="19" t="n">
        <v>9489000</v>
      </c>
      <c r="D1589" s="18" t="inlineStr">
        <is>
          <t>HU</t>
        </is>
      </c>
      <c r="E1589" s="18" t="inlineStr">
        <is>
          <t>04</t>
        </is>
      </c>
      <c r="F1589" s="20" t="n">
        <v>172637</v>
      </c>
      <c r="G1589" s="18" t="n"/>
      <c r="H1589" s="18" t="n"/>
      <c r="I1589" s="18" t="n"/>
      <c r="J1589" s="18" t="n"/>
      <c r="K1589" s="18" t="n"/>
      <c r="L1589" s="18" t="inlineStr">
        <is>
          <t>100k +  pop</t>
        </is>
      </c>
      <c r="M1589" s="22" t="n">
        <v>0</v>
      </c>
      <c r="N1589" s="22" t="n">
        <v>0</v>
      </c>
      <c r="O1589" s="18" t="n"/>
      <c r="P1589" s="22">
        <f>IF(O1589="",(About!$B$5*M1589+About!$B$6*N1589)/(About!$B$5+About!$B$6),About!$B$5*M1589+About!$B$6*N1589+About!$B$7*O1589)</f>
        <v/>
      </c>
      <c r="Q1589" s="23" t="n">
        <v>48.1031</v>
      </c>
      <c r="R1589" s="23" t="n">
        <v>20.7781</v>
      </c>
    </row>
    <row r="1590" ht="15" customHeight="1" s="12">
      <c r="A1590" s="18" t="inlineStr">
        <is>
          <t>Herne</t>
        </is>
      </c>
      <c r="B1590" s="18" t="inlineStr">
        <is>
          <t>Germany</t>
        </is>
      </c>
      <c r="C1590" s="19" t="n">
        <v>83497147</v>
      </c>
      <c r="D1590" s="18" t="inlineStr">
        <is>
          <t>DE</t>
        </is>
      </c>
      <c r="E1590" s="18" t="inlineStr">
        <is>
          <t>07</t>
        </is>
      </c>
      <c r="F1590" s="20" t="n">
        <v>172108</v>
      </c>
      <c r="G1590" s="18" t="n"/>
      <c r="H1590" s="18" t="n"/>
      <c r="I1590" s="18" t="n"/>
      <c r="J1590" s="18" t="n"/>
      <c r="K1590" s="18" t="n"/>
      <c r="L1590" s="18" t="inlineStr">
        <is>
          <t>100k +  pop</t>
        </is>
      </c>
      <c r="M1590" s="22" t="n">
        <v>0</v>
      </c>
      <c r="N1590" s="22" t="n">
        <v>0</v>
      </c>
      <c r="O1590" s="18" t="n"/>
      <c r="P1590" s="22">
        <f>IF(O1590="",(About!$B$5*M1590+About!$B$6*N1590)/(About!$B$5+About!$B$6),About!$B$5*M1590+About!$B$6*N1590+About!$B$7*O1590)</f>
        <v/>
      </c>
      <c r="Q1590" s="23" t="n">
        <v>51.5388</v>
      </c>
      <c r="R1590" s="23" t="n">
        <v>7.2257</v>
      </c>
    </row>
    <row r="1591" ht="15" customHeight="1" s="12">
      <c r="A1591" s="18" t="inlineStr">
        <is>
          <t>Mansfield</t>
        </is>
      </c>
      <c r="B1591" s="18" t="inlineStr">
        <is>
          <t>United Kingdom</t>
        </is>
      </c>
      <c r="C1591" s="19" t="n">
        <v>69487000</v>
      </c>
      <c r="D1591" s="18" t="inlineStr">
        <is>
          <t>GB</t>
        </is>
      </c>
      <c r="E1591" s="18" t="inlineStr">
        <is>
          <t>ENG</t>
        </is>
      </c>
      <c r="F1591" s="20" t="n">
        <v>171958</v>
      </c>
      <c r="G1591" s="18" t="n"/>
      <c r="H1591" s="18" t="n"/>
      <c r="I1591" s="18" t="n"/>
      <c r="J1591" s="18" t="n"/>
      <c r="K1591" s="18" t="n"/>
      <c r="L1591" s="18" t="inlineStr">
        <is>
          <t>100k +  pop</t>
        </is>
      </c>
      <c r="M1591" s="22" t="n">
        <v>0</v>
      </c>
      <c r="N1591" s="22" t="n">
        <v>0</v>
      </c>
      <c r="O1591" s="18" t="n"/>
      <c r="P1591" s="22">
        <f>IF(O1591="",(About!$B$5*M1591+About!$B$6*N1591)/(About!$B$5+About!$B$6),About!$B$5*M1591+About!$B$6*N1591+About!$B$7*O1591)</f>
        <v/>
      </c>
      <c r="Q1591" s="23" t="n">
        <v>53.1333</v>
      </c>
      <c r="R1591" s="23" t="n">
        <v>-1.2</v>
      </c>
    </row>
    <row r="1592" ht="15" customHeight="1" s="12">
      <c r="A1592" s="18" t="inlineStr">
        <is>
          <t>Prizren</t>
        </is>
      </c>
      <c r="B1592" s="18" t="inlineStr">
        <is>
          <t>Kosovo</t>
        </is>
      </c>
      <c r="C1592" s="19" t="n">
        <v>1585566</v>
      </c>
      <c r="D1592" s="18" t="inlineStr">
        <is>
          <t>XK</t>
        </is>
      </c>
      <c r="E1592" s="18" t="inlineStr">
        <is>
          <t>10097361</t>
        </is>
      </c>
      <c r="F1592" s="20" t="n">
        <v>171464</v>
      </c>
      <c r="G1592" s="18" t="n"/>
      <c r="H1592" s="18" t="n"/>
      <c r="I1592" s="18" t="n"/>
      <c r="J1592" s="18" t="n"/>
      <c r="K1592" s="18" t="n"/>
      <c r="L1592" s="18" t="inlineStr">
        <is>
          <t>100k +  pop</t>
        </is>
      </c>
      <c r="M1592" s="22" t="n">
        <v>0</v>
      </c>
      <c r="N1592" s="22" t="n">
        <v>0</v>
      </c>
      <c r="O1592" s="18" t="n"/>
      <c r="P1592" s="22">
        <f>IF(O1592="",(About!$B$5*M1592+About!$B$6*N1592)/(About!$B$5+About!$B$6),About!$B$5*M1592+About!$B$6*N1592+About!$B$7*O1592)</f>
        <v/>
      </c>
      <c r="Q1592" s="23" t="n">
        <v>42.2139</v>
      </c>
      <c r="R1592" s="23" t="n">
        <v>20.7397</v>
      </c>
    </row>
    <row r="1593" ht="15" customHeight="1" s="12">
      <c r="A1593" s="18" t="inlineStr">
        <is>
          <t>Oxford</t>
        </is>
      </c>
      <c r="B1593" s="18" t="inlineStr">
        <is>
          <t>United Kingdom</t>
        </is>
      </c>
      <c r="C1593" s="19" t="n">
        <v>69487000</v>
      </c>
      <c r="D1593" s="18" t="inlineStr">
        <is>
          <t>GB</t>
        </is>
      </c>
      <c r="E1593" s="18" t="inlineStr">
        <is>
          <t>ENG</t>
        </is>
      </c>
      <c r="F1593" s="20" t="n">
        <v>171380</v>
      </c>
      <c r="G1593" s="18" t="n"/>
      <c r="H1593" s="18" t="n"/>
      <c r="I1593" s="18" t="n"/>
      <c r="J1593" s="18" t="n"/>
      <c r="K1593" s="18" t="n"/>
      <c r="L1593" s="18" t="inlineStr">
        <is>
          <t>100k +  pop</t>
        </is>
      </c>
      <c r="M1593" s="22" t="n">
        <v>0</v>
      </c>
      <c r="N1593" s="22" t="n">
        <v>0</v>
      </c>
      <c r="O1593" s="18" t="n"/>
      <c r="P1593" s="22">
        <f>IF(O1593="",(About!$B$5*M1593+About!$B$6*N1593)/(About!$B$5+About!$B$6),About!$B$5*M1593+About!$B$6*N1593+About!$B$7*O1593)</f>
        <v/>
      </c>
      <c r="Q1593" s="23" t="n">
        <v>51.7522</v>
      </c>
      <c r="R1593" s="23" t="n">
        <v>-1.256</v>
      </c>
    </row>
    <row r="1594" ht="15" customHeight="1" s="12">
      <c r="A1594" s="18" t="inlineStr">
        <is>
          <t>Dagupan</t>
        </is>
      </c>
      <c r="B1594" s="18" t="inlineStr">
        <is>
          <t>Philippines</t>
        </is>
      </c>
      <c r="C1594" s="19" t="n">
        <v>114123600</v>
      </c>
      <c r="D1594" s="18" t="inlineStr">
        <is>
          <t>PH</t>
        </is>
      </c>
      <c r="E1594" s="18" t="inlineStr">
        <is>
          <t>01</t>
        </is>
      </c>
      <c r="F1594" s="20" t="n">
        <v>171271</v>
      </c>
      <c r="G1594" s="18" t="n"/>
      <c r="H1594" s="18" t="n"/>
      <c r="I1594" s="18" t="n"/>
      <c r="J1594" s="18" t="n"/>
      <c r="K1594" s="18" t="n"/>
      <c r="L1594" s="18" t="inlineStr">
        <is>
          <t>100k +  pop</t>
        </is>
      </c>
      <c r="M1594" s="22" t="n">
        <v>0</v>
      </c>
      <c r="N1594" s="22" t="n">
        <v>0</v>
      </c>
      <c r="O1594" s="18" t="n"/>
      <c r="P1594" s="22">
        <f>IF(O1594="",(About!$B$5*M1594+About!$B$6*N1594)/(About!$B$5+About!$B$6),About!$B$5*M1594+About!$B$6*N1594+About!$B$7*O1594)</f>
        <v/>
      </c>
      <c r="Q1594" s="23" t="n">
        <v>16.0431</v>
      </c>
      <c r="R1594" s="23" t="n">
        <v>120.3333</v>
      </c>
    </row>
    <row r="1595" ht="15" customHeight="1" s="12">
      <c r="A1595" s="18" t="inlineStr">
        <is>
          <t>Jacobabad</t>
        </is>
      </c>
      <c r="B1595" s="18" t="inlineStr">
        <is>
          <t>Pakistan</t>
        </is>
      </c>
      <c r="C1595" s="19" t="n">
        <v>241499431</v>
      </c>
      <c r="D1595" s="18" t="inlineStr">
        <is>
          <t>PK</t>
        </is>
      </c>
      <c r="E1595" s="18" t="inlineStr">
        <is>
          <t>05</t>
        </is>
      </c>
      <c r="F1595" s="20" t="n">
        <v>170588</v>
      </c>
      <c r="G1595" s="18" t="n"/>
      <c r="H1595" s="18" t="n"/>
      <c r="I1595" s="18" t="n"/>
      <c r="J1595" s="18" t="n"/>
      <c r="K1595" s="18" t="n"/>
      <c r="L1595" s="18" t="inlineStr">
        <is>
          <t>100k +  pop</t>
        </is>
      </c>
      <c r="M1595" s="22" t="n">
        <v>0</v>
      </c>
      <c r="N1595" s="22" t="n">
        <v>0</v>
      </c>
      <c r="O1595" s="18" t="n"/>
      <c r="P1595" s="22">
        <f>IF(O1595="",(About!$B$5*M1595+About!$B$6*N1595)/(About!$B$5+About!$B$6),About!$B$5*M1595+About!$B$6*N1595+About!$B$7*O1595)</f>
        <v/>
      </c>
      <c r="Q1595" s="23" t="n">
        <v>28.2819</v>
      </c>
      <c r="R1595" s="23" t="n">
        <v>68.4376</v>
      </c>
    </row>
    <row r="1596" ht="15" customHeight="1" s="12">
      <c r="A1596" s="18" t="inlineStr">
        <is>
          <t>Albacete</t>
        </is>
      </c>
      <c r="B1596" s="18" t="inlineStr">
        <is>
          <t>Spain</t>
        </is>
      </c>
      <c r="C1596" s="19" t="n">
        <v>49687120</v>
      </c>
      <c r="D1596" s="18" t="inlineStr">
        <is>
          <t>ES</t>
        </is>
      </c>
      <c r="E1596" s="18" t="inlineStr">
        <is>
          <t>54</t>
        </is>
      </c>
      <c r="F1596" s="20" t="n">
        <v>169716</v>
      </c>
      <c r="G1596" s="18" t="n"/>
      <c r="H1596" s="18" t="n"/>
      <c r="I1596" s="18" t="n"/>
      <c r="J1596" s="18" t="n"/>
      <c r="K1596" s="18" t="n"/>
      <c r="L1596" s="18" t="inlineStr">
        <is>
          <t>100k +  pop</t>
        </is>
      </c>
      <c r="M1596" s="22" t="n">
        <v>0</v>
      </c>
      <c r="N1596" s="22" t="n">
        <v>0</v>
      </c>
      <c r="O1596" s="18" t="n"/>
      <c r="P1596" s="22">
        <f>IF(O1596="",(About!$B$5*M1596+About!$B$6*N1596)/(About!$B$5+About!$B$6),About!$B$5*M1596+About!$B$6*N1596+About!$B$7*O1596)</f>
        <v/>
      </c>
      <c r="Q1596" s="23" t="n">
        <v>38.9942</v>
      </c>
      <c r="R1596" s="23" t="n">
        <v>-1.8564</v>
      </c>
    </row>
    <row r="1597" ht="15" customHeight="1" s="12">
      <c r="A1597" s="18" t="inlineStr">
        <is>
          <t>Jabālyā</t>
        </is>
      </c>
      <c r="B1597" s="18" t="inlineStr">
        <is>
          <t>Palestine</t>
        </is>
      </c>
      <c r="C1597" s="19" t="n">
        <v>5483450</v>
      </c>
      <c r="D1597" s="18" t="inlineStr">
        <is>
          <t>PS</t>
        </is>
      </c>
      <c r="E1597" s="18" t="inlineStr">
        <is>
          <t>GZ</t>
        </is>
      </c>
      <c r="F1597" s="20" t="n">
        <v>168568</v>
      </c>
      <c r="G1597" s="18" t="n"/>
      <c r="H1597" s="18" t="n"/>
      <c r="I1597" s="18" t="n"/>
      <c r="J1597" s="18" t="n"/>
      <c r="K1597" s="18" t="n"/>
      <c r="L1597" s="18" t="inlineStr">
        <is>
          <t>100k +  pop</t>
        </is>
      </c>
      <c r="M1597" s="22" t="n">
        <v>0</v>
      </c>
      <c r="N1597" s="22" t="n">
        <v>0</v>
      </c>
      <c r="O1597" s="18" t="n"/>
      <c r="P1597" s="22">
        <f>IF(O1597="",(About!$B$5*M1597+About!$B$6*N1597)/(About!$B$5+About!$B$6),About!$B$5*M1597+About!$B$6*N1597+About!$B$7*O1597)</f>
        <v/>
      </c>
      <c r="Q1597" s="23" t="n">
        <v>31.5272</v>
      </c>
      <c r="R1597" s="23" t="n">
        <v>34.4835</v>
      </c>
    </row>
    <row r="1598" ht="15" customHeight="1" s="12">
      <c r="A1598" s="18" t="inlineStr">
        <is>
          <t>Bordj Bou Arreridj</t>
        </is>
      </c>
      <c r="B1598" s="18" t="inlineStr">
        <is>
          <t>Algeria</t>
        </is>
      </c>
      <c r="C1598" s="19" t="n">
        <v>47400000</v>
      </c>
      <c r="D1598" s="18" t="inlineStr">
        <is>
          <t>DZ</t>
        </is>
      </c>
      <c r="E1598" s="18" t="inlineStr">
        <is>
          <t>39</t>
        </is>
      </c>
      <c r="F1598" s="20" t="n">
        <v>168346</v>
      </c>
      <c r="G1598" s="18" t="n"/>
      <c r="H1598" s="18" t="n"/>
      <c r="I1598" s="18" t="n"/>
      <c r="J1598" s="18" t="n"/>
      <c r="K1598" s="18" t="n"/>
      <c r="L1598" s="18" t="inlineStr">
        <is>
          <t>100k +  pop</t>
        </is>
      </c>
      <c r="M1598" s="22" t="n">
        <v>0</v>
      </c>
      <c r="N1598" s="22" t="n">
        <v>0</v>
      </c>
      <c r="O1598" s="18" t="n"/>
      <c r="P1598" s="22">
        <f>IF(O1598="",(About!$B$5*M1598+About!$B$6*N1598)/(About!$B$5+About!$B$6),About!$B$5*M1598+About!$B$6*N1598+About!$B$7*O1598)</f>
        <v/>
      </c>
      <c r="Q1598" s="23" t="n">
        <v>36.0732</v>
      </c>
      <c r="R1598" s="23" t="n">
        <v>4.7611</v>
      </c>
    </row>
    <row r="1599" ht="15" customHeight="1" s="12">
      <c r="A1599" s="18" t="inlineStr">
        <is>
          <t>Angers</t>
        </is>
      </c>
      <c r="B1599" s="18" t="inlineStr">
        <is>
          <t>France</t>
        </is>
      </c>
      <c r="C1599" s="19" t="n">
        <v>69081996</v>
      </c>
      <c r="D1599" s="18" t="inlineStr">
        <is>
          <t>FR</t>
        </is>
      </c>
      <c r="E1599" s="18" t="inlineStr">
        <is>
          <t>52</t>
        </is>
      </c>
      <c r="F1599" s="20" t="n">
        <v>168279</v>
      </c>
      <c r="G1599" s="18" t="n"/>
      <c r="H1599" s="18" t="n"/>
      <c r="I1599" s="18" t="n"/>
      <c r="J1599" s="18" t="n"/>
      <c r="K1599" s="18" t="n"/>
      <c r="L1599" s="18" t="inlineStr">
        <is>
          <t>100k +  pop</t>
        </is>
      </c>
      <c r="M1599" s="22" t="n">
        <v>0</v>
      </c>
      <c r="N1599" s="22" t="n">
        <v>0</v>
      </c>
      <c r="O1599" s="18" t="n"/>
      <c r="P1599" s="22">
        <f>IF(O1599="",(About!$B$5*M1599+About!$B$6*N1599)/(About!$B$5+About!$B$6),About!$B$5*M1599+About!$B$6*N1599+About!$B$7*O1599)</f>
        <v/>
      </c>
      <c r="Q1599" s="23" t="n">
        <v>47.4738</v>
      </c>
      <c r="R1599" s="23" t="n">
        <v>-0.5477</v>
      </c>
    </row>
    <row r="1600" ht="15" customHeight="1" s="12">
      <c r="A1600" s="18" t="inlineStr">
        <is>
          <t>Pátra</t>
        </is>
      </c>
      <c r="B1600" s="18" t="inlineStr">
        <is>
          <t>Greece</t>
        </is>
      </c>
      <c r="C1600" s="19" t="n">
        <v>10372335</v>
      </c>
      <c r="D1600" s="18" t="inlineStr">
        <is>
          <t>GR</t>
        </is>
      </c>
      <c r="E1600" s="18" t="inlineStr">
        <is>
          <t>ESYE23</t>
        </is>
      </c>
      <c r="F1600" s="20" t="n">
        <v>168034</v>
      </c>
      <c r="G1600" s="18" t="n"/>
      <c r="H1600" s="18" t="n"/>
      <c r="I1600" s="18" t="n"/>
      <c r="J1600" s="18" t="n"/>
      <c r="K1600" s="18" t="n"/>
      <c r="L1600" s="18" t="inlineStr">
        <is>
          <t>100k +  pop</t>
        </is>
      </c>
      <c r="M1600" s="22" t="n">
        <v>0</v>
      </c>
      <c r="N1600" s="22" t="n">
        <v>0</v>
      </c>
      <c r="O1600" s="18" t="n"/>
      <c r="P1600" s="22">
        <f>IF(O1600="",(About!$B$5*M1600+About!$B$6*N1600)/(About!$B$5+About!$B$6),About!$B$5*M1600+About!$B$6*N1600+About!$B$7*O1600)</f>
        <v/>
      </c>
      <c r="Q1600" s="23" t="n">
        <v>38.2444</v>
      </c>
      <c r="R1600" s="23" t="n">
        <v>21.7344</v>
      </c>
    </row>
    <row r="1601" ht="15" customHeight="1" s="12">
      <c r="A1601" s="18" t="inlineStr">
        <is>
          <t>Jamālpur</t>
        </is>
      </c>
      <c r="B1601" s="18" t="inlineStr">
        <is>
          <t>Bangladesh</t>
        </is>
      </c>
      <c r="C1601" s="19" t="n">
        <v>169828911</v>
      </c>
      <c r="D1601" s="18" t="inlineStr">
        <is>
          <t>BD</t>
        </is>
      </c>
      <c r="E1601" s="18" t="inlineStr">
        <is>
          <t>H</t>
        </is>
      </c>
      <c r="F1601" s="20" t="n">
        <v>167900</v>
      </c>
      <c r="G1601" s="18" t="n"/>
      <c r="H1601" s="18" t="n"/>
      <c r="I1601" s="18" t="n"/>
      <c r="J1601" s="18" t="n"/>
      <c r="K1601" s="18" t="n"/>
      <c r="L1601" s="18" t="inlineStr">
        <is>
          <t>100k +  pop</t>
        </is>
      </c>
      <c r="M1601" s="22" t="n">
        <v>0</v>
      </c>
      <c r="N1601" s="22" t="n">
        <v>0</v>
      </c>
      <c r="O1601" s="18" t="n"/>
      <c r="P1601" s="22">
        <f>IF(O1601="",(About!$B$5*M1601+About!$B$6*N1601)/(About!$B$5+About!$B$6),About!$B$5*M1601+About!$B$6*N1601+About!$B$7*O1601)</f>
        <v/>
      </c>
      <c r="Q1601" s="23" t="n">
        <v>24.9197</v>
      </c>
      <c r="R1601" s="23" t="n">
        <v>89.9481</v>
      </c>
    </row>
    <row r="1602" ht="15" customHeight="1" s="12">
      <c r="A1602" s="18" t="inlineStr">
        <is>
          <t>Banhā</t>
        </is>
      </c>
      <c r="B1602" s="18" t="inlineStr">
        <is>
          <t>Egypt</t>
        </is>
      </c>
      <c r="C1602" s="19" t="n">
        <v>108613296</v>
      </c>
      <c r="D1602" s="18" t="inlineStr">
        <is>
          <t>EG</t>
        </is>
      </c>
      <c r="E1602" s="18" t="inlineStr">
        <is>
          <t>12</t>
        </is>
      </c>
      <c r="F1602" s="20" t="n">
        <v>167029</v>
      </c>
      <c r="G1602" s="18" t="n"/>
      <c r="H1602" s="18" t="n"/>
      <c r="I1602" s="18" t="n"/>
      <c r="J1602" s="18" t="n"/>
      <c r="K1602" s="18" t="n"/>
      <c r="L1602" s="18" t="inlineStr">
        <is>
          <t>100k +  pop</t>
        </is>
      </c>
      <c r="M1602" s="22" t="n">
        <v>0</v>
      </c>
      <c r="N1602" s="22" t="n">
        <v>0</v>
      </c>
      <c r="O1602" s="18" t="n"/>
      <c r="P1602" s="22">
        <f>IF(O1602="",(About!$B$5*M1602+About!$B$6*N1602)/(About!$B$5+About!$B$6),About!$B$5*M1602+About!$B$6*N1602+About!$B$7*O1602)</f>
        <v/>
      </c>
      <c r="Q1602" s="23" t="n">
        <v>30.4598</v>
      </c>
      <c r="R1602" s="23" t="n">
        <v>31.1842</v>
      </c>
    </row>
    <row r="1603" ht="15" customHeight="1" s="12">
      <c r="A1603" s="18" t="inlineStr">
        <is>
          <t>Osnabrück</t>
        </is>
      </c>
      <c r="B1603" s="18" t="inlineStr">
        <is>
          <t>Germany</t>
        </is>
      </c>
      <c r="C1603" s="19" t="n">
        <v>83497147</v>
      </c>
      <c r="D1603" s="18" t="inlineStr">
        <is>
          <t>DE</t>
        </is>
      </c>
      <c r="E1603" s="18" t="inlineStr">
        <is>
          <t>06</t>
        </is>
      </c>
      <c r="F1603" s="20" t="n">
        <v>166462</v>
      </c>
      <c r="G1603" s="18" t="n"/>
      <c r="H1603" s="18" t="n"/>
      <c r="I1603" s="18" t="n"/>
      <c r="J1603" s="18" t="n"/>
      <c r="K1603" s="18" t="n"/>
      <c r="L1603" s="18" t="inlineStr">
        <is>
          <t>100k +  pop</t>
        </is>
      </c>
      <c r="M1603" s="22" t="n">
        <v>0</v>
      </c>
      <c r="N1603" s="22" t="n">
        <v>0</v>
      </c>
      <c r="O1603" s="18" t="n"/>
      <c r="P1603" s="22">
        <f>IF(O1603="",(About!$B$5*M1603+About!$B$6*N1603)/(About!$B$5+About!$B$6),About!$B$5*M1603+About!$B$6*N1603+About!$B$7*O1603)</f>
        <v/>
      </c>
      <c r="Q1603" s="23" t="n">
        <v>52.2726</v>
      </c>
      <c r="R1603" s="23" t="n">
        <v>8.049799999999999</v>
      </c>
    </row>
    <row r="1604" ht="15" customHeight="1" s="12">
      <c r="A1604" s="18" t="inlineStr">
        <is>
          <t>Kamakura</t>
        </is>
      </c>
      <c r="B1604" s="18" t="inlineStr">
        <is>
          <t>Japan</t>
        </is>
      </c>
      <c r="C1604" s="19" t="n">
        <v>122810000</v>
      </c>
      <c r="D1604" s="18" t="inlineStr">
        <is>
          <t>JP</t>
        </is>
      </c>
      <c r="E1604" s="18" t="inlineStr">
        <is>
          <t>19</t>
        </is>
      </c>
      <c r="F1604" s="20" t="n">
        <v>166016</v>
      </c>
      <c r="G1604" s="18" t="n"/>
      <c r="H1604" s="18" t="n"/>
      <c r="I1604" s="18" t="n"/>
      <c r="J1604" s="18" t="n"/>
      <c r="K1604" s="18" t="n"/>
      <c r="L1604" s="18" t="inlineStr">
        <is>
          <t>100k +  pop</t>
        </is>
      </c>
      <c r="M1604" s="22" t="n">
        <v>0</v>
      </c>
      <c r="N1604" s="22" t="n">
        <v>0</v>
      </c>
      <c r="O1604" s="18" t="n"/>
      <c r="P1604" s="22">
        <f>IF(O1604="",(About!$B$5*M1604+About!$B$6*N1604)/(About!$B$5+About!$B$6),About!$B$5*M1604+About!$B$6*N1604+About!$B$7*O1604)</f>
        <v/>
      </c>
      <c r="Q1604" s="23" t="n">
        <v>35.3089</v>
      </c>
      <c r="R1604" s="23" t="n">
        <v>139.5503</v>
      </c>
    </row>
    <row r="1605" ht="15" customHeight="1" s="12">
      <c r="A1605" s="18" t="inlineStr">
        <is>
          <t>Oakville</t>
        </is>
      </c>
      <c r="B1605" s="18" t="inlineStr">
        <is>
          <t>Canada</t>
        </is>
      </c>
      <c r="C1605" s="19" t="n">
        <v>41472081</v>
      </c>
      <c r="D1605" s="18" t="inlineStr">
        <is>
          <t>CA</t>
        </is>
      </c>
      <c r="E1605" s="18" t="inlineStr">
        <is>
          <t>08</t>
        </is>
      </c>
      <c r="F1605" s="20" t="n">
        <v>165697</v>
      </c>
      <c r="G1605" s="18" t="n"/>
      <c r="H1605" s="18" t="n"/>
      <c r="I1605" s="18" t="n"/>
      <c r="J1605" s="18" t="n"/>
      <c r="K1605" s="18" t="n"/>
      <c r="L1605" s="18" t="inlineStr">
        <is>
          <t>100k +  pop</t>
        </is>
      </c>
      <c r="M1605" s="22" t="n">
        <v>0</v>
      </c>
      <c r="N1605" s="22" t="n">
        <v>0</v>
      </c>
      <c r="O1605" s="18" t="n"/>
      <c r="P1605" s="22">
        <f>IF(O1605="",(About!$B$5*M1605+About!$B$6*N1605)/(About!$B$5+About!$B$6),About!$B$5*M1605+About!$B$6*N1605+About!$B$7*O1605)</f>
        <v/>
      </c>
      <c r="Q1605" s="23" t="n">
        <v>43.4501</v>
      </c>
      <c r="R1605" s="23" t="n">
        <v>-79.6829</v>
      </c>
    </row>
    <row r="1606" ht="15" customHeight="1" s="12">
      <c r="A1606" s="18" t="inlineStr">
        <is>
          <t>Tuluá</t>
        </is>
      </c>
      <c r="B1606" s="18" t="inlineStr">
        <is>
          <t>Colombia</t>
        </is>
      </c>
      <c r="C1606" s="19" t="n">
        <v>53057212</v>
      </c>
      <c r="D1606" s="18" t="inlineStr">
        <is>
          <t>CO</t>
        </is>
      </c>
      <c r="E1606" s="18" t="inlineStr">
        <is>
          <t>29</t>
        </is>
      </c>
      <c r="F1606" s="20" t="n">
        <v>165501</v>
      </c>
      <c r="G1606" s="18" t="n"/>
      <c r="H1606" s="18" t="n"/>
      <c r="I1606" s="18" t="n"/>
      <c r="J1606" s="18" t="n"/>
      <c r="K1606" s="18" t="n"/>
      <c r="L1606" s="18" t="inlineStr">
        <is>
          <t>100k +  pop</t>
        </is>
      </c>
      <c r="M1606" s="22" t="n">
        <v>0</v>
      </c>
      <c r="N1606" s="22" t="n">
        <v>0</v>
      </c>
      <c r="O1606" s="18" t="n"/>
      <c r="P1606" s="22">
        <f>IF(O1606="",(About!$B$5*M1606+About!$B$6*N1606)/(About!$B$5+About!$B$6),About!$B$5*M1606+About!$B$6*N1606+About!$B$7*O1606)</f>
        <v/>
      </c>
      <c r="Q1606" s="23" t="n">
        <v>4.0847</v>
      </c>
      <c r="R1606" s="23" t="n">
        <v>-76.19540000000001</v>
      </c>
    </row>
    <row r="1607" ht="15" customHeight="1" s="12">
      <c r="A1607" s="18" t="inlineStr">
        <is>
          <t>Muzaffargarh</t>
        </is>
      </c>
      <c r="B1607" s="18" t="inlineStr">
        <is>
          <t>Pakistan</t>
        </is>
      </c>
      <c r="C1607" s="19" t="n">
        <v>241499431</v>
      </c>
      <c r="D1607" s="18" t="inlineStr">
        <is>
          <t>PK</t>
        </is>
      </c>
      <c r="E1607" s="18" t="inlineStr">
        <is>
          <t>04</t>
        </is>
      </c>
      <c r="F1607" s="20" t="n">
        <v>165192</v>
      </c>
      <c r="G1607" s="18" t="n"/>
      <c r="H1607" s="18" t="n"/>
      <c r="I1607" s="18" t="n"/>
      <c r="J1607" s="18" t="n"/>
      <c r="K1607" s="18" t="n"/>
      <c r="L1607" s="18" t="inlineStr">
        <is>
          <t>100k +  pop</t>
        </is>
      </c>
      <c r="M1607" s="22" t="n">
        <v>0</v>
      </c>
      <c r="N1607" s="22" t="n">
        <v>0</v>
      </c>
      <c r="O1607" s="18" t="n"/>
      <c r="P1607" s="22">
        <f>IF(O1607="",(About!$B$5*M1607+About!$B$6*N1607)/(About!$B$5+About!$B$6),About!$B$5*M1607+About!$B$6*N1607+About!$B$7*O1607)</f>
        <v/>
      </c>
      <c r="Q1607" s="23" t="n">
        <v>30.0726</v>
      </c>
      <c r="R1607" s="23" t="n">
        <v>71.1938</v>
      </c>
    </row>
    <row r="1608" ht="15" customHeight="1" s="12">
      <c r="A1608" s="18" t="inlineStr">
        <is>
          <t>Zenica</t>
        </is>
      </c>
      <c r="B1608" s="18" t="inlineStr">
        <is>
          <t>Bosnia and Herzegovina</t>
        </is>
      </c>
      <c r="C1608" s="19" t="n">
        <v>3412000</v>
      </c>
      <c r="D1608" s="18" t="inlineStr">
        <is>
          <t>BA</t>
        </is>
      </c>
      <c r="E1608" s="18" t="inlineStr">
        <is>
          <t>01</t>
        </is>
      </c>
      <c r="F1608" s="20" t="n">
        <v>164423</v>
      </c>
      <c r="G1608" s="18" t="n"/>
      <c r="H1608" s="18" t="n"/>
      <c r="I1608" s="18" t="n"/>
      <c r="J1608" s="18" t="n"/>
      <c r="K1608" s="18" t="n"/>
      <c r="L1608" s="18" t="inlineStr">
        <is>
          <t>100k +  pop</t>
        </is>
      </c>
      <c r="M1608" s="22" t="n">
        <v>0</v>
      </c>
      <c r="N1608" s="22" t="n">
        <v>0</v>
      </c>
      <c r="O1608" s="18" t="n"/>
      <c r="P1608" s="22">
        <f>IF(O1608="",(About!$B$5*M1608+About!$B$6*N1608)/(About!$B$5+About!$B$6),About!$B$5*M1608+About!$B$6*N1608+About!$B$7*O1608)</f>
        <v/>
      </c>
      <c r="Q1608" s="23" t="n">
        <v>44.2017</v>
      </c>
      <c r="R1608" s="23" t="n">
        <v>17.904</v>
      </c>
    </row>
    <row r="1609" ht="15" customHeight="1" s="12">
      <c r="A1609" s="18" t="inlineStr">
        <is>
          <t>Solingen</t>
        </is>
      </c>
      <c r="B1609" s="18" t="inlineStr">
        <is>
          <t>Germany</t>
        </is>
      </c>
      <c r="C1609" s="19" t="n">
        <v>83497147</v>
      </c>
      <c r="D1609" s="18" t="inlineStr">
        <is>
          <t>DE</t>
        </is>
      </c>
      <c r="E1609" s="18" t="inlineStr">
        <is>
          <t>07</t>
        </is>
      </c>
      <c r="F1609" s="20" t="n">
        <v>164359</v>
      </c>
      <c r="G1609" s="18" t="n"/>
      <c r="H1609" s="18" t="n"/>
      <c r="I1609" s="18" t="n"/>
      <c r="J1609" s="18" t="n"/>
      <c r="K1609" s="18" t="n"/>
      <c r="L1609" s="18" t="inlineStr">
        <is>
          <t>100k +  pop</t>
        </is>
      </c>
      <c r="M1609" s="22" t="n">
        <v>0</v>
      </c>
      <c r="N1609" s="22" t="n">
        <v>0</v>
      </c>
      <c r="O1609" s="18" t="n"/>
      <c r="P1609" s="22">
        <f>IF(O1609="",(About!$B$5*M1609+About!$B$6*N1609)/(About!$B$5+About!$B$6),About!$B$5*M1609+About!$B$6*N1609+About!$B$7*O1609)</f>
        <v/>
      </c>
      <c r="Q1609" s="23" t="n">
        <v>51.1734</v>
      </c>
      <c r="R1609" s="23" t="n">
        <v>7.0845</v>
      </c>
    </row>
    <row r="1610" ht="15" customHeight="1" s="12">
      <c r="A1610" s="18" t="inlineStr">
        <is>
          <t>Muridke</t>
        </is>
      </c>
      <c r="B1610" s="18" t="inlineStr">
        <is>
          <t>Pakistan</t>
        </is>
      </c>
      <c r="C1610" s="19" t="n">
        <v>241499431</v>
      </c>
      <c r="D1610" s="18" t="inlineStr">
        <is>
          <t>PK</t>
        </is>
      </c>
      <c r="E1610" s="18" t="inlineStr">
        <is>
          <t>04</t>
        </is>
      </c>
      <c r="F1610" s="20" t="n">
        <v>164246</v>
      </c>
      <c r="G1610" s="18" t="n"/>
      <c r="H1610" s="18" t="n"/>
      <c r="I1610" s="18" t="n"/>
      <c r="J1610" s="18" t="n"/>
      <c r="K1610" s="18" t="n"/>
      <c r="L1610" s="18" t="inlineStr">
        <is>
          <t>100k +  pop</t>
        </is>
      </c>
      <c r="M1610" s="22" t="n">
        <v>0</v>
      </c>
      <c r="N1610" s="22" t="n">
        <v>0</v>
      </c>
      <c r="O1610" s="18" t="n"/>
      <c r="P1610" s="22">
        <f>IF(O1610="",(About!$B$5*M1610+About!$B$6*N1610)/(About!$B$5+About!$B$6),About!$B$5*M1610+About!$B$6*N1610+About!$B$7*O1610)</f>
        <v/>
      </c>
      <c r="Q1610" s="23" t="n">
        <v>31.8026</v>
      </c>
      <c r="R1610" s="23" t="n">
        <v>74.2577</v>
      </c>
    </row>
    <row r="1611" ht="15" customHeight="1" s="12">
      <c r="A1611" s="18" t="inlineStr">
        <is>
          <t>Pilsen</t>
        </is>
      </c>
      <c r="B1611" s="18" t="inlineStr">
        <is>
          <t>Czechia</t>
        </is>
      </c>
      <c r="C1611" s="19" t="n">
        <v>10915839</v>
      </c>
      <c r="D1611" s="18" t="inlineStr">
        <is>
          <t>CZ</t>
        </is>
      </c>
      <c r="E1611" s="18" t="inlineStr">
        <is>
          <t>87</t>
        </is>
      </c>
      <c r="F1611" s="20" t="n">
        <v>164180</v>
      </c>
      <c r="G1611" s="18" t="n"/>
      <c r="H1611" s="18" t="n"/>
      <c r="I1611" s="18" t="n"/>
      <c r="J1611" s="18" t="n"/>
      <c r="K1611" s="18" t="n"/>
      <c r="L1611" s="18" t="inlineStr">
        <is>
          <t>100k +  pop</t>
        </is>
      </c>
      <c r="M1611" s="22" t="n">
        <v>0</v>
      </c>
      <c r="N1611" s="22" t="n">
        <v>0</v>
      </c>
      <c r="O1611" s="18" t="n"/>
      <c r="P1611" s="22">
        <f>IF(O1611="",(About!$B$5*M1611+About!$B$6*N1611)/(About!$B$5+About!$B$6),About!$B$5*M1611+About!$B$6*N1611+About!$B$7*O1611)</f>
        <v/>
      </c>
      <c r="Q1611" s="23" t="n">
        <v>49.7475</v>
      </c>
      <c r="R1611" s="23" t="n">
        <v>13.3776</v>
      </c>
    </row>
    <row r="1612" ht="15" customHeight="1" s="12">
      <c r="A1612" s="18" t="inlineStr">
        <is>
          <t>Sidon</t>
        </is>
      </c>
      <c r="B1612" s="18" t="inlineStr">
        <is>
          <t>Lebanon</t>
        </is>
      </c>
      <c r="C1612" s="19" t="n">
        <v>5490000</v>
      </c>
      <c r="D1612" s="18" t="inlineStr">
        <is>
          <t>LB</t>
        </is>
      </c>
      <c r="E1612" s="18" t="inlineStr">
        <is>
          <t>06</t>
        </is>
      </c>
      <c r="F1612" s="20" t="n">
        <v>163554</v>
      </c>
      <c r="G1612" s="18" t="n"/>
      <c r="H1612" s="18" t="n"/>
      <c r="I1612" s="18" t="n"/>
      <c r="J1612" s="18" t="n"/>
      <c r="K1612" s="18" t="n"/>
      <c r="L1612" s="18" t="inlineStr">
        <is>
          <t>100k +  pop</t>
        </is>
      </c>
      <c r="M1612" s="22" t="n">
        <v>0</v>
      </c>
      <c r="N1612" s="22" t="n">
        <v>0</v>
      </c>
      <c r="O1612" s="18" t="n"/>
      <c r="P1612" s="22">
        <f>IF(O1612="",(About!$B$5*M1612+About!$B$6*N1612)/(About!$B$5+About!$B$6),About!$B$5*M1612+About!$B$6*N1612+About!$B$7*O1612)</f>
        <v/>
      </c>
      <c r="Q1612" s="23" t="n">
        <v>33.5575</v>
      </c>
      <c r="R1612" s="23" t="n">
        <v>35.3715</v>
      </c>
    </row>
    <row r="1613" ht="15" customHeight="1" s="12">
      <c r="A1613" s="18" t="inlineStr">
        <is>
          <t>Maradi</t>
        </is>
      </c>
      <c r="B1613" s="18" t="inlineStr">
        <is>
          <t>Niger</t>
        </is>
      </c>
      <c r="C1613" s="19" t="n">
        <v>27522750</v>
      </c>
      <c r="D1613" s="18" t="inlineStr">
        <is>
          <t>NE</t>
        </is>
      </c>
      <c r="E1613" s="18" t="inlineStr">
        <is>
          <t>04</t>
        </is>
      </c>
      <c r="F1613" s="20" t="n">
        <v>163487</v>
      </c>
      <c r="G1613" s="18" t="n"/>
      <c r="H1613" s="18" t="n"/>
      <c r="I1613" s="18" t="n"/>
      <c r="J1613" s="18" t="n"/>
      <c r="K1613" s="18" t="n"/>
      <c r="L1613" s="18" t="inlineStr">
        <is>
          <t>100k +  pop</t>
        </is>
      </c>
      <c r="M1613" s="22" t="n">
        <v>0</v>
      </c>
      <c r="N1613" s="22" t="n">
        <v>0</v>
      </c>
      <c r="O1613" s="18" t="n"/>
      <c r="P1613" s="22">
        <f>IF(O1613="",(About!$B$5*M1613+About!$B$6*N1613)/(About!$B$5+About!$B$6),About!$B$5*M1613+About!$B$6*N1613+About!$B$7*O1613)</f>
        <v/>
      </c>
      <c r="Q1613" s="23" t="n">
        <v>13.5</v>
      </c>
      <c r="R1613" s="23" t="n">
        <v>7.1017</v>
      </c>
    </row>
    <row r="1614" ht="15" customHeight="1" s="12">
      <c r="A1614" s="18" t="inlineStr">
        <is>
          <t>Peterborough</t>
        </is>
      </c>
      <c r="B1614" s="18" t="inlineStr">
        <is>
          <t>United Kingdom</t>
        </is>
      </c>
      <c r="C1614" s="19" t="n">
        <v>69487000</v>
      </c>
      <c r="D1614" s="18" t="inlineStr">
        <is>
          <t>GB</t>
        </is>
      </c>
      <c r="E1614" s="18" t="inlineStr">
        <is>
          <t>ENG</t>
        </is>
      </c>
      <c r="F1614" s="20" t="n">
        <v>163379</v>
      </c>
      <c r="G1614" s="18" t="n"/>
      <c r="H1614" s="18" t="n"/>
      <c r="I1614" s="18" t="n"/>
      <c r="J1614" s="18" t="n"/>
      <c r="K1614" s="18" t="n"/>
      <c r="L1614" s="18" t="inlineStr">
        <is>
          <t>100k +  pop</t>
        </is>
      </c>
      <c r="M1614" s="22" t="n">
        <v>0</v>
      </c>
      <c r="N1614" s="22" t="n">
        <v>0</v>
      </c>
      <c r="O1614" s="18" t="n"/>
      <c r="P1614" s="22">
        <f>IF(O1614="",(About!$B$5*M1614+About!$B$6*N1614)/(About!$B$5+About!$B$6),About!$B$5*M1614+About!$B$6*N1614+About!$B$7*O1614)</f>
        <v/>
      </c>
      <c r="Q1614" s="23" t="n">
        <v>52.5736</v>
      </c>
      <c r="R1614" s="23" t="n">
        <v>-0.2478</v>
      </c>
    </row>
    <row r="1615" ht="15" customHeight="1" s="12">
      <c r="A1615" s="18" t="inlineStr">
        <is>
          <t>Büyükçekmece</t>
        </is>
      </c>
      <c r="B1615" s="18" t="inlineStr">
        <is>
          <t>Türkiye</t>
        </is>
      </c>
      <c r="C1615" s="19" t="n">
        <v>86092168</v>
      </c>
      <c r="D1615" s="18" t="inlineStr">
        <is>
          <t>TR</t>
        </is>
      </c>
      <c r="E1615" s="18" t="inlineStr">
        <is>
          <t>34</t>
        </is>
      </c>
      <c r="F1615" s="20" t="n">
        <v>163140</v>
      </c>
      <c r="G1615" s="18" t="n"/>
      <c r="H1615" s="18" t="n"/>
      <c r="I1615" s="18" t="n"/>
      <c r="J1615" s="18" t="n"/>
      <c r="K1615" s="18" t="n"/>
      <c r="L1615" s="18" t="inlineStr">
        <is>
          <t>100k +  pop</t>
        </is>
      </c>
      <c r="M1615" s="22" t="n">
        <v>0</v>
      </c>
      <c r="N1615" s="22" t="n">
        <v>0</v>
      </c>
      <c r="O1615" s="18" t="n"/>
      <c r="P1615" s="22">
        <f>IF(O1615="",(About!$B$5*M1615+About!$B$6*N1615)/(About!$B$5+About!$B$6),About!$B$5*M1615+About!$B$6*N1615+About!$B$7*O1615)</f>
        <v/>
      </c>
      <c r="Q1615" s="23" t="n">
        <v>41.0207</v>
      </c>
      <c r="R1615" s="23" t="n">
        <v>28.585</v>
      </c>
    </row>
    <row r="1616" ht="15" customHeight="1" s="12">
      <c r="A1616" s="18" t="inlineStr">
        <is>
          <t>Aydın</t>
        </is>
      </c>
      <c r="B1616" s="18" t="inlineStr">
        <is>
          <t>Türkiye</t>
        </is>
      </c>
      <c r="C1616" s="19" t="n">
        <v>86092168</v>
      </c>
      <c r="D1616" s="18" t="inlineStr">
        <is>
          <t>TR</t>
        </is>
      </c>
      <c r="E1616" s="18" t="inlineStr">
        <is>
          <t>09</t>
        </is>
      </c>
      <c r="F1616" s="20" t="n">
        <v>163022</v>
      </c>
      <c r="G1616" s="18" t="n"/>
      <c r="H1616" s="18" t="n"/>
      <c r="I1616" s="18" t="n"/>
      <c r="J1616" s="18" t="n"/>
      <c r="K1616" s="18" t="n"/>
      <c r="L1616" s="18" t="inlineStr">
        <is>
          <t>100k +  pop</t>
        </is>
      </c>
      <c r="M1616" s="22" t="n">
        <v>0</v>
      </c>
      <c r="N1616" s="22" t="n">
        <v>0</v>
      </c>
      <c r="O1616" s="18" t="n"/>
      <c r="P1616" s="22">
        <f>IF(O1616="",(About!$B$5*M1616+About!$B$6*N1616)/(About!$B$5+About!$B$6),About!$B$5*M1616+About!$B$6*N1616+About!$B$7*O1616)</f>
        <v/>
      </c>
      <c r="Q1616" s="23" t="n">
        <v>37.845</v>
      </c>
      <c r="R1616" s="23" t="n">
        <v>27.8396</v>
      </c>
    </row>
    <row r="1617" ht="15" customHeight="1" s="12">
      <c r="A1617" s="18" t="inlineStr">
        <is>
          <t>Geneina</t>
        </is>
      </c>
      <c r="B1617" s="18" t="inlineStr">
        <is>
          <t>Sudan</t>
        </is>
      </c>
      <c r="C1617" s="19" t="n">
        <v>51662000</v>
      </c>
      <c r="D1617" s="18" t="inlineStr">
        <is>
          <t>SD</t>
        </is>
      </c>
      <c r="E1617" s="18" t="inlineStr">
        <is>
          <t>47</t>
        </is>
      </c>
      <c r="F1617" s="20" t="n">
        <v>162981</v>
      </c>
      <c r="G1617" s="18" t="n"/>
      <c r="H1617" s="18" t="n"/>
      <c r="I1617" s="18" t="n"/>
      <c r="J1617" s="18" t="n"/>
      <c r="K1617" s="18" t="n"/>
      <c r="L1617" s="18" t="inlineStr">
        <is>
          <t>100k +  pop</t>
        </is>
      </c>
      <c r="M1617" s="22" t="n">
        <v>0</v>
      </c>
      <c r="N1617" s="22" t="n">
        <v>0</v>
      </c>
      <c r="O1617" s="18" t="n"/>
      <c r="P1617" s="22">
        <f>IF(O1617="",(About!$B$5*M1617+About!$B$6*N1617)/(About!$B$5+About!$B$6),About!$B$5*M1617+About!$B$6*N1617+About!$B$7*O1617)</f>
        <v/>
      </c>
      <c r="Q1617" s="23" t="n">
        <v>13.4526</v>
      </c>
      <c r="R1617" s="23" t="n">
        <v>22.4473</v>
      </c>
    </row>
    <row r="1618" ht="15" customHeight="1" s="12">
      <c r="A1618" s="18" t="inlineStr">
        <is>
          <t>Skikda</t>
        </is>
      </c>
      <c r="B1618" s="18" t="inlineStr">
        <is>
          <t>Algeria</t>
        </is>
      </c>
      <c r="C1618" s="19" t="n">
        <v>47400000</v>
      </c>
      <c r="D1618" s="18" t="inlineStr">
        <is>
          <t>DZ</t>
        </is>
      </c>
      <c r="E1618" s="18" t="inlineStr">
        <is>
          <t>31</t>
        </is>
      </c>
      <c r="F1618" s="20" t="n">
        <v>162702</v>
      </c>
      <c r="G1618" s="18" t="n"/>
      <c r="H1618" s="18" t="n"/>
      <c r="I1618" s="18" t="n"/>
      <c r="J1618" s="18" t="n"/>
      <c r="K1618" s="18" t="n"/>
      <c r="L1618" s="18" t="inlineStr">
        <is>
          <t>100k +  pop</t>
        </is>
      </c>
      <c r="M1618" s="22" t="n">
        <v>0</v>
      </c>
      <c r="N1618" s="22" t="n">
        <v>0</v>
      </c>
      <c r="O1618" s="18" t="n"/>
      <c r="P1618" s="22">
        <f>IF(O1618="",(About!$B$5*M1618+About!$B$6*N1618)/(About!$B$5+About!$B$6),About!$B$5*M1618+About!$B$6*N1618+About!$B$7*O1618)</f>
        <v/>
      </c>
      <c r="Q1618" s="23" t="n">
        <v>36.8762</v>
      </c>
      <c r="R1618" s="23" t="n">
        <v>6.9092</v>
      </c>
    </row>
    <row r="1619" ht="15" customHeight="1" s="12">
      <c r="A1619" s="18" t="inlineStr">
        <is>
          <t>Boma</t>
        </is>
      </c>
      <c r="B1619" s="18" t="inlineStr">
        <is>
          <t>DR Congo</t>
        </is>
      </c>
      <c r="C1619" s="19" t="n">
        <v>112832000</v>
      </c>
      <c r="D1619" s="18" t="inlineStr">
        <is>
          <t>CD</t>
        </is>
      </c>
      <c r="E1619" s="18" t="inlineStr">
        <is>
          <t>08</t>
        </is>
      </c>
      <c r="F1619" s="20" t="n">
        <v>162521</v>
      </c>
      <c r="G1619" s="18" t="n"/>
      <c r="H1619" s="18" t="n"/>
      <c r="I1619" s="18" t="n"/>
      <c r="J1619" s="18" t="n"/>
      <c r="K1619" s="18" t="n"/>
      <c r="L1619" s="18" t="inlineStr">
        <is>
          <t>100k +  pop</t>
        </is>
      </c>
      <c r="M1619" s="22" t="n">
        <v>0</v>
      </c>
      <c r="N1619" s="22" t="n">
        <v>0</v>
      </c>
      <c r="O1619" s="18" t="n"/>
      <c r="P1619" s="22">
        <f>IF(O1619="",(About!$B$5*M1619+About!$B$6*N1619)/(About!$B$5+About!$B$6),About!$B$5*M1619+About!$B$6*N1619+About!$B$7*O1619)</f>
        <v/>
      </c>
      <c r="Q1619" s="23" t="n">
        <v>-5.851</v>
      </c>
      <c r="R1619" s="23" t="n">
        <v>13.0536</v>
      </c>
    </row>
    <row r="1620" ht="15" customHeight="1" s="12">
      <c r="A1620" s="18" t="inlineStr">
        <is>
          <t>Mahābād</t>
        </is>
      </c>
      <c r="B1620" s="18" t="inlineStr">
        <is>
          <t>Iran</t>
        </is>
      </c>
      <c r="C1620" s="19" t="n">
        <v>87134000</v>
      </c>
      <c r="D1620" s="18" t="inlineStr">
        <is>
          <t>IR</t>
        </is>
      </c>
      <c r="E1620" s="18" t="inlineStr">
        <is>
          <t>01</t>
        </is>
      </c>
      <c r="F1620" s="20" t="n">
        <v>162434</v>
      </c>
      <c r="G1620" s="18" t="n"/>
      <c r="H1620" s="18" t="n"/>
      <c r="I1620" s="18" t="n"/>
      <c r="J1620" s="18" t="n"/>
      <c r="K1620" s="18" t="n"/>
      <c r="L1620" s="18" t="inlineStr">
        <is>
          <t>100k +  pop</t>
        </is>
      </c>
      <c r="M1620" s="22" t="n">
        <v>0</v>
      </c>
      <c r="N1620" s="22" t="n">
        <v>0</v>
      </c>
      <c r="O1620" s="18" t="n"/>
      <c r="P1620" s="22">
        <f>IF(O1620="",(About!$B$5*M1620+About!$B$6*N1620)/(About!$B$5+About!$B$6),About!$B$5*M1620+About!$B$6*N1620+About!$B$7*O1620)</f>
        <v/>
      </c>
      <c r="Q1620" s="23" t="n">
        <v>36.7631</v>
      </c>
      <c r="R1620" s="23" t="n">
        <v>45.7222</v>
      </c>
    </row>
    <row r="1621" ht="15" customHeight="1" s="12">
      <c r="A1621" s="18" t="inlineStr">
        <is>
          <t>Kunduz</t>
        </is>
      </c>
      <c r="B1621" s="18" t="inlineStr">
        <is>
          <t>Afghanistan</t>
        </is>
      </c>
      <c r="C1621" s="19" t="n">
        <v>43844000</v>
      </c>
      <c r="D1621" s="18" t="inlineStr">
        <is>
          <t>AF</t>
        </is>
      </c>
      <c r="E1621" s="18" t="inlineStr">
        <is>
          <t>24</t>
        </is>
      </c>
      <c r="F1621" s="20" t="n">
        <v>161902</v>
      </c>
      <c r="G1621" s="18" t="n"/>
      <c r="H1621" s="18" t="n"/>
      <c r="I1621" s="18" t="n"/>
      <c r="J1621" s="18" t="n"/>
      <c r="K1621" s="18" t="n"/>
      <c r="L1621" s="18" t="inlineStr">
        <is>
          <t>100k +  pop</t>
        </is>
      </c>
      <c r="M1621" s="22" t="n">
        <v>0</v>
      </c>
      <c r="N1621" s="22" t="n">
        <v>0</v>
      </c>
      <c r="O1621" s="18" t="n"/>
      <c r="P1621" s="22">
        <f>IF(O1621="",(About!$B$5*M1621+About!$B$6*N1621)/(About!$B$5+About!$B$6),About!$B$5*M1621+About!$B$6*N1621+About!$B$7*O1621)</f>
        <v/>
      </c>
      <c r="Q1621" s="23" t="n">
        <v>36.7289</v>
      </c>
      <c r="R1621" s="23" t="n">
        <v>68.857</v>
      </c>
    </row>
    <row r="1622" ht="15" customHeight="1" s="12">
      <c r="A1622" s="18" t="inlineStr">
        <is>
          <t>Phan Thiết</t>
        </is>
      </c>
      <c r="B1622" s="18" t="inlineStr">
        <is>
          <t>Vietnam</t>
        </is>
      </c>
      <c r="C1622" s="19" t="n">
        <v>102300000</v>
      </c>
      <c r="D1622" s="18" t="inlineStr">
        <is>
          <t>VN</t>
        </is>
      </c>
      <c r="E1622" s="18" t="inlineStr">
        <is>
          <t>47</t>
        </is>
      </c>
      <c r="F1622" s="20" t="n">
        <v>160652</v>
      </c>
      <c r="G1622" s="18" t="n"/>
      <c r="H1622" s="18" t="n"/>
      <c r="I1622" s="18" t="n"/>
      <c r="J1622" s="18" t="n"/>
      <c r="K1622" s="18" t="n"/>
      <c r="L1622" s="18" t="inlineStr">
        <is>
          <t>100k +  pop</t>
        </is>
      </c>
      <c r="M1622" s="22" t="n">
        <v>0</v>
      </c>
      <c r="N1622" s="22" t="n">
        <v>0</v>
      </c>
      <c r="O1622" s="18" t="n"/>
      <c r="P1622" s="22">
        <f>IF(O1622="",(About!$B$5*M1622+About!$B$6*N1622)/(About!$B$5+About!$B$6),About!$B$5*M1622+About!$B$6*N1622+About!$B$7*O1622)</f>
        <v/>
      </c>
      <c r="Q1622" s="23" t="n">
        <v>10.9289</v>
      </c>
      <c r="R1622" s="23" t="n">
        <v>108.1021</v>
      </c>
    </row>
    <row r="1623" ht="15" customHeight="1" s="12">
      <c r="A1623" s="18" t="inlineStr">
        <is>
          <t>La Gi</t>
        </is>
      </c>
      <c r="B1623" s="18" t="inlineStr">
        <is>
          <t>Vietnam</t>
        </is>
      </c>
      <c r="C1623" s="19" t="n">
        <v>102300000</v>
      </c>
      <c r="D1623" s="18" t="inlineStr">
        <is>
          <t>VN</t>
        </is>
      </c>
      <c r="E1623" s="18" t="inlineStr">
        <is>
          <t>47</t>
        </is>
      </c>
      <c r="F1623" s="20" t="n">
        <v>160652</v>
      </c>
      <c r="G1623" s="18" t="n"/>
      <c r="H1623" s="18" t="n"/>
      <c r="I1623" s="18" t="n"/>
      <c r="J1623" s="18" t="n"/>
      <c r="K1623" s="18" t="n"/>
      <c r="L1623" s="18" t="inlineStr">
        <is>
          <t>100k +  pop</t>
        </is>
      </c>
      <c r="M1623" s="22" t="n">
        <v>0</v>
      </c>
      <c r="N1623" s="22" t="n">
        <v>0</v>
      </c>
      <c r="O1623" s="18" t="n"/>
      <c r="P1623" s="22">
        <f>IF(O1623="",(About!$B$5*M1623+About!$B$6*N1623)/(About!$B$5+About!$B$6),About!$B$5*M1623+About!$B$6*N1623+About!$B$7*O1623)</f>
        <v/>
      </c>
      <c r="Q1623" s="23" t="n">
        <v>10.6599</v>
      </c>
      <c r="R1623" s="23" t="n">
        <v>107.7721</v>
      </c>
    </row>
    <row r="1624" ht="15" customHeight="1" s="12">
      <c r="A1624" s="18" t="inlineStr">
        <is>
          <t>Hebron</t>
        </is>
      </c>
      <c r="B1624" s="18" t="inlineStr">
        <is>
          <t>Palestine</t>
        </is>
      </c>
      <c r="C1624" s="19" t="n">
        <v>5483450</v>
      </c>
      <c r="D1624" s="18" t="inlineStr">
        <is>
          <t>PS</t>
        </is>
      </c>
      <c r="E1624" s="18" t="inlineStr">
        <is>
          <t>WE</t>
        </is>
      </c>
      <c r="F1624" s="20" t="n">
        <v>160470</v>
      </c>
      <c r="G1624" s="18" t="n"/>
      <c r="H1624" s="18" t="n"/>
      <c r="I1624" s="18" t="n"/>
      <c r="J1624" s="18" t="n"/>
      <c r="K1624" s="18" t="n"/>
      <c r="L1624" s="18" t="inlineStr">
        <is>
          <t>100k +  pop</t>
        </is>
      </c>
      <c r="M1624" s="22" t="n">
        <v>0</v>
      </c>
      <c r="N1624" s="22" t="n">
        <v>0</v>
      </c>
      <c r="O1624" s="18" t="n"/>
      <c r="P1624" s="22">
        <f>IF(O1624="",(About!$B$5*M1624+About!$B$6*N1624)/(About!$B$5+About!$B$6),About!$B$5*M1624+About!$B$6*N1624+About!$B$7*O1624)</f>
        <v/>
      </c>
      <c r="Q1624" s="23" t="n">
        <v>31.5294</v>
      </c>
      <c r="R1624" s="23" t="n">
        <v>35.0938</v>
      </c>
    </row>
    <row r="1625" ht="15" customHeight="1" s="12">
      <c r="A1625" s="18" t="inlineStr">
        <is>
          <t>Taunggyi</t>
        </is>
      </c>
      <c r="B1625" s="18" t="inlineStr">
        <is>
          <t>Myanmar</t>
        </is>
      </c>
      <c r="C1625" s="19" t="n">
        <v>51375327</v>
      </c>
      <c r="D1625" s="18" t="inlineStr">
        <is>
          <t>MM</t>
        </is>
      </c>
      <c r="E1625" s="18" t="inlineStr">
        <is>
          <t>11</t>
        </is>
      </c>
      <c r="F1625" s="20" t="n">
        <v>160115</v>
      </c>
      <c r="G1625" s="18" t="n"/>
      <c r="H1625" s="18" t="n"/>
      <c r="I1625" s="18" t="n"/>
      <c r="J1625" s="18" t="n"/>
      <c r="K1625" s="18" t="n"/>
      <c r="L1625" s="18" t="inlineStr">
        <is>
          <t>100k +  pop</t>
        </is>
      </c>
      <c r="M1625" s="22" t="n">
        <v>0</v>
      </c>
      <c r="N1625" s="22" t="n">
        <v>0</v>
      </c>
      <c r="O1625" s="18" t="n"/>
      <c r="P1625" s="22">
        <f>IF(O1625="",(About!$B$5*M1625+About!$B$6*N1625)/(About!$B$5+About!$B$6),About!$B$5*M1625+About!$B$6*N1625+About!$B$7*O1625)</f>
        <v/>
      </c>
      <c r="Q1625" s="23" t="n">
        <v>20.7892</v>
      </c>
      <c r="R1625" s="23" t="n">
        <v>97.0378</v>
      </c>
    </row>
    <row r="1626" ht="15" customHeight="1" s="12">
      <c r="A1626" s="18" t="inlineStr">
        <is>
          <t>İskenderun</t>
        </is>
      </c>
      <c r="B1626" s="18" t="inlineStr">
        <is>
          <t>Türkiye</t>
        </is>
      </c>
      <c r="C1626" s="19" t="n">
        <v>86092168</v>
      </c>
      <c r="D1626" s="18" t="inlineStr">
        <is>
          <t>TR</t>
        </is>
      </c>
      <c r="E1626" s="18" t="inlineStr">
        <is>
          <t>31</t>
        </is>
      </c>
      <c r="F1626" s="20" t="n">
        <v>159965</v>
      </c>
      <c r="G1626" s="18" t="n"/>
      <c r="H1626" s="18" t="n"/>
      <c r="I1626" s="18" t="n"/>
      <c r="J1626" s="18" t="n"/>
      <c r="K1626" s="18" t="n"/>
      <c r="L1626" s="18" t="inlineStr">
        <is>
          <t>100k +  pop</t>
        </is>
      </c>
      <c r="M1626" s="22" t="n">
        <v>0</v>
      </c>
      <c r="N1626" s="22" t="n">
        <v>0</v>
      </c>
      <c r="O1626" s="18" t="n"/>
      <c r="P1626" s="22">
        <f>IF(O1626="",(About!$B$5*M1626+About!$B$6*N1626)/(About!$B$5+About!$B$6),About!$B$5*M1626+About!$B$6*N1626+About!$B$7*O1626)</f>
        <v/>
      </c>
      <c r="Q1626" s="23" t="n">
        <v>36.5872</v>
      </c>
      <c r="R1626" s="23" t="n">
        <v>36.1735</v>
      </c>
    </row>
    <row r="1627" ht="15" customHeight="1" s="12">
      <c r="A1627" s="18" t="inlineStr">
        <is>
          <t>Oldenburg</t>
        </is>
      </c>
      <c r="B1627" s="18" t="inlineStr">
        <is>
          <t>Germany</t>
        </is>
      </c>
      <c r="C1627" s="19" t="n">
        <v>83497147</v>
      </c>
      <c r="D1627" s="18" t="inlineStr">
        <is>
          <t>DE</t>
        </is>
      </c>
      <c r="E1627" s="18" t="inlineStr">
        <is>
          <t>06</t>
        </is>
      </c>
      <c r="F1627" s="20" t="n">
        <v>159218</v>
      </c>
      <c r="G1627" s="18" t="n"/>
      <c r="H1627" s="18" t="n"/>
      <c r="I1627" s="18" t="n"/>
      <c r="J1627" s="18" t="n"/>
      <c r="K1627" s="18" t="n"/>
      <c r="L1627" s="18" t="inlineStr">
        <is>
          <t>100k +  pop</t>
        </is>
      </c>
      <c r="M1627" s="22" t="n">
        <v>0</v>
      </c>
      <c r="N1627" s="22" t="n">
        <v>0</v>
      </c>
      <c r="O1627" s="18" t="n"/>
      <c r="P1627" s="22">
        <f>IF(O1627="",(About!$B$5*M1627+About!$B$6*N1627)/(About!$B$5+About!$B$6),About!$B$5*M1627+About!$B$6*N1627+About!$B$7*O1627)</f>
        <v/>
      </c>
      <c r="Q1627" s="23" t="n">
        <v>53.1412</v>
      </c>
      <c r="R1627" s="23" t="n">
        <v>8.214700000000001</v>
      </c>
    </row>
    <row r="1628" ht="15" customHeight="1" s="12">
      <c r="A1628" s="18" t="inlineStr">
        <is>
          <t>Osan</t>
        </is>
      </c>
      <c r="B1628" s="18" t="inlineStr">
        <is>
          <t>South Korea</t>
        </is>
      </c>
      <c r="C1628" s="19" t="n">
        <v>51111158</v>
      </c>
      <c r="D1628" s="18" t="inlineStr">
        <is>
          <t>KR</t>
        </is>
      </c>
      <c r="E1628" s="18" t="inlineStr">
        <is>
          <t>13</t>
        </is>
      </c>
      <c r="F1628" s="20" t="n">
        <v>158978</v>
      </c>
      <c r="G1628" s="18" t="n"/>
      <c r="H1628" s="18" t="n"/>
      <c r="I1628" s="18" t="n"/>
      <c r="J1628" s="18" t="n"/>
      <c r="K1628" s="18" t="n"/>
      <c r="L1628" s="18" t="inlineStr">
        <is>
          <t>100k +  pop</t>
        </is>
      </c>
      <c r="M1628" s="22" t="n">
        <v>0</v>
      </c>
      <c r="N1628" s="22" t="n">
        <v>0</v>
      </c>
      <c r="O1628" s="18" t="n"/>
      <c r="P1628" s="22">
        <f>IF(O1628="",(About!$B$5*M1628+About!$B$6*N1628)/(About!$B$5+About!$B$6),About!$B$5*M1628+About!$B$6*N1628+About!$B$7*O1628)</f>
        <v/>
      </c>
      <c r="Q1628" s="23" t="n">
        <v>37.1522</v>
      </c>
      <c r="R1628" s="23" t="n">
        <v>127.0706</v>
      </c>
    </row>
    <row r="1629" ht="15" customHeight="1" s="12">
      <c r="A1629" s="18" t="inlineStr">
        <is>
          <t>Modena</t>
        </is>
      </c>
      <c r="B1629" s="18" t="inlineStr">
        <is>
          <t>Italy</t>
        </is>
      </c>
      <c r="C1629" s="19" t="n">
        <v>58932330</v>
      </c>
      <c r="D1629" s="18" t="inlineStr">
        <is>
          <t>IT</t>
        </is>
      </c>
      <c r="E1629" s="18" t="inlineStr">
        <is>
          <t>05</t>
        </is>
      </c>
      <c r="F1629" s="20" t="n">
        <v>158886</v>
      </c>
      <c r="G1629" s="18" t="n"/>
      <c r="H1629" s="18" t="n"/>
      <c r="I1629" s="18" t="n"/>
      <c r="J1629" s="18" t="n"/>
      <c r="K1629" s="18" t="n"/>
      <c r="L1629" s="18" t="inlineStr">
        <is>
          <t>100k +  pop</t>
        </is>
      </c>
      <c r="M1629" s="22" t="n">
        <v>0</v>
      </c>
      <c r="N1629" s="22" t="n">
        <v>0</v>
      </c>
      <c r="O1629" s="18" t="n"/>
      <c r="P1629" s="22">
        <f>IF(O1629="",(About!$B$5*M1629+About!$B$6*N1629)/(About!$B$5+About!$B$6),About!$B$5*M1629+About!$B$6*N1629+About!$B$7*O1629)</f>
        <v/>
      </c>
      <c r="Q1629" s="23" t="n">
        <v>44.6478</v>
      </c>
      <c r="R1629" s="23" t="n">
        <v>10.9254</v>
      </c>
    </row>
    <row r="1630" ht="15" customHeight="1" s="12">
      <c r="A1630" s="18" t="inlineStr">
        <is>
          <t>Sāmarrā’</t>
        </is>
      </c>
      <c r="B1630" s="18" t="inlineStr">
        <is>
          <t>Iraq</t>
        </is>
      </c>
      <c r="C1630" s="19" t="n">
        <v>46118793</v>
      </c>
      <c r="D1630" s="18" t="inlineStr">
        <is>
          <t>IQ</t>
        </is>
      </c>
      <c r="E1630" s="18" t="inlineStr">
        <is>
          <t>18</t>
        </is>
      </c>
      <c r="F1630" s="20" t="n">
        <v>158508</v>
      </c>
      <c r="G1630" s="18" t="n"/>
      <c r="H1630" s="18" t="n"/>
      <c r="I1630" s="18" t="n"/>
      <c r="J1630" s="18" t="n"/>
      <c r="K1630" s="18" t="n"/>
      <c r="L1630" s="18" t="inlineStr">
        <is>
          <t>100k +  pop</t>
        </is>
      </c>
      <c r="M1630" s="22" t="n">
        <v>0</v>
      </c>
      <c r="N1630" s="22" t="n">
        <v>0</v>
      </c>
      <c r="O1630" s="18" t="n"/>
      <c r="P1630" s="22">
        <f>IF(O1630="",(About!$B$5*M1630+About!$B$6*N1630)/(About!$B$5+About!$B$6),About!$B$5*M1630+About!$B$6*N1630+About!$B$7*O1630)</f>
        <v/>
      </c>
      <c r="Q1630" s="23" t="n">
        <v>34.1959</v>
      </c>
      <c r="R1630" s="23" t="n">
        <v>43.8857</v>
      </c>
    </row>
    <row r="1631" ht="15" customHeight="1" s="12">
      <c r="A1631" s="18" t="inlineStr">
        <is>
          <t>Cambridge</t>
        </is>
      </c>
      <c r="B1631" s="18" t="inlineStr">
        <is>
          <t>United Kingdom</t>
        </is>
      </c>
      <c r="C1631" s="19" t="n">
        <v>69487000</v>
      </c>
      <c r="D1631" s="18" t="inlineStr">
        <is>
          <t>GB</t>
        </is>
      </c>
      <c r="E1631" s="18" t="inlineStr">
        <is>
          <t>ENG</t>
        </is>
      </c>
      <c r="F1631" s="20" t="n">
        <v>158434</v>
      </c>
      <c r="G1631" s="18" t="n"/>
      <c r="H1631" s="18" t="n"/>
      <c r="I1631" s="18" t="n"/>
      <c r="J1631" s="18" t="n"/>
      <c r="K1631" s="18" t="n"/>
      <c r="L1631" s="18" t="inlineStr">
        <is>
          <t>100k +  pop</t>
        </is>
      </c>
      <c r="M1631" s="22" t="n">
        <v>0</v>
      </c>
      <c r="N1631" s="22" t="n">
        <v>0</v>
      </c>
      <c r="O1631" s="18" t="n"/>
      <c r="P1631" s="22">
        <f>IF(O1631="",(About!$B$5*M1631+About!$B$6*N1631)/(About!$B$5+About!$B$6),About!$B$5*M1631+About!$B$6*N1631+About!$B$7*O1631)</f>
        <v/>
      </c>
      <c r="Q1631" s="23" t="n">
        <v>52.2</v>
      </c>
      <c r="R1631" s="23" t="n">
        <v>0.1167</v>
      </c>
    </row>
    <row r="1632" ht="15" customHeight="1" s="12">
      <c r="A1632" s="18" t="inlineStr">
        <is>
          <t>El Achir</t>
        </is>
      </c>
      <c r="B1632" s="18" t="inlineStr">
        <is>
          <t>Algeria</t>
        </is>
      </c>
      <c r="C1632" s="19" t="n">
        <v>47400000</v>
      </c>
      <c r="D1632" s="18" t="inlineStr">
        <is>
          <t>DZ</t>
        </is>
      </c>
      <c r="E1632" s="18" t="inlineStr">
        <is>
          <t>39</t>
        </is>
      </c>
      <c r="F1632" s="20" t="n">
        <v>158333</v>
      </c>
      <c r="G1632" s="18" t="n"/>
      <c r="H1632" s="18" t="n"/>
      <c r="I1632" s="18" t="n"/>
      <c r="J1632" s="18" t="n"/>
      <c r="K1632" s="18" t="n"/>
      <c r="L1632" s="18" t="inlineStr">
        <is>
          <t>100k +  pop</t>
        </is>
      </c>
      <c r="M1632" s="22" t="n">
        <v>0</v>
      </c>
      <c r="N1632" s="22" t="n">
        <v>0</v>
      </c>
      <c r="O1632" s="18" t="n"/>
      <c r="P1632" s="22">
        <f>IF(O1632="",(About!$B$5*M1632+About!$B$6*N1632)/(About!$B$5+About!$B$6),About!$B$5*M1632+About!$B$6*N1632+About!$B$7*O1632)</f>
        <v/>
      </c>
      <c r="Q1632" s="23" t="n">
        <v>36.0639</v>
      </c>
      <c r="R1632" s="23" t="n">
        <v>4.6274</v>
      </c>
    </row>
    <row r="1633" ht="15" customHeight="1" s="12">
      <c r="A1633" s="18" t="inlineStr">
        <is>
          <t>Long Xuyên</t>
        </is>
      </c>
      <c r="B1633" s="18" t="inlineStr">
        <is>
          <t>Vietnam</t>
        </is>
      </c>
      <c r="C1633" s="19" t="n">
        <v>102300000</v>
      </c>
      <c r="D1633" s="18" t="inlineStr">
        <is>
          <t>VN</t>
        </is>
      </c>
      <c r="E1633" s="18" t="inlineStr">
        <is>
          <t>01</t>
        </is>
      </c>
      <c r="F1633" s="20" t="n">
        <v>158153</v>
      </c>
      <c r="G1633" s="18" t="n"/>
      <c r="H1633" s="18" t="n"/>
      <c r="I1633" s="18" t="n"/>
      <c r="J1633" s="18" t="n"/>
      <c r="K1633" s="18" t="n"/>
      <c r="L1633" s="18" t="inlineStr">
        <is>
          <t>100k +  pop</t>
        </is>
      </c>
      <c r="M1633" s="22" t="n">
        <v>0</v>
      </c>
      <c r="N1633" s="22" t="n">
        <v>0</v>
      </c>
      <c r="O1633" s="18" t="n"/>
      <c r="P1633" s="22">
        <f>IF(O1633="",(About!$B$5*M1633+About!$B$6*N1633)/(About!$B$5+About!$B$6),About!$B$5*M1633+About!$B$6*N1633+About!$B$7*O1633)</f>
        <v/>
      </c>
      <c r="Q1633" s="23" t="n">
        <v>10.3864</v>
      </c>
      <c r="R1633" s="23" t="n">
        <v>105.4352</v>
      </c>
    </row>
    <row r="1634" ht="15" customHeight="1" s="12">
      <c r="A1634" s="18" t="inlineStr">
        <is>
          <t>Doncaster</t>
        </is>
      </c>
      <c r="B1634" s="18" t="inlineStr">
        <is>
          <t>United Kingdom</t>
        </is>
      </c>
      <c r="C1634" s="19" t="n">
        <v>69487000</v>
      </c>
      <c r="D1634" s="18" t="inlineStr">
        <is>
          <t>GB</t>
        </is>
      </c>
      <c r="E1634" s="18" t="inlineStr">
        <is>
          <t>ENG</t>
        </is>
      </c>
      <c r="F1634" s="20" t="n">
        <v>158141</v>
      </c>
      <c r="G1634" s="18" t="n"/>
      <c r="H1634" s="18" t="n"/>
      <c r="I1634" s="18" t="n"/>
      <c r="J1634" s="18" t="n"/>
      <c r="K1634" s="18" t="n"/>
      <c r="L1634" s="18" t="inlineStr">
        <is>
          <t>100k +  pop</t>
        </is>
      </c>
      <c r="M1634" s="22" t="n">
        <v>0</v>
      </c>
      <c r="N1634" s="22" t="n">
        <v>0</v>
      </c>
      <c r="O1634" s="18" t="n"/>
      <c r="P1634" s="22">
        <f>IF(O1634="",(About!$B$5*M1634+About!$B$6*N1634)/(About!$B$5+About!$B$6),About!$B$5*M1634+About!$B$6*N1634+About!$B$7*O1634)</f>
        <v/>
      </c>
      <c r="Q1634" s="23" t="n">
        <v>53.5228</v>
      </c>
      <c r="R1634" s="23" t="n">
        <v>-1.1312</v>
      </c>
    </row>
    <row r="1635" ht="15" customHeight="1" s="12">
      <c r="A1635" s="18" t="inlineStr">
        <is>
          <t>San Cristóbal de las Casas</t>
        </is>
      </c>
      <c r="B1635" s="18" t="inlineStr">
        <is>
          <t>Mexico</t>
        </is>
      </c>
      <c r="C1635" s="19" t="n">
        <v>131150866</v>
      </c>
      <c r="D1635" s="18" t="inlineStr">
        <is>
          <t>MX</t>
        </is>
      </c>
      <c r="E1635" s="18" t="inlineStr">
        <is>
          <t>05</t>
        </is>
      </c>
      <c r="F1635" s="20" t="n">
        <v>158027</v>
      </c>
      <c r="G1635" s="18" t="n"/>
      <c r="H1635" s="18" t="n"/>
      <c r="I1635" s="18" t="n"/>
      <c r="J1635" s="18" t="n"/>
      <c r="K1635" s="18" t="n"/>
      <c r="L1635" s="18" t="inlineStr">
        <is>
          <t>100k +  pop</t>
        </is>
      </c>
      <c r="M1635" s="22" t="n">
        <v>0</v>
      </c>
      <c r="N1635" s="22" t="n">
        <v>0</v>
      </c>
      <c r="O1635" s="18" t="n"/>
      <c r="P1635" s="22">
        <f>IF(O1635="",(About!$B$5*M1635+About!$B$6*N1635)/(About!$B$5+About!$B$6),About!$B$5*M1635+About!$B$6*N1635+About!$B$7*O1635)</f>
        <v/>
      </c>
      <c r="Q1635" s="23" t="n">
        <v>16.7318</v>
      </c>
      <c r="R1635" s="23" t="n">
        <v>-92.6413</v>
      </c>
    </row>
    <row r="1636" ht="15" customHeight="1" s="12">
      <c r="A1636" s="18" t="inlineStr">
        <is>
          <t>Ţalkhā</t>
        </is>
      </c>
      <c r="B1636" s="18" t="inlineStr">
        <is>
          <t>Egypt</t>
        </is>
      </c>
      <c r="C1636" s="19" t="n">
        <v>108613296</v>
      </c>
      <c r="D1636" s="18" t="inlineStr">
        <is>
          <t>EG</t>
        </is>
      </c>
      <c r="E1636" s="18" t="inlineStr">
        <is>
          <t>01</t>
        </is>
      </c>
      <c r="F1636" s="20" t="n">
        <v>157737</v>
      </c>
      <c r="G1636" s="18" t="n"/>
      <c r="H1636" s="18" t="n"/>
      <c r="I1636" s="18" t="n"/>
      <c r="J1636" s="18" t="n"/>
      <c r="K1636" s="18" t="n"/>
      <c r="L1636" s="18" t="inlineStr">
        <is>
          <t>100k +  pop</t>
        </is>
      </c>
      <c r="M1636" s="22" t="n">
        <v>0</v>
      </c>
      <c r="N1636" s="22" t="n">
        <v>0</v>
      </c>
      <c r="O1636" s="18" t="n"/>
      <c r="P1636" s="22">
        <f>IF(O1636="",(About!$B$5*M1636+About!$B$6*N1636)/(About!$B$5+About!$B$6),About!$B$5*M1636+About!$B$6*N1636+About!$B$7*O1636)</f>
        <v/>
      </c>
      <c r="Q1636" s="23" t="n">
        <v>31.0539</v>
      </c>
      <c r="R1636" s="23" t="n">
        <v>31.3779</v>
      </c>
    </row>
    <row r="1637" ht="15" customHeight="1" s="12">
      <c r="A1637" s="18" t="inlineStr">
        <is>
          <t>Tiraspol</t>
        </is>
      </c>
      <c r="B1637" s="18" t="inlineStr">
        <is>
          <t>Moldova</t>
        </is>
      </c>
      <c r="C1637" s="19" t="n">
        <v>2381300</v>
      </c>
      <c r="D1637" s="18" t="inlineStr">
        <is>
          <t>MD</t>
        </is>
      </c>
      <c r="E1637" s="18" t="inlineStr">
        <is>
          <t>58</t>
        </is>
      </c>
      <c r="F1637" s="20" t="n">
        <v>157000</v>
      </c>
      <c r="G1637" s="18" t="n"/>
      <c r="H1637" s="18" t="n"/>
      <c r="I1637" s="18" t="n"/>
      <c r="J1637" s="18" t="n"/>
      <c r="K1637" s="18" t="n"/>
      <c r="L1637" s="18" t="inlineStr">
        <is>
          <t>100k +  pop</t>
        </is>
      </c>
      <c r="M1637" s="22" t="n">
        <v>0</v>
      </c>
      <c r="N1637" s="22" t="n">
        <v>0</v>
      </c>
      <c r="O1637" s="18" t="n"/>
      <c r="P1637" s="22">
        <f>IF(O1637="",(About!$B$5*M1637+About!$B$6*N1637)/(About!$B$5+About!$B$6),About!$B$5*M1637+About!$B$6*N1637+About!$B$7*O1637)</f>
        <v/>
      </c>
      <c r="Q1637" s="23" t="n">
        <v>46.8427</v>
      </c>
      <c r="R1637" s="23" t="n">
        <v>29.6291</v>
      </c>
    </row>
    <row r="1638" ht="15" customHeight="1" s="12">
      <c r="A1638" s="18" t="inlineStr">
        <is>
          <t>Moshi</t>
        </is>
      </c>
      <c r="B1638" s="18" t="inlineStr">
        <is>
          <t>Tanzania</t>
        </is>
      </c>
      <c r="C1638" s="19" t="n">
        <v>68153004</v>
      </c>
      <c r="D1638" s="18" t="inlineStr">
        <is>
          <t>TZ</t>
        </is>
      </c>
      <c r="E1638" s="18" t="inlineStr">
        <is>
          <t>06</t>
        </is>
      </c>
      <c r="F1638" s="20" t="n">
        <v>156959</v>
      </c>
      <c r="G1638" s="18" t="n"/>
      <c r="H1638" s="18" t="n"/>
      <c r="I1638" s="18" t="n"/>
      <c r="J1638" s="18" t="n"/>
      <c r="K1638" s="18" t="n"/>
      <c r="L1638" s="18" t="inlineStr">
        <is>
          <t>100k +  pop</t>
        </is>
      </c>
      <c r="M1638" s="22" t="n">
        <v>0</v>
      </c>
      <c r="N1638" s="22" t="n">
        <v>0</v>
      </c>
      <c r="O1638" s="18" t="n"/>
      <c r="P1638" s="22">
        <f>IF(O1638="",(About!$B$5*M1638+About!$B$6*N1638)/(About!$B$5+About!$B$6),About!$B$5*M1638+About!$B$6*N1638+About!$B$7*O1638)</f>
        <v/>
      </c>
      <c r="Q1638" s="23" t="n">
        <v>-3.35</v>
      </c>
      <c r="R1638" s="23" t="n">
        <v>37.3333</v>
      </c>
    </row>
    <row r="1639" ht="15" customHeight="1" s="12">
      <c r="A1639" s="18" t="inlineStr">
        <is>
          <t>Toledo</t>
        </is>
      </c>
      <c r="B1639" s="18" t="inlineStr">
        <is>
          <t>Philippines</t>
        </is>
      </c>
      <c r="C1639" s="19" t="n">
        <v>114123600</v>
      </c>
      <c r="D1639" s="18" t="inlineStr">
        <is>
          <t>PH</t>
        </is>
      </c>
      <c r="E1639" s="18" t="inlineStr">
        <is>
          <t>07</t>
        </is>
      </c>
      <c r="F1639" s="20" t="n">
        <v>156916</v>
      </c>
      <c r="G1639" s="18" t="n"/>
      <c r="H1639" s="18" t="n"/>
      <c r="I1639" s="18" t="n"/>
      <c r="J1639" s="18" t="n"/>
      <c r="K1639" s="18" t="n"/>
      <c r="L1639" s="18" t="inlineStr">
        <is>
          <t>100k +  pop</t>
        </is>
      </c>
      <c r="M1639" s="22" t="n">
        <v>0</v>
      </c>
      <c r="N1639" s="22" t="n">
        <v>0</v>
      </c>
      <c r="O1639" s="18" t="n"/>
      <c r="P1639" s="22">
        <f>IF(O1639="",(About!$B$5*M1639+About!$B$6*N1639)/(About!$B$5+About!$B$6),About!$B$5*M1639+About!$B$6*N1639+About!$B$7*O1639)</f>
        <v/>
      </c>
      <c r="Q1639" s="23" t="n">
        <v>10.3773</v>
      </c>
      <c r="R1639" s="23" t="n">
        <v>123.6386</v>
      </c>
    </row>
    <row r="1640" ht="15" customHeight="1" s="12">
      <c r="A1640" s="18" t="inlineStr">
        <is>
          <t>Shikarpur</t>
        </is>
      </c>
      <c r="B1640" s="18" t="inlineStr">
        <is>
          <t>Pakistan</t>
        </is>
      </c>
      <c r="C1640" s="19" t="n">
        <v>241499431</v>
      </c>
      <c r="D1640" s="18" t="inlineStr">
        <is>
          <t>PK</t>
        </is>
      </c>
      <c r="E1640" s="18" t="inlineStr">
        <is>
          <t>05</t>
        </is>
      </c>
      <c r="F1640" s="20" t="n">
        <v>156901</v>
      </c>
      <c r="G1640" s="18" t="n"/>
      <c r="H1640" s="18" t="n"/>
      <c r="I1640" s="18" t="n"/>
      <c r="J1640" s="18" t="n"/>
      <c r="K1640" s="18" t="n"/>
      <c r="L1640" s="18" t="inlineStr">
        <is>
          <t>100k +  pop</t>
        </is>
      </c>
      <c r="M1640" s="22" t="n">
        <v>0</v>
      </c>
      <c r="N1640" s="22" t="n">
        <v>0</v>
      </c>
      <c r="O1640" s="18" t="n"/>
      <c r="P1640" s="22">
        <f>IF(O1640="",(About!$B$5*M1640+About!$B$6*N1640)/(About!$B$5+About!$B$6),About!$B$5*M1640+About!$B$6*N1640+About!$B$7*O1640)</f>
        <v/>
      </c>
      <c r="Q1640" s="23" t="n">
        <v>27.9556</v>
      </c>
      <c r="R1640" s="23" t="n">
        <v>68.6382</v>
      </c>
    </row>
    <row r="1641" ht="15" customHeight="1" s="12">
      <c r="A1641" s="18" t="inlineStr">
        <is>
          <t>Westonaria</t>
        </is>
      </c>
      <c r="B1641" s="18" t="inlineStr">
        <is>
          <t>South Africa</t>
        </is>
      </c>
      <c r="C1641" s="19" t="n">
        <v>63100945</v>
      </c>
      <c r="D1641" s="18" t="inlineStr">
        <is>
          <t>ZA</t>
        </is>
      </c>
      <c r="E1641" s="18" t="inlineStr">
        <is>
          <t>06</t>
        </is>
      </c>
      <c r="F1641" s="20" t="n">
        <v>156831</v>
      </c>
      <c r="G1641" s="18" t="n"/>
      <c r="H1641" s="18" t="n"/>
      <c r="I1641" s="18" t="n"/>
      <c r="J1641" s="18" t="n"/>
      <c r="K1641" s="18" t="n"/>
      <c r="L1641" s="18" t="inlineStr">
        <is>
          <t>100k +  pop</t>
        </is>
      </c>
      <c r="M1641" s="22" t="n">
        <v>0</v>
      </c>
      <c r="N1641" s="22" t="n">
        <v>0</v>
      </c>
      <c r="O1641" s="18" t="n"/>
      <c r="P1641" s="22">
        <f>IF(O1641="",(About!$B$5*M1641+About!$B$6*N1641)/(About!$B$5+About!$B$6),About!$B$5*M1641+About!$B$6*N1641+About!$B$7*O1641)</f>
        <v/>
      </c>
      <c r="Q1641" s="23" t="n">
        <v>-26.3191</v>
      </c>
      <c r="R1641" s="23" t="n">
        <v>27.6486</v>
      </c>
    </row>
    <row r="1642" ht="15" customHeight="1" s="12">
      <c r="A1642" s="18" t="inlineStr">
        <is>
          <t>Souk Ahras</t>
        </is>
      </c>
      <c r="B1642" s="18" t="inlineStr">
        <is>
          <t>Algeria</t>
        </is>
      </c>
      <c r="C1642" s="19" t="n">
        <v>47400000</v>
      </c>
      <c r="D1642" s="18" t="inlineStr">
        <is>
          <t>DZ</t>
        </is>
      </c>
      <c r="E1642" s="18" t="inlineStr">
        <is>
          <t>52</t>
        </is>
      </c>
      <c r="F1642" s="20" t="n">
        <v>156745</v>
      </c>
      <c r="G1642" s="18" t="n"/>
      <c r="H1642" s="18" t="n"/>
      <c r="I1642" s="18" t="n"/>
      <c r="J1642" s="18" t="n"/>
      <c r="K1642" s="18" t="n"/>
      <c r="L1642" s="18" t="inlineStr">
        <is>
          <t>100k +  pop</t>
        </is>
      </c>
      <c r="M1642" s="22" t="n">
        <v>0</v>
      </c>
      <c r="N1642" s="22" t="n">
        <v>0</v>
      </c>
      <c r="O1642" s="18" t="n"/>
      <c r="P1642" s="22">
        <f>IF(O1642="",(About!$B$5*M1642+About!$B$6*N1642)/(About!$B$5+About!$B$6),About!$B$5*M1642+About!$B$6*N1642+About!$B$7*O1642)</f>
        <v/>
      </c>
      <c r="Q1642" s="23" t="n">
        <v>36.2864</v>
      </c>
      <c r="R1642" s="23" t="n">
        <v>7.9511</v>
      </c>
    </row>
    <row r="1643" ht="15" customHeight="1" s="12">
      <c r="A1643" s="18" t="inlineStr">
        <is>
          <t>Osogbo</t>
        </is>
      </c>
      <c r="B1643" s="18" t="inlineStr">
        <is>
          <t>Nigeria</t>
        </is>
      </c>
      <c r="C1643" s="19" t="n">
        <v>223800000</v>
      </c>
      <c r="D1643" s="18" t="inlineStr">
        <is>
          <t>NG</t>
        </is>
      </c>
      <c r="E1643" s="18" t="inlineStr">
        <is>
          <t>42</t>
        </is>
      </c>
      <c r="F1643" s="20" t="n">
        <v>156694</v>
      </c>
      <c r="G1643" s="18" t="n"/>
      <c r="H1643" s="18" t="n"/>
      <c r="I1643" s="18" t="n"/>
      <c r="J1643" s="18" t="n"/>
      <c r="K1643" s="18" t="n"/>
      <c r="L1643" s="18" t="inlineStr">
        <is>
          <t>100k +  pop</t>
        </is>
      </c>
      <c r="M1643" s="22" t="n">
        <v>0</v>
      </c>
      <c r="N1643" s="22" t="n">
        <v>0</v>
      </c>
      <c r="O1643" s="18" t="n"/>
      <c r="P1643" s="22">
        <f>IF(O1643="",(About!$B$5*M1643+About!$B$6*N1643)/(About!$B$5+About!$B$6),About!$B$5*M1643+About!$B$6*N1643+About!$B$7*O1643)</f>
        <v/>
      </c>
      <c r="Q1643" s="23" t="n">
        <v>7.771</v>
      </c>
      <c r="R1643" s="23" t="n">
        <v>4.557</v>
      </c>
    </row>
    <row r="1644" ht="15" customHeight="1" s="12">
      <c r="A1644" s="18" t="inlineStr">
        <is>
          <t>Pécs</t>
        </is>
      </c>
      <c r="B1644" s="18" t="inlineStr">
        <is>
          <t>Hungary</t>
        </is>
      </c>
      <c r="C1644" s="19" t="n">
        <v>9489000</v>
      </c>
      <c r="D1644" s="18" t="inlineStr">
        <is>
          <t>HU</t>
        </is>
      </c>
      <c r="E1644" s="18" t="inlineStr">
        <is>
          <t>02</t>
        </is>
      </c>
      <c r="F1644" s="20" t="n">
        <v>156649</v>
      </c>
      <c r="G1644" s="18" t="n"/>
      <c r="H1644" s="18" t="inlineStr">
        <is>
          <t>PEV</t>
        </is>
      </c>
      <c r="I1644" s="18" t="inlineStr">
        <is>
          <t>Pécs-Pogány International Airport</t>
        </is>
      </c>
      <c r="J1644" s="21" t="n">
        <v>9.300000000000001</v>
      </c>
      <c r="K1644" s="18" t="inlineStr">
        <is>
          <t>PEV</t>
        </is>
      </c>
      <c r="L1644" s="18" t="inlineStr">
        <is>
          <t>100k +  pop + airport</t>
        </is>
      </c>
      <c r="M1644" s="22" t="n">
        <v>0</v>
      </c>
      <c r="N1644" s="22" t="n">
        <v>0</v>
      </c>
      <c r="O1644" s="18" t="n"/>
      <c r="P1644" s="22">
        <f>IF(O1644="",(About!$B$5*M1644+About!$B$6*N1644)/(About!$B$5+About!$B$6),About!$B$5*M1644+About!$B$6*N1644+About!$B$7*O1644)</f>
        <v/>
      </c>
      <c r="Q1644" s="23" t="n">
        <v>46.0725</v>
      </c>
      <c r="R1644" s="23" t="n">
        <v>18.2308</v>
      </c>
    </row>
    <row r="1645" ht="15" customHeight="1" s="12">
      <c r="A1645" s="18" t="inlineStr">
        <is>
          <t>Seogwipo</t>
        </is>
      </c>
      <c r="B1645" s="18" t="inlineStr">
        <is>
          <t>South Korea</t>
        </is>
      </c>
      <c r="C1645" s="19" t="n">
        <v>51111158</v>
      </c>
      <c r="D1645" s="18" t="inlineStr">
        <is>
          <t>KR</t>
        </is>
      </c>
      <c r="E1645" s="18" t="inlineStr">
        <is>
          <t>01</t>
        </is>
      </c>
      <c r="F1645" s="20" t="n">
        <v>155691</v>
      </c>
      <c r="G1645" s="18" t="n"/>
      <c r="H1645" s="18" t="n"/>
      <c r="I1645" s="18" t="n"/>
      <c r="J1645" s="18" t="n"/>
      <c r="K1645" s="18" t="n"/>
      <c r="L1645" s="18" t="inlineStr">
        <is>
          <t>100k +  pop</t>
        </is>
      </c>
      <c r="M1645" s="22" t="n">
        <v>0</v>
      </c>
      <c r="N1645" s="22" t="n">
        <v>0</v>
      </c>
      <c r="O1645" s="18" t="n"/>
      <c r="P1645" s="22">
        <f>IF(O1645="",(About!$B$5*M1645+About!$B$6*N1645)/(About!$B$5+About!$B$6),About!$B$5*M1645+About!$B$6*N1645+About!$B$7*O1645)</f>
        <v/>
      </c>
      <c r="Q1645" s="23" t="n">
        <v>33.2533</v>
      </c>
      <c r="R1645" s="23" t="n">
        <v>126.5618</v>
      </c>
    </row>
    <row r="1646" ht="15" customHeight="1" s="12">
      <c r="A1646" s="18" t="inlineStr">
        <is>
          <t>Guyong</t>
        </is>
      </c>
      <c r="B1646" s="18" t="inlineStr">
        <is>
          <t>Philippines</t>
        </is>
      </c>
      <c r="C1646" s="19" t="n">
        <v>114123600</v>
      </c>
      <c r="D1646" s="18" t="inlineStr">
        <is>
          <t>PH</t>
        </is>
      </c>
      <c r="E1646" s="18" t="inlineStr">
        <is>
          <t>03</t>
        </is>
      </c>
      <c r="F1646" s="20" t="n">
        <v>155391</v>
      </c>
      <c r="G1646" s="18" t="n"/>
      <c r="H1646" s="18" t="n"/>
      <c r="I1646" s="18" t="n"/>
      <c r="J1646" s="18" t="n"/>
      <c r="K1646" s="18" t="n"/>
      <c r="L1646" s="18" t="inlineStr">
        <is>
          <t>100k +  pop</t>
        </is>
      </c>
      <c r="M1646" s="22" t="n">
        <v>0</v>
      </c>
      <c r="N1646" s="22" t="n">
        <v>0</v>
      </c>
      <c r="O1646" s="18" t="n"/>
      <c r="P1646" s="22">
        <f>IF(O1646="",(About!$B$5*M1646+About!$B$6*N1646)/(About!$B$5+About!$B$6),About!$B$5*M1646+About!$B$6*N1646+About!$B$7*O1646)</f>
        <v/>
      </c>
      <c r="Q1646" s="23" t="n">
        <v>14.8361</v>
      </c>
      <c r="R1646" s="23" t="n">
        <v>120.9784</v>
      </c>
    </row>
    <row r="1647" ht="15" customHeight="1" s="12">
      <c r="A1647" s="18" t="inlineStr">
        <is>
          <t>Port Louis</t>
        </is>
      </c>
      <c r="B1647" s="18" t="inlineStr">
        <is>
          <t>Mauritius</t>
        </is>
      </c>
      <c r="C1647" s="19" t="n">
        <v>1241856</v>
      </c>
      <c r="D1647" s="18" t="inlineStr">
        <is>
          <t>MU</t>
        </is>
      </c>
      <c r="E1647" s="18" t="inlineStr">
        <is>
          <t>18</t>
        </is>
      </c>
      <c r="F1647" s="20" t="n">
        <v>155226</v>
      </c>
      <c r="G1647" s="18" t="inlineStr">
        <is>
          <t>Yes</t>
        </is>
      </c>
      <c r="H1647" s="18" t="n"/>
      <c r="I1647" s="18" t="n"/>
      <c r="J1647" s="18" t="n"/>
      <c r="K1647" s="18" t="n"/>
      <c r="L1647" s="18" t="inlineStr">
        <is>
          <t>100k +  pop + capital</t>
        </is>
      </c>
      <c r="M1647" s="22" t="n">
        <v>0</v>
      </c>
      <c r="N1647" s="22" t="n">
        <v>0</v>
      </c>
      <c r="O1647" s="18" t="n"/>
      <c r="P1647" s="22">
        <f>IF(O1647="",(About!$B$5*M1647+About!$B$6*N1647)/(About!$B$5+About!$B$6),About!$B$5*M1647+About!$B$6*N1647+About!$B$7*O1647)</f>
        <v/>
      </c>
      <c r="Q1647" s="23" t="n">
        <v>-20.1619</v>
      </c>
      <c r="R1647" s="23" t="n">
        <v>57.4989</v>
      </c>
    </row>
    <row r="1648" ht="15" customHeight="1" s="12">
      <c r="A1648" s="18" t="inlineStr">
        <is>
          <t>Middelburg</t>
        </is>
      </c>
      <c r="B1648" s="18" t="inlineStr">
        <is>
          <t>South Africa</t>
        </is>
      </c>
      <c r="C1648" s="19" t="n">
        <v>63100945</v>
      </c>
      <c r="D1648" s="18" t="inlineStr">
        <is>
          <t>ZA</t>
        </is>
      </c>
      <c r="E1648" s="18" t="inlineStr">
        <is>
          <t>07</t>
        </is>
      </c>
      <c r="F1648" s="20" t="n">
        <v>154706</v>
      </c>
      <c r="G1648" s="18" t="n"/>
      <c r="H1648" s="18" t="n"/>
      <c r="I1648" s="18" t="n"/>
      <c r="J1648" s="18" t="n"/>
      <c r="K1648" s="18" t="n"/>
      <c r="L1648" s="18" t="inlineStr">
        <is>
          <t>100k +  pop</t>
        </is>
      </c>
      <c r="M1648" s="22" t="n">
        <v>0</v>
      </c>
      <c r="N1648" s="22" t="n">
        <v>0</v>
      </c>
      <c r="O1648" s="18" t="n"/>
      <c r="P1648" s="22">
        <f>IF(O1648="",(About!$B$5*M1648+About!$B$6*N1648)/(About!$B$5+About!$B$6),About!$B$5*M1648+About!$B$6*N1648+About!$B$7*O1648)</f>
        <v/>
      </c>
      <c r="Q1648" s="23" t="n">
        <v>-25.7751</v>
      </c>
      <c r="R1648" s="23" t="n">
        <v>29.4648</v>
      </c>
    </row>
    <row r="1649" ht="15" customHeight="1" s="12">
      <c r="A1649" s="18" t="inlineStr">
        <is>
          <t>Butembo</t>
        </is>
      </c>
      <c r="B1649" s="18" t="inlineStr">
        <is>
          <t>DR Congo</t>
        </is>
      </c>
      <c r="C1649" s="19" t="n">
        <v>112832000</v>
      </c>
      <c r="D1649" s="18" t="inlineStr">
        <is>
          <t>CD</t>
        </is>
      </c>
      <c r="E1649" s="18" t="inlineStr">
        <is>
          <t>11</t>
        </is>
      </c>
      <c r="F1649" s="20" t="n">
        <v>154621</v>
      </c>
      <c r="G1649" s="18" t="n"/>
      <c r="H1649" s="18" t="n"/>
      <c r="I1649" s="18" t="n"/>
      <c r="J1649" s="18" t="n"/>
      <c r="K1649" s="18" t="n"/>
      <c r="L1649" s="18" t="inlineStr">
        <is>
          <t>100k +  pop</t>
        </is>
      </c>
      <c r="M1649" s="22" t="n">
        <v>0</v>
      </c>
      <c r="N1649" s="22" t="n">
        <v>0</v>
      </c>
      <c r="O1649" s="18" t="n"/>
      <c r="P1649" s="22">
        <f>IF(O1649="",(About!$B$5*M1649+About!$B$6*N1649)/(About!$B$5+About!$B$6),About!$B$5*M1649+About!$B$6*N1649+About!$B$7*O1649)</f>
        <v/>
      </c>
      <c r="Q1649" s="23" t="n">
        <v>0.1416</v>
      </c>
      <c r="R1649" s="23" t="n">
        <v>29.2912</v>
      </c>
    </row>
    <row r="1650" ht="15" customHeight="1" s="12">
      <c r="A1650" s="18" t="inlineStr">
        <is>
          <t>Leshan</t>
        </is>
      </c>
      <c r="B1650" s="18" t="inlineStr">
        <is>
          <t>China</t>
        </is>
      </c>
      <c r="C1650" s="19" t="n">
        <v>1404890000</v>
      </c>
      <c r="D1650" s="18" t="inlineStr">
        <is>
          <t>CN</t>
        </is>
      </c>
      <c r="E1650" s="18" t="inlineStr">
        <is>
          <t>32</t>
        </is>
      </c>
      <c r="F1650" s="20" t="n">
        <v>154477</v>
      </c>
      <c r="G1650" s="18" t="n"/>
      <c r="H1650" s="18" t="n"/>
      <c r="I1650" s="18" t="n"/>
      <c r="J1650" s="18" t="n"/>
      <c r="K1650" s="18" t="n"/>
      <c r="L1650" s="18" t="inlineStr">
        <is>
          <t>100k +  pop</t>
        </is>
      </c>
      <c r="M1650" s="22" t="n">
        <v>0</v>
      </c>
      <c r="N1650" s="22" t="n">
        <v>0</v>
      </c>
      <c r="O1650" s="18" t="n"/>
      <c r="P1650" s="22">
        <f>IF(O1650="",(About!$B$5*M1650+About!$B$6*N1650)/(About!$B$5+About!$B$6),About!$B$5*M1650+About!$B$6*N1650+About!$B$7*O1650)</f>
        <v/>
      </c>
      <c r="Q1650" s="23" t="n">
        <v>29.5623</v>
      </c>
      <c r="R1650" s="23" t="n">
        <v>103.7639</v>
      </c>
    </row>
    <row r="1651" ht="15" customHeight="1" s="12">
      <c r="A1651" s="18" t="inlineStr">
        <is>
          <t>Gandajika</t>
        </is>
      </c>
      <c r="B1651" s="18" t="inlineStr">
        <is>
          <t>DR Congo</t>
        </is>
      </c>
      <c r="C1651" s="19" t="n">
        <v>112832000</v>
      </c>
      <c r="D1651" s="18" t="inlineStr">
        <is>
          <t>CD</t>
        </is>
      </c>
      <c r="E1651" s="18" t="inlineStr">
        <is>
          <t>04</t>
        </is>
      </c>
      <c r="F1651" s="20" t="n">
        <v>154425</v>
      </c>
      <c r="G1651" s="18" t="n"/>
      <c r="H1651" s="18" t="n"/>
      <c r="I1651" s="18" t="n"/>
      <c r="J1651" s="18" t="n"/>
      <c r="K1651" s="18" t="n"/>
      <c r="L1651" s="18" t="inlineStr">
        <is>
          <t>100k +  pop</t>
        </is>
      </c>
      <c r="M1651" s="22" t="n">
        <v>0</v>
      </c>
      <c r="N1651" s="22" t="n">
        <v>0</v>
      </c>
      <c r="O1651" s="18" t="n"/>
      <c r="P1651" s="22">
        <f>IF(O1651="",(About!$B$5*M1651+About!$B$6*N1651)/(About!$B$5+About!$B$6),About!$B$5*M1651+About!$B$6*N1651+About!$B$7*O1651)</f>
        <v/>
      </c>
      <c r="Q1651" s="23" t="n">
        <v>-6.745</v>
      </c>
      <c r="R1651" s="23" t="n">
        <v>23.9533</v>
      </c>
    </row>
    <row r="1652" ht="15" customHeight="1" s="12">
      <c r="A1652" s="18" t="inlineStr">
        <is>
          <t>Djelfa</t>
        </is>
      </c>
      <c r="B1652" s="18" t="inlineStr">
        <is>
          <t>Algeria</t>
        </is>
      </c>
      <c r="C1652" s="19" t="n">
        <v>47400000</v>
      </c>
      <c r="D1652" s="18" t="inlineStr">
        <is>
          <t>DZ</t>
        </is>
      </c>
      <c r="E1652" s="18" t="inlineStr">
        <is>
          <t>22</t>
        </is>
      </c>
      <c r="F1652" s="20" t="n">
        <v>154265</v>
      </c>
      <c r="G1652" s="18" t="n"/>
      <c r="H1652" s="18" t="n"/>
      <c r="I1652" s="18" t="n"/>
      <c r="J1652" s="18" t="n"/>
      <c r="K1652" s="18" t="n"/>
      <c r="L1652" s="18" t="inlineStr">
        <is>
          <t>100k +  pop</t>
        </is>
      </c>
      <c r="M1652" s="22" t="n">
        <v>0</v>
      </c>
      <c r="N1652" s="22" t="n">
        <v>0</v>
      </c>
      <c r="O1652" s="18" t="n"/>
      <c r="P1652" s="22">
        <f>IF(O1652="",(About!$B$5*M1652+About!$B$6*N1652)/(About!$B$5+About!$B$6),About!$B$5*M1652+About!$B$6*N1652+About!$B$7*O1652)</f>
        <v/>
      </c>
      <c r="Q1652" s="23" t="n">
        <v>34.6728</v>
      </c>
      <c r="R1652" s="23" t="n">
        <v>3.263</v>
      </c>
    </row>
    <row r="1653" ht="15" customHeight="1" s="12">
      <c r="A1653" s="18" t="inlineStr">
        <is>
          <t>Viranşehir</t>
        </is>
      </c>
      <c r="B1653" s="18" t="inlineStr">
        <is>
          <t>Türkiye</t>
        </is>
      </c>
      <c r="C1653" s="19" t="n">
        <v>86092168</v>
      </c>
      <c r="D1653" s="18" t="inlineStr">
        <is>
          <t>TR</t>
        </is>
      </c>
      <c r="E1653" s="18" t="inlineStr">
        <is>
          <t>63</t>
        </is>
      </c>
      <c r="F1653" s="20" t="n">
        <v>154163</v>
      </c>
      <c r="G1653" s="18" t="n"/>
      <c r="H1653" s="18" t="n"/>
      <c r="I1653" s="18" t="n"/>
      <c r="J1653" s="18" t="n"/>
      <c r="K1653" s="18" t="n"/>
      <c r="L1653" s="18" t="inlineStr">
        <is>
          <t>100k +  pop</t>
        </is>
      </c>
      <c r="M1653" s="22" t="n">
        <v>0</v>
      </c>
      <c r="N1653" s="22" t="n">
        <v>0</v>
      </c>
      <c r="O1653" s="18" t="n"/>
      <c r="P1653" s="22">
        <f>IF(O1653="",(About!$B$5*M1653+About!$B$6*N1653)/(About!$B$5+About!$B$6),About!$B$5*M1653+About!$B$6*N1653+About!$B$7*O1653)</f>
        <v/>
      </c>
      <c r="Q1653" s="23" t="n">
        <v>37.2235</v>
      </c>
      <c r="R1653" s="23" t="n">
        <v>39.7552</v>
      </c>
    </row>
    <row r="1654" ht="15" customHeight="1" s="12">
      <c r="A1654" s="18" t="inlineStr">
        <is>
          <t>Limassol</t>
        </is>
      </c>
      <c r="B1654" s="18" t="inlineStr">
        <is>
          <t>Cyprus</t>
        </is>
      </c>
      <c r="C1654" s="19" t="n">
        <v>983000</v>
      </c>
      <c r="D1654" s="18" t="inlineStr">
        <is>
          <t>CY</t>
        </is>
      </c>
      <c r="E1654" s="18" t="inlineStr">
        <is>
          <t>05</t>
        </is>
      </c>
      <c r="F1654" s="20" t="n">
        <v>154000</v>
      </c>
      <c r="G1654" s="18" t="n"/>
      <c r="H1654" s="18" t="n"/>
      <c r="I1654" s="18" t="n"/>
      <c r="J1654" s="18" t="n"/>
      <c r="K1654" s="18" t="n"/>
      <c r="L1654" s="18" t="inlineStr">
        <is>
          <t>100k +  pop</t>
        </is>
      </c>
      <c r="M1654" s="22" t="n">
        <v>0</v>
      </c>
      <c r="N1654" s="22" t="n">
        <v>0</v>
      </c>
      <c r="O1654" s="18" t="n"/>
      <c r="P1654" s="22">
        <f>IF(O1654="",(About!$B$5*M1654+About!$B$6*N1654)/(About!$B$5+About!$B$6),About!$B$5*M1654+About!$B$6*N1654+About!$B$7*O1654)</f>
        <v/>
      </c>
      <c r="Q1654" s="23" t="n">
        <v>34.6841</v>
      </c>
      <c r="R1654" s="23" t="n">
        <v>33.0379</v>
      </c>
    </row>
    <row r="1655" ht="15" customHeight="1" s="12">
      <c r="A1655" s="18" t="inlineStr">
        <is>
          <t>Río Cuarto</t>
        </is>
      </c>
      <c r="B1655" s="18" t="inlineStr">
        <is>
          <t>Argentina</t>
        </is>
      </c>
      <c r="C1655" s="19" t="n">
        <v>46387098</v>
      </c>
      <c r="D1655" s="18" t="inlineStr">
        <is>
          <t>AR</t>
        </is>
      </c>
      <c r="E1655" s="18" t="inlineStr">
        <is>
          <t>05</t>
        </is>
      </c>
      <c r="F1655" s="20" t="n">
        <v>153757</v>
      </c>
      <c r="G1655" s="18" t="n"/>
      <c r="H1655" s="18" t="n"/>
      <c r="I1655" s="18" t="n"/>
      <c r="J1655" s="18" t="n"/>
      <c r="K1655" s="18" t="n"/>
      <c r="L1655" s="18" t="inlineStr">
        <is>
          <t>100k +  pop</t>
        </is>
      </c>
      <c r="M1655" s="22" t="n">
        <v>0</v>
      </c>
      <c r="N1655" s="22" t="n">
        <v>0</v>
      </c>
      <c r="O1655" s="18" t="n"/>
      <c r="P1655" s="22">
        <f>IF(O1655="",(About!$B$5*M1655+About!$B$6*N1655)/(About!$B$5+About!$B$6),About!$B$5*M1655+About!$B$6*N1655+About!$B$7*O1655)</f>
        <v/>
      </c>
      <c r="Q1655" s="23" t="n">
        <v>-33.1307</v>
      </c>
      <c r="R1655" s="23" t="n">
        <v>-64.34990000000001</v>
      </c>
    </row>
    <row r="1656" ht="15" customHeight="1" s="12">
      <c r="A1656" s="18" t="inlineStr">
        <is>
          <t>York</t>
        </is>
      </c>
      <c r="B1656" s="18" t="inlineStr">
        <is>
          <t>United Kingdom</t>
        </is>
      </c>
      <c r="C1656" s="19" t="n">
        <v>69487000</v>
      </c>
      <c r="D1656" s="18" t="inlineStr">
        <is>
          <t>GB</t>
        </is>
      </c>
      <c r="E1656" s="18" t="inlineStr">
        <is>
          <t>ENG</t>
        </is>
      </c>
      <c r="F1656" s="20" t="n">
        <v>153717</v>
      </c>
      <c r="G1656" s="18" t="n"/>
      <c r="H1656" s="18" t="n"/>
      <c r="I1656" s="18" t="n"/>
      <c r="J1656" s="18" t="n"/>
      <c r="K1656" s="18" t="n"/>
      <c r="L1656" s="18" t="inlineStr">
        <is>
          <t>100k +  pop</t>
        </is>
      </c>
      <c r="M1656" s="22" t="n">
        <v>0</v>
      </c>
      <c r="N1656" s="22" t="n">
        <v>0</v>
      </c>
      <c r="O1656" s="18" t="n"/>
      <c r="P1656" s="22">
        <f>IF(O1656="",(About!$B$5*M1656+About!$B$6*N1656)/(About!$B$5+About!$B$6),About!$B$5*M1656+About!$B$6*N1656+About!$B$7*O1656)</f>
        <v/>
      </c>
      <c r="Q1656" s="23" t="n">
        <v>53.9576</v>
      </c>
      <c r="R1656" s="23" t="n">
        <v>-1.0827</v>
      </c>
    </row>
    <row r="1657" ht="15" customHeight="1" s="12">
      <c r="A1657" s="18" t="inlineStr">
        <is>
          <t>Hafizabad</t>
        </is>
      </c>
      <c r="B1657" s="18" t="inlineStr">
        <is>
          <t>Pakistan</t>
        </is>
      </c>
      <c r="C1657" s="19" t="n">
        <v>241499431</v>
      </c>
      <c r="D1657" s="18" t="inlineStr">
        <is>
          <t>PK</t>
        </is>
      </c>
      <c r="E1657" s="18" t="inlineStr">
        <is>
          <t>04</t>
        </is>
      </c>
      <c r="F1657" s="20" t="n">
        <v>153656</v>
      </c>
      <c r="G1657" s="18" t="n"/>
      <c r="H1657" s="18" t="n"/>
      <c r="I1657" s="18" t="n"/>
      <c r="J1657" s="18" t="n"/>
      <c r="K1657" s="18" t="n"/>
      <c r="L1657" s="18" t="inlineStr">
        <is>
          <t>100k +  pop</t>
        </is>
      </c>
      <c r="M1657" s="22" t="n">
        <v>0</v>
      </c>
      <c r="N1657" s="22" t="n">
        <v>0</v>
      </c>
      <c r="O1657" s="18" t="n"/>
      <c r="P1657" s="22">
        <f>IF(O1657="",(About!$B$5*M1657+About!$B$6*N1657)/(About!$B$5+About!$B$6),About!$B$5*M1657+About!$B$6*N1657+About!$B$7*O1657)</f>
        <v/>
      </c>
      <c r="Q1657" s="23" t="n">
        <v>32.071</v>
      </c>
      <c r="R1657" s="23" t="n">
        <v>73.688</v>
      </c>
    </row>
    <row r="1658" ht="15" customHeight="1" s="12">
      <c r="A1658" s="18" t="inlineStr">
        <is>
          <t>Angra dos Reis</t>
        </is>
      </c>
      <c r="B1658" s="18" t="inlineStr">
        <is>
          <t>Brazil</t>
        </is>
      </c>
      <c r="C1658" s="19" t="n">
        <v>213421037</v>
      </c>
      <c r="D1658" s="18" t="inlineStr">
        <is>
          <t>BR</t>
        </is>
      </c>
      <c r="E1658" s="18" t="inlineStr">
        <is>
          <t>21</t>
        </is>
      </c>
      <c r="F1658" s="20" t="n">
        <v>153635</v>
      </c>
      <c r="G1658" s="18" t="n"/>
      <c r="H1658" s="18" t="n"/>
      <c r="I1658" s="18" t="n"/>
      <c r="J1658" s="18" t="n"/>
      <c r="K1658" s="18" t="n"/>
      <c r="L1658" s="18" t="inlineStr">
        <is>
          <t>100k +  pop</t>
        </is>
      </c>
      <c r="M1658" s="22" t="n">
        <v>0</v>
      </c>
      <c r="N1658" s="22" t="n">
        <v>0</v>
      </c>
      <c r="O1658" s="18" t="n"/>
      <c r="P1658" s="22">
        <f>IF(O1658="",(About!$B$5*M1658+About!$B$6*N1658)/(About!$B$5+About!$B$6),About!$B$5*M1658+About!$B$6*N1658+About!$B$7*O1658)</f>
        <v/>
      </c>
      <c r="Q1658" s="23" t="n">
        <v>-23.0067</v>
      </c>
      <c r="R1658" s="23" t="n">
        <v>-44.3181</v>
      </c>
    </row>
    <row r="1659" ht="15" customHeight="1" s="12">
      <c r="A1659" s="18" t="inlineStr">
        <is>
          <t>As Samawah</t>
        </is>
      </c>
      <c r="B1659" s="18" t="inlineStr">
        <is>
          <t>Iraq</t>
        </is>
      </c>
      <c r="C1659" s="19" t="n">
        <v>46118793</v>
      </c>
      <c r="D1659" s="18" t="inlineStr">
        <is>
          <t>IQ</t>
        </is>
      </c>
      <c r="E1659" s="18" t="inlineStr">
        <is>
          <t>03</t>
        </is>
      </c>
      <c r="F1659" s="20" t="n">
        <v>152890</v>
      </c>
      <c r="G1659" s="18" t="n"/>
      <c r="H1659" s="18" t="n"/>
      <c r="I1659" s="18" t="n"/>
      <c r="J1659" s="18" t="n"/>
      <c r="K1659" s="18" t="n"/>
      <c r="L1659" s="18" t="inlineStr">
        <is>
          <t>100k +  pop</t>
        </is>
      </c>
      <c r="M1659" s="22" t="n">
        <v>0</v>
      </c>
      <c r="N1659" s="22" t="n">
        <v>0</v>
      </c>
      <c r="O1659" s="18" t="n"/>
      <c r="P1659" s="22">
        <f>IF(O1659="",(About!$B$5*M1659+About!$B$6*N1659)/(About!$B$5+About!$B$6),About!$B$5*M1659+About!$B$6*N1659+About!$B$7*O1659)</f>
        <v/>
      </c>
      <c r="Q1659" s="23" t="n">
        <v>31.332</v>
      </c>
      <c r="R1659" s="23" t="n">
        <v>45.2944</v>
      </c>
    </row>
    <row r="1660" ht="15" customHeight="1" s="12">
      <c r="A1660" s="18" t="inlineStr">
        <is>
          <t>Uşak</t>
        </is>
      </c>
      <c r="B1660" s="18" t="inlineStr">
        <is>
          <t>Türkiye</t>
        </is>
      </c>
      <c r="C1660" s="19" t="n">
        <v>86092168</v>
      </c>
      <c r="D1660" s="18" t="inlineStr">
        <is>
          <t>TR</t>
        </is>
      </c>
      <c r="E1660" s="18" t="inlineStr">
        <is>
          <t>64</t>
        </is>
      </c>
      <c r="F1660" s="20" t="n">
        <v>152862</v>
      </c>
      <c r="G1660" s="18" t="n"/>
      <c r="H1660" s="18" t="n"/>
      <c r="I1660" s="18" t="n"/>
      <c r="J1660" s="18" t="n"/>
      <c r="K1660" s="18" t="n"/>
      <c r="L1660" s="18" t="inlineStr">
        <is>
          <t>100k +  pop</t>
        </is>
      </c>
      <c r="M1660" s="22" t="n">
        <v>0</v>
      </c>
      <c r="N1660" s="22" t="n">
        <v>0</v>
      </c>
      <c r="O1660" s="18" t="n"/>
      <c r="P1660" s="22">
        <f>IF(O1660="",(About!$B$5*M1660+About!$B$6*N1660)/(About!$B$5+About!$B$6),About!$B$5*M1660+About!$B$6*N1660+About!$B$7*O1660)</f>
        <v/>
      </c>
      <c r="Q1660" s="23" t="n">
        <v>38.6735</v>
      </c>
      <c r="R1660" s="23" t="n">
        <v>29.4058</v>
      </c>
    </row>
    <row r="1661" ht="15" customHeight="1" s="12">
      <c r="A1661" s="18" t="inlineStr">
        <is>
          <t>Baqubah</t>
        </is>
      </c>
      <c r="B1661" s="18" t="inlineStr">
        <is>
          <t>Iraq</t>
        </is>
      </c>
      <c r="C1661" s="19" t="n">
        <v>46118793</v>
      </c>
      <c r="D1661" s="18" t="inlineStr">
        <is>
          <t>IQ</t>
        </is>
      </c>
      <c r="E1661" s="18" t="inlineStr">
        <is>
          <t>10</t>
        </is>
      </c>
      <c r="F1661" s="20" t="n">
        <v>152550</v>
      </c>
      <c r="G1661" s="18" t="n"/>
      <c r="H1661" s="18" t="n"/>
      <c r="I1661" s="18" t="n"/>
      <c r="J1661" s="18" t="n"/>
      <c r="K1661" s="18" t="n"/>
      <c r="L1661" s="18" t="inlineStr">
        <is>
          <t>100k +  pop</t>
        </is>
      </c>
      <c r="M1661" s="22" t="n">
        <v>0</v>
      </c>
      <c r="N1661" s="22" t="n">
        <v>0</v>
      </c>
      <c r="O1661" s="18" t="n"/>
      <c r="P1661" s="22">
        <f>IF(O1661="",(About!$B$5*M1661+About!$B$6*N1661)/(About!$B$5+About!$B$6),About!$B$5*M1661+About!$B$6*N1661+About!$B$7*O1661)</f>
        <v/>
      </c>
      <c r="Q1661" s="23" t="n">
        <v>33.754</v>
      </c>
      <c r="R1661" s="23" t="n">
        <v>44.6052</v>
      </c>
    </row>
    <row r="1662" ht="15" customHeight="1" s="12">
      <c r="A1662" s="18" t="inlineStr">
        <is>
          <t>Aksaray</t>
        </is>
      </c>
      <c r="B1662" s="18" t="inlineStr">
        <is>
          <t>Türkiye</t>
        </is>
      </c>
      <c r="C1662" s="19" t="n">
        <v>86092168</v>
      </c>
      <c r="D1662" s="18" t="inlineStr">
        <is>
          <t>TR</t>
        </is>
      </c>
      <c r="E1662" s="18" t="inlineStr">
        <is>
          <t>75</t>
        </is>
      </c>
      <c r="F1662" s="20" t="n">
        <v>152201</v>
      </c>
      <c r="G1662" s="18" t="n"/>
      <c r="H1662" s="18" t="n"/>
      <c r="I1662" s="18" t="n"/>
      <c r="J1662" s="18" t="n"/>
      <c r="K1662" s="18" t="n"/>
      <c r="L1662" s="18" t="inlineStr">
        <is>
          <t>100k +  pop</t>
        </is>
      </c>
      <c r="M1662" s="22" t="n">
        <v>0</v>
      </c>
      <c r="N1662" s="22" t="n">
        <v>0</v>
      </c>
      <c r="O1662" s="18" t="n"/>
      <c r="P1662" s="22">
        <f>IF(O1662="",(About!$B$5*M1662+About!$B$6*N1662)/(About!$B$5+About!$B$6),About!$B$5*M1662+About!$B$6*N1662+About!$B$7*O1662)</f>
        <v/>
      </c>
      <c r="Q1662" s="23" t="n">
        <v>38.3725</v>
      </c>
      <c r="R1662" s="23" t="n">
        <v>34.0254</v>
      </c>
    </row>
    <row r="1663" ht="15" customHeight="1" s="12">
      <c r="A1663" s="18" t="inlineStr">
        <is>
          <t>Logroño</t>
        </is>
      </c>
      <c r="B1663" s="18" t="inlineStr">
        <is>
          <t>Spain</t>
        </is>
      </c>
      <c r="C1663" s="19" t="n">
        <v>49687120</v>
      </c>
      <c r="D1663" s="18" t="inlineStr">
        <is>
          <t>ES</t>
        </is>
      </c>
      <c r="E1663" s="18" t="inlineStr">
        <is>
          <t>27</t>
        </is>
      </c>
      <c r="F1663" s="20" t="n">
        <v>152107</v>
      </c>
      <c r="G1663" s="18" t="n"/>
      <c r="H1663" s="18" t="n"/>
      <c r="I1663" s="18" t="n"/>
      <c r="J1663" s="18" t="n"/>
      <c r="K1663" s="18" t="n"/>
      <c r="L1663" s="18" t="inlineStr">
        <is>
          <t>100k +  pop</t>
        </is>
      </c>
      <c r="M1663" s="22" t="n">
        <v>0</v>
      </c>
      <c r="N1663" s="22" t="n">
        <v>0</v>
      </c>
      <c r="O1663" s="18" t="n"/>
      <c r="P1663" s="22">
        <f>IF(O1663="",(About!$B$5*M1663+About!$B$6*N1663)/(About!$B$5+About!$B$6),About!$B$5*M1663+About!$B$6*N1663+About!$B$7*O1663)</f>
        <v/>
      </c>
      <c r="Q1663" s="23" t="n">
        <v>42.4667</v>
      </c>
      <c r="R1663" s="23" t="n">
        <v>-2.45</v>
      </c>
    </row>
    <row r="1664" ht="15" customHeight="1" s="12">
      <c r="A1664" s="18" t="inlineStr">
        <is>
          <t>Bảo Lộc</t>
        </is>
      </c>
      <c r="B1664" s="18" t="inlineStr">
        <is>
          <t>Vietnam</t>
        </is>
      </c>
      <c r="C1664" s="19" t="n">
        <v>102300000</v>
      </c>
      <c r="D1664" s="18" t="inlineStr">
        <is>
          <t>VN</t>
        </is>
      </c>
      <c r="E1664" s="18" t="inlineStr">
        <is>
          <t>23</t>
        </is>
      </c>
      <c r="F1664" s="20" t="n">
        <v>151915</v>
      </c>
      <c r="G1664" s="18" t="n"/>
      <c r="H1664" s="18" t="n"/>
      <c r="I1664" s="18" t="n"/>
      <c r="J1664" s="18" t="n"/>
      <c r="K1664" s="18" t="n"/>
      <c r="L1664" s="18" t="inlineStr">
        <is>
          <t>100k +  pop</t>
        </is>
      </c>
      <c r="M1664" s="22" t="n">
        <v>0</v>
      </c>
      <c r="N1664" s="22" t="n">
        <v>0</v>
      </c>
      <c r="O1664" s="18" t="n"/>
      <c r="P1664" s="22">
        <f>IF(O1664="",(About!$B$5*M1664+About!$B$6*N1664)/(About!$B$5+About!$B$6),About!$B$5*M1664+About!$B$6*N1664+About!$B$7*O1664)</f>
        <v/>
      </c>
      <c r="Q1664" s="23" t="n">
        <v>11.548</v>
      </c>
      <c r="R1664" s="23" t="n">
        <v>107.8077</v>
      </c>
    </row>
    <row r="1665" ht="15" customHeight="1" s="12">
      <c r="A1665" s="18" t="inlineStr">
        <is>
          <t>Kohat</t>
        </is>
      </c>
      <c r="B1665" s="18" t="inlineStr">
        <is>
          <t>Pakistan</t>
        </is>
      </c>
      <c r="C1665" s="19" t="n">
        <v>241499431</v>
      </c>
      <c r="D1665" s="18" t="inlineStr">
        <is>
          <t>PK</t>
        </is>
      </c>
      <c r="E1665" s="18" t="inlineStr">
        <is>
          <t>03</t>
        </is>
      </c>
      <c r="F1665" s="20" t="n">
        <v>151427</v>
      </c>
      <c r="G1665" s="18" t="n"/>
      <c r="H1665" s="18" t="n"/>
      <c r="I1665" s="18" t="n"/>
      <c r="J1665" s="18" t="n"/>
      <c r="K1665" s="18" t="n"/>
      <c r="L1665" s="18" t="inlineStr">
        <is>
          <t>100k +  pop</t>
        </is>
      </c>
      <c r="M1665" s="22" t="n">
        <v>0</v>
      </c>
      <c r="N1665" s="22" t="n">
        <v>0</v>
      </c>
      <c r="O1665" s="18" t="n"/>
      <c r="P1665" s="22">
        <f>IF(O1665="",(About!$B$5*M1665+About!$B$6*N1665)/(About!$B$5+About!$B$6),About!$B$5*M1665+About!$B$6*N1665+About!$B$7*O1665)</f>
        <v/>
      </c>
      <c r="Q1665" s="23" t="n">
        <v>33.582</v>
      </c>
      <c r="R1665" s="23" t="n">
        <v>71.44929999999999</v>
      </c>
    </row>
    <row r="1666" ht="15" customHeight="1" s="12">
      <c r="A1666" s="18" t="inlineStr">
        <is>
          <t>Saqqez</t>
        </is>
      </c>
      <c r="B1666" s="18" t="inlineStr">
        <is>
          <t>Iran</t>
        </is>
      </c>
      <c r="C1666" s="19" t="n">
        <v>87134000</v>
      </c>
      <c r="D1666" s="18" t="inlineStr">
        <is>
          <t>IR</t>
        </is>
      </c>
      <c r="E1666" s="18" t="inlineStr">
        <is>
          <t>16</t>
        </is>
      </c>
      <c r="F1666" s="20" t="n">
        <v>151237</v>
      </c>
      <c r="G1666" s="18" t="n"/>
      <c r="H1666" s="18" t="n"/>
      <c r="I1666" s="18" t="n"/>
      <c r="J1666" s="18" t="n"/>
      <c r="K1666" s="18" t="n"/>
      <c r="L1666" s="18" t="inlineStr">
        <is>
          <t>100k +  pop</t>
        </is>
      </c>
      <c r="M1666" s="22" t="n">
        <v>0</v>
      </c>
      <c r="N1666" s="22" t="n">
        <v>0</v>
      </c>
      <c r="O1666" s="18" t="n"/>
      <c r="P1666" s="22">
        <f>IF(O1666="",(About!$B$5*M1666+About!$B$6*N1666)/(About!$B$5+About!$B$6),About!$B$5*M1666+About!$B$6*N1666+About!$B$7*O1666)</f>
        <v/>
      </c>
      <c r="Q1666" s="23" t="n">
        <v>36.2499</v>
      </c>
      <c r="R1666" s="23" t="n">
        <v>46.2735</v>
      </c>
    </row>
    <row r="1667" ht="15" customHeight="1" s="12">
      <c r="A1667" s="18" t="inlineStr">
        <is>
          <t>Battambang</t>
        </is>
      </c>
      <c r="B1667" s="18" t="inlineStr">
        <is>
          <t>Cambodia</t>
        </is>
      </c>
      <c r="C1667" s="19" t="n">
        <v>17577760</v>
      </c>
      <c r="D1667" s="18" t="inlineStr">
        <is>
          <t>KH</t>
        </is>
      </c>
      <c r="E1667" s="18" t="inlineStr">
        <is>
          <t>29</t>
        </is>
      </c>
      <c r="F1667" s="20" t="n">
        <v>150444</v>
      </c>
      <c r="G1667" s="18" t="n"/>
      <c r="H1667" s="18" t="inlineStr">
        <is>
          <t>BBM</t>
        </is>
      </c>
      <c r="I1667" s="18" t="inlineStr">
        <is>
          <t>Battambang Airport</t>
        </is>
      </c>
      <c r="J1667" s="21" t="n">
        <v>2.9</v>
      </c>
      <c r="K1667" s="18" t="inlineStr">
        <is>
          <t>BBM</t>
        </is>
      </c>
      <c r="L1667" s="18" t="inlineStr">
        <is>
          <t>100k +  pop + airport</t>
        </is>
      </c>
      <c r="M1667" s="22" t="n">
        <v>0</v>
      </c>
      <c r="N1667" s="22" t="n">
        <v>0</v>
      </c>
      <c r="O1667" s="18" t="n"/>
      <c r="P1667" s="22">
        <f>IF(O1667="",(About!$B$5*M1667+About!$B$6*N1667)/(About!$B$5+About!$B$6),About!$B$5*M1667+About!$B$6*N1667+About!$B$7*O1667)</f>
        <v/>
      </c>
      <c r="Q1667" s="23" t="n">
        <v>13.1027</v>
      </c>
      <c r="R1667" s="23" t="n">
        <v>103.1982</v>
      </c>
    </row>
    <row r="1668" ht="15" customHeight="1" s="12">
      <c r="A1668" s="18" t="inlineStr">
        <is>
          <t>Bago City</t>
        </is>
      </c>
      <c r="B1668" s="18" t="inlineStr">
        <is>
          <t>Philippines</t>
        </is>
      </c>
      <c r="C1668" s="19" t="n">
        <v>114123600</v>
      </c>
      <c r="D1668" s="18" t="inlineStr">
        <is>
          <t>PH</t>
        </is>
      </c>
      <c r="E1668" s="18" t="inlineStr">
        <is>
          <t>06</t>
        </is>
      </c>
      <c r="F1668" s="20" t="n">
        <v>150250</v>
      </c>
      <c r="G1668" s="18" t="n"/>
      <c r="H1668" s="18" t="n"/>
      <c r="I1668" s="18" t="n"/>
      <c r="J1668" s="18" t="n"/>
      <c r="K1668" s="18" t="n"/>
      <c r="L1668" s="18" t="inlineStr">
        <is>
          <t>100k +  pop</t>
        </is>
      </c>
      <c r="M1668" s="22" t="n">
        <v>0</v>
      </c>
      <c r="N1668" s="22" t="n">
        <v>0</v>
      </c>
      <c r="O1668" s="18" t="n"/>
      <c r="P1668" s="22">
        <f>IF(O1668="",(About!$B$5*M1668+About!$B$6*N1668)/(About!$B$5+About!$B$6),About!$B$5*M1668+About!$B$6*N1668+About!$B$7*O1668)</f>
        <v/>
      </c>
      <c r="Q1668" s="23" t="n">
        <v>10.5333</v>
      </c>
      <c r="R1668" s="23" t="n">
        <v>122.8333</v>
      </c>
    </row>
    <row r="1669" ht="15" customHeight="1" s="12">
      <c r="A1669" s="18" t="inlineStr">
        <is>
          <t>Gloucester</t>
        </is>
      </c>
      <c r="B1669" s="18" t="inlineStr">
        <is>
          <t>United Kingdom</t>
        </is>
      </c>
      <c r="C1669" s="19" t="n">
        <v>69487000</v>
      </c>
      <c r="D1669" s="18" t="inlineStr">
        <is>
          <t>GB</t>
        </is>
      </c>
      <c r="E1669" s="18" t="inlineStr">
        <is>
          <t>ENG</t>
        </is>
      </c>
      <c r="F1669" s="20" t="n">
        <v>150053</v>
      </c>
      <c r="G1669" s="18" t="n"/>
      <c r="H1669" s="18" t="n"/>
      <c r="I1669" s="18" t="n"/>
      <c r="J1669" s="18" t="n"/>
      <c r="K1669" s="18" t="n"/>
      <c r="L1669" s="18" t="inlineStr">
        <is>
          <t>100k +  pop</t>
        </is>
      </c>
      <c r="M1669" s="22" t="n">
        <v>0</v>
      </c>
      <c r="N1669" s="22" t="n">
        <v>0</v>
      </c>
      <c r="O1669" s="18" t="n"/>
      <c r="P1669" s="22">
        <f>IF(O1669="",(About!$B$5*M1669+About!$B$6*N1669)/(About!$B$5+About!$B$6),About!$B$5*M1669+About!$B$6*N1669+About!$B$7*O1669)</f>
        <v/>
      </c>
      <c r="Q1669" s="23" t="n">
        <v>51.8657</v>
      </c>
      <c r="R1669" s="23" t="n">
        <v>-2.2431</v>
      </c>
    </row>
    <row r="1670" ht="15" customHeight="1" s="12">
      <c r="A1670" s="18" t="inlineStr">
        <is>
          <t>Vryheid</t>
        </is>
      </c>
      <c r="B1670" s="18" t="inlineStr">
        <is>
          <t>South Africa</t>
        </is>
      </c>
      <c r="C1670" s="19" t="n">
        <v>63100945</v>
      </c>
      <c r="D1670" s="18" t="inlineStr">
        <is>
          <t>ZA</t>
        </is>
      </c>
      <c r="E1670" s="18" t="inlineStr">
        <is>
          <t>02</t>
        </is>
      </c>
      <c r="F1670" s="20" t="n">
        <v>150012</v>
      </c>
      <c r="G1670" s="18" t="n"/>
      <c r="H1670" s="18" t="n"/>
      <c r="I1670" s="18" t="n"/>
      <c r="J1670" s="18" t="n"/>
      <c r="K1670" s="18" t="n"/>
      <c r="L1670" s="18" t="inlineStr">
        <is>
          <t>100k +  pop</t>
        </is>
      </c>
      <c r="M1670" s="22" t="n">
        <v>0</v>
      </c>
      <c r="N1670" s="22" t="n">
        <v>0</v>
      </c>
      <c r="O1670" s="18" t="n"/>
      <c r="P1670" s="22">
        <f>IF(O1670="",(About!$B$5*M1670+About!$B$6*N1670)/(About!$B$5+About!$B$6),About!$B$5*M1670+About!$B$6*N1670+About!$B$7*O1670)</f>
        <v/>
      </c>
      <c r="Q1670" s="23" t="n">
        <v>-27.7695</v>
      </c>
      <c r="R1670" s="23" t="n">
        <v>30.7917</v>
      </c>
    </row>
    <row r="1671" ht="15" customHeight="1" s="12">
      <c r="A1671" s="18" t="inlineStr">
        <is>
          <t>Mascara</t>
        </is>
      </c>
      <c r="B1671" s="18" t="inlineStr">
        <is>
          <t>Algeria</t>
        </is>
      </c>
      <c r="C1671" s="19" t="n">
        <v>47400000</v>
      </c>
      <c r="D1671" s="18" t="inlineStr">
        <is>
          <t>DZ</t>
        </is>
      </c>
      <c r="E1671" s="18" t="inlineStr">
        <is>
          <t>26</t>
        </is>
      </c>
      <c r="F1671" s="20" t="n">
        <v>150000</v>
      </c>
      <c r="G1671" s="18" t="n"/>
      <c r="H1671" s="18" t="n"/>
      <c r="I1671" s="18" t="n"/>
      <c r="J1671" s="18" t="n"/>
      <c r="K1671" s="18" t="n"/>
      <c r="L1671" s="18" t="inlineStr">
        <is>
          <t>100k +  pop</t>
        </is>
      </c>
      <c r="M1671" s="22" t="n">
        <v>0</v>
      </c>
      <c r="N1671" s="22" t="n">
        <v>0</v>
      </c>
      <c r="O1671" s="18" t="n"/>
      <c r="P1671" s="22">
        <f>IF(O1671="",(About!$B$5*M1671+About!$B$6*N1671)/(About!$B$5+About!$B$6),About!$B$5*M1671+About!$B$6*N1671+About!$B$7*O1671)</f>
        <v/>
      </c>
      <c r="Q1671" s="23" t="n">
        <v>35.3966</v>
      </c>
      <c r="R1671" s="23" t="n">
        <v>0.1403</v>
      </c>
    </row>
    <row r="1672" ht="15" customHeight="1" s="12">
      <c r="A1672" s="18" t="inlineStr">
        <is>
          <t>Gimcheon</t>
        </is>
      </c>
      <c r="B1672" s="18" t="inlineStr">
        <is>
          <t>South Korea</t>
        </is>
      </c>
      <c r="C1672" s="19" t="n">
        <v>51111158</v>
      </c>
      <c r="D1672" s="18" t="inlineStr">
        <is>
          <t>KR</t>
        </is>
      </c>
      <c r="E1672" s="18" t="inlineStr">
        <is>
          <t>14</t>
        </is>
      </c>
      <c r="F1672" s="20" t="n">
        <v>150000</v>
      </c>
      <c r="G1672" s="18" t="n"/>
      <c r="H1672" s="18" t="n"/>
      <c r="I1672" s="18" t="n"/>
      <c r="J1672" s="18" t="n"/>
      <c r="K1672" s="18" t="n"/>
      <c r="L1672" s="18" t="inlineStr">
        <is>
          <t>100k +  pop</t>
        </is>
      </c>
      <c r="M1672" s="22" t="n">
        <v>0</v>
      </c>
      <c r="N1672" s="22" t="n">
        <v>0</v>
      </c>
      <c r="O1672" s="18" t="n"/>
      <c r="P1672" s="22">
        <f>IF(O1672="",(About!$B$5*M1672+About!$B$6*N1672)/(About!$B$5+About!$B$6),About!$B$5*M1672+About!$B$6*N1672+About!$B$7*O1672)</f>
        <v/>
      </c>
      <c r="Q1672" s="23" t="n">
        <v>36.1218</v>
      </c>
      <c r="R1672" s="23" t="n">
        <v>128.1198</v>
      </c>
    </row>
    <row r="1673" ht="15" customHeight="1" s="12">
      <c r="A1673" s="18" t="inlineStr">
        <is>
          <t>Tordher</t>
        </is>
      </c>
      <c r="B1673" s="18" t="inlineStr">
        <is>
          <t>Pakistan</t>
        </is>
      </c>
      <c r="C1673" s="19" t="n">
        <v>241499431</v>
      </c>
      <c r="D1673" s="18" t="inlineStr">
        <is>
          <t>PK</t>
        </is>
      </c>
      <c r="E1673" s="18" t="inlineStr">
        <is>
          <t>03</t>
        </is>
      </c>
      <c r="F1673" s="20" t="n">
        <v>150000</v>
      </c>
      <c r="G1673" s="18" t="n"/>
      <c r="H1673" s="18" t="n"/>
      <c r="I1673" s="18" t="n"/>
      <c r="J1673" s="18" t="n"/>
      <c r="K1673" s="18" t="n"/>
      <c r="L1673" s="18" t="inlineStr">
        <is>
          <t>100k +  pop</t>
        </is>
      </c>
      <c r="M1673" s="22" t="n">
        <v>0</v>
      </c>
      <c r="N1673" s="22" t="n">
        <v>0</v>
      </c>
      <c r="O1673" s="18" t="n"/>
      <c r="P1673" s="22">
        <f>IF(O1673="",(About!$B$5*M1673+About!$B$6*N1673)/(About!$B$5+About!$B$6),About!$B$5*M1673+About!$B$6*N1673+About!$B$7*O1673)</f>
        <v/>
      </c>
      <c r="Q1673" s="23" t="n">
        <v>33.9905</v>
      </c>
      <c r="R1673" s="23" t="n">
        <v>72.2863</v>
      </c>
    </row>
    <row r="1674" ht="15" customHeight="1" s="12">
      <c r="A1674" s="18" t="inlineStr">
        <is>
          <t>Dijon</t>
        </is>
      </c>
      <c r="B1674" s="18" t="inlineStr">
        <is>
          <t>France</t>
        </is>
      </c>
      <c r="C1674" s="19" t="n">
        <v>69081996</v>
      </c>
      <c r="D1674" s="18" t="inlineStr">
        <is>
          <t>FR</t>
        </is>
      </c>
      <c r="E1674" s="18" t="inlineStr">
        <is>
          <t>27</t>
        </is>
      </c>
      <c r="F1674" s="20" t="n">
        <v>149782</v>
      </c>
      <c r="G1674" s="18" t="n"/>
      <c r="H1674" s="18" t="inlineStr">
        <is>
          <t>DIJ</t>
        </is>
      </c>
      <c r="I1674" s="18" t="inlineStr">
        <is>
          <t>Dijon Longvic airport</t>
        </is>
      </c>
      <c r="J1674" s="21" t="n">
        <v>7.7</v>
      </c>
      <c r="K1674" s="18" t="inlineStr">
        <is>
          <t>DIJ</t>
        </is>
      </c>
      <c r="L1674" s="18" t="inlineStr">
        <is>
          <t>100k +  pop + airport</t>
        </is>
      </c>
      <c r="M1674" s="22" t="n">
        <v>0</v>
      </c>
      <c r="N1674" s="22" t="n">
        <v>0</v>
      </c>
      <c r="O1674" s="18" t="n"/>
      <c r="P1674" s="22">
        <f>IF(O1674="",(About!$B$5*M1674+About!$B$6*N1674)/(About!$B$5+About!$B$6),About!$B$5*M1674+About!$B$6*N1674+About!$B$7*O1674)</f>
        <v/>
      </c>
      <c r="Q1674" s="23" t="n">
        <v>47.3167</v>
      </c>
      <c r="R1674" s="23" t="n">
        <v>5.0167</v>
      </c>
    </row>
    <row r="1675" ht="15" customHeight="1" s="12">
      <c r="A1675" s="18" t="inlineStr">
        <is>
          <t>Burnley</t>
        </is>
      </c>
      <c r="B1675" s="18" t="inlineStr">
        <is>
          <t>United Kingdom</t>
        </is>
      </c>
      <c r="C1675" s="19" t="n">
        <v>69487000</v>
      </c>
      <c r="D1675" s="18" t="inlineStr">
        <is>
          <t>GB</t>
        </is>
      </c>
      <c r="E1675" s="18" t="inlineStr">
        <is>
          <t>ENG</t>
        </is>
      </c>
      <c r="F1675" s="20" t="n">
        <v>149422</v>
      </c>
      <c r="G1675" s="18" t="n"/>
      <c r="H1675" s="18" t="n"/>
      <c r="I1675" s="18" t="n"/>
      <c r="J1675" s="18" t="n"/>
      <c r="K1675" s="18" t="n"/>
      <c r="L1675" s="18" t="inlineStr">
        <is>
          <t>100k +  pop</t>
        </is>
      </c>
      <c r="M1675" s="22" t="n">
        <v>0</v>
      </c>
      <c r="N1675" s="22" t="n">
        <v>0</v>
      </c>
      <c r="O1675" s="18" t="n"/>
      <c r="P1675" s="22">
        <f>IF(O1675="",(About!$B$5*M1675+About!$B$6*N1675)/(About!$B$5+About!$B$6),About!$B$5*M1675+About!$B$6*N1675+About!$B$7*O1675)</f>
        <v/>
      </c>
      <c r="Q1675" s="23" t="n">
        <v>53.8</v>
      </c>
      <c r="R1675" s="23" t="n">
        <v>-2.2333</v>
      </c>
    </row>
    <row r="1676" ht="15" customHeight="1" s="12">
      <c r="A1676" s="18" t="inlineStr">
        <is>
          <t>Uppsala</t>
        </is>
      </c>
      <c r="B1676" s="18" t="inlineStr">
        <is>
          <t>Sweden</t>
        </is>
      </c>
      <c r="C1676" s="19" t="n">
        <v>10604616</v>
      </c>
      <c r="D1676" s="18" t="inlineStr">
        <is>
          <t>SE</t>
        </is>
      </c>
      <c r="E1676" s="18" t="inlineStr">
        <is>
          <t>21</t>
        </is>
      </c>
      <c r="F1676" s="20" t="n">
        <v>149245</v>
      </c>
      <c r="G1676" s="18" t="n"/>
      <c r="H1676" s="18" t="n"/>
      <c r="I1676" s="18" t="n"/>
      <c r="J1676" s="18" t="n"/>
      <c r="K1676" s="18" t="n"/>
      <c r="L1676" s="18" t="inlineStr">
        <is>
          <t>100k +  pop</t>
        </is>
      </c>
      <c r="M1676" s="22" t="n">
        <v>0</v>
      </c>
      <c r="N1676" s="22" t="n">
        <v>0</v>
      </c>
      <c r="O1676" s="18" t="n"/>
      <c r="P1676" s="22">
        <f>IF(O1676="",(About!$B$5*M1676+About!$B$6*N1676)/(About!$B$5+About!$B$6),About!$B$5*M1676+About!$B$6*N1676+About!$B$7*O1676)</f>
        <v/>
      </c>
      <c r="Q1676" s="23" t="n">
        <v>59.8588</v>
      </c>
      <c r="R1676" s="23" t="n">
        <v>17.6389</v>
      </c>
    </row>
    <row r="1677" ht="15" customHeight="1" s="12">
      <c r="A1677" s="18" t="inlineStr">
        <is>
          <t>Huddersfield</t>
        </is>
      </c>
      <c r="B1677" s="18" t="inlineStr">
        <is>
          <t>United Kingdom</t>
        </is>
      </c>
      <c r="C1677" s="19" t="n">
        <v>69487000</v>
      </c>
      <c r="D1677" s="18" t="inlineStr">
        <is>
          <t>GB</t>
        </is>
      </c>
      <c r="E1677" s="18" t="inlineStr">
        <is>
          <t>ENG</t>
        </is>
      </c>
      <c r="F1677" s="20" t="n">
        <v>149017</v>
      </c>
      <c r="G1677" s="18" t="n"/>
      <c r="H1677" s="18" t="n"/>
      <c r="I1677" s="18" t="n"/>
      <c r="J1677" s="18" t="n"/>
      <c r="K1677" s="18" t="n"/>
      <c r="L1677" s="18" t="inlineStr">
        <is>
          <t>100k +  pop</t>
        </is>
      </c>
      <c r="M1677" s="22" t="n">
        <v>0</v>
      </c>
      <c r="N1677" s="22" t="n">
        <v>0</v>
      </c>
      <c r="O1677" s="18" t="n"/>
      <c r="P1677" s="22">
        <f>IF(O1677="",(About!$B$5*M1677+About!$B$6*N1677)/(About!$B$5+About!$B$6),About!$B$5*M1677+About!$B$6*N1677+About!$B$7*O1677)</f>
        <v/>
      </c>
      <c r="Q1677" s="23" t="n">
        <v>53.649</v>
      </c>
      <c r="R1677" s="23" t="n">
        <v>-1.7842</v>
      </c>
    </row>
    <row r="1678" ht="15" customHeight="1" s="12">
      <c r="A1678" s="18" t="inlineStr">
        <is>
          <t>Marvdasht</t>
        </is>
      </c>
      <c r="B1678" s="18" t="inlineStr">
        <is>
          <t>Iran</t>
        </is>
      </c>
      <c r="C1678" s="19" t="n">
        <v>87134000</v>
      </c>
      <c r="D1678" s="18" t="inlineStr">
        <is>
          <t>IR</t>
        </is>
      </c>
      <c r="E1678" s="18" t="inlineStr">
        <is>
          <t>07</t>
        </is>
      </c>
      <c r="F1678" s="20" t="n">
        <v>148858</v>
      </c>
      <c r="G1678" s="18" t="n"/>
      <c r="H1678" s="18" t="n"/>
      <c r="I1678" s="18" t="n"/>
      <c r="J1678" s="18" t="n"/>
      <c r="K1678" s="18" t="n"/>
      <c r="L1678" s="18" t="inlineStr">
        <is>
          <t>100k +  pop</t>
        </is>
      </c>
      <c r="M1678" s="22" t="n">
        <v>0</v>
      </c>
      <c r="N1678" s="22" t="n">
        <v>0</v>
      </c>
      <c r="O1678" s="18" t="n"/>
      <c r="P1678" s="22">
        <f>IF(O1678="",(About!$B$5*M1678+About!$B$6*N1678)/(About!$B$5+About!$B$6),About!$B$5*M1678+About!$B$6*N1678+About!$B$7*O1678)</f>
        <v/>
      </c>
      <c r="Q1678" s="23" t="n">
        <v>29.8742</v>
      </c>
      <c r="R1678" s="23" t="n">
        <v>52.8025</v>
      </c>
    </row>
    <row r="1679" ht="15" customHeight="1" s="12">
      <c r="A1679" s="18" t="inlineStr">
        <is>
          <t>Huelva</t>
        </is>
      </c>
      <c r="B1679" s="18" t="inlineStr">
        <is>
          <t>Spain</t>
        </is>
      </c>
      <c r="C1679" s="19" t="n">
        <v>49687120</v>
      </c>
      <c r="D1679" s="18" t="inlineStr">
        <is>
          <t>ES</t>
        </is>
      </c>
      <c r="E1679" s="18" t="inlineStr">
        <is>
          <t>51</t>
        </is>
      </c>
      <c r="F1679" s="20" t="n">
        <v>148806</v>
      </c>
      <c r="G1679" s="18" t="n"/>
      <c r="H1679" s="18" t="n"/>
      <c r="I1679" s="18" t="n"/>
      <c r="J1679" s="18" t="n"/>
      <c r="K1679" s="18" t="n"/>
      <c r="L1679" s="18" t="inlineStr">
        <is>
          <t>100k +  pop</t>
        </is>
      </c>
      <c r="M1679" s="22" t="n">
        <v>0</v>
      </c>
      <c r="N1679" s="22" t="n">
        <v>0</v>
      </c>
      <c r="O1679" s="18" t="n"/>
      <c r="P1679" s="22">
        <f>IF(O1679="",(About!$B$5*M1679+About!$B$6*N1679)/(About!$B$5+About!$B$6),About!$B$5*M1679+About!$B$6*N1679+About!$B$7*O1679)</f>
        <v/>
      </c>
      <c r="Q1679" s="23" t="n">
        <v>37.2664</v>
      </c>
      <c r="R1679" s="23" t="n">
        <v>-6.94</v>
      </c>
    </row>
    <row r="1680" ht="15" customHeight="1" s="12">
      <c r="A1680" s="18" t="inlineStr">
        <is>
          <t>Hạ Long</t>
        </is>
      </c>
      <c r="B1680" s="18" t="inlineStr">
        <is>
          <t>Vietnam</t>
        </is>
      </c>
      <c r="C1680" s="19" t="n">
        <v>102300000</v>
      </c>
      <c r="D1680" s="18" t="inlineStr">
        <is>
          <t>VN</t>
        </is>
      </c>
      <c r="E1680" s="18" t="inlineStr">
        <is>
          <t>30</t>
        </is>
      </c>
      <c r="F1680" s="20" t="n">
        <v>148066</v>
      </c>
      <c r="G1680" s="18" t="n"/>
      <c r="H1680" s="18" t="n"/>
      <c r="I1680" s="18" t="n"/>
      <c r="J1680" s="18" t="n"/>
      <c r="K1680" s="18" t="n"/>
      <c r="L1680" s="18" t="inlineStr">
        <is>
          <t>100k +  pop</t>
        </is>
      </c>
      <c r="M1680" s="22" t="n">
        <v>0</v>
      </c>
      <c r="N1680" s="22" t="n">
        <v>0</v>
      </c>
      <c r="O1680" s="18" t="n"/>
      <c r="P1680" s="22">
        <f>IF(O1680="",(About!$B$5*M1680+About!$B$6*N1680)/(About!$B$5+About!$B$6),About!$B$5*M1680+About!$B$6*N1680+About!$B$7*O1680)</f>
        <v/>
      </c>
      <c r="Q1680" s="23" t="n">
        <v>20.9505</v>
      </c>
      <c r="R1680" s="23" t="n">
        <v>107.0734</v>
      </c>
    </row>
    <row r="1681" ht="15" customHeight="1" s="12">
      <c r="A1681" s="18" t="inlineStr">
        <is>
          <t>Telford</t>
        </is>
      </c>
      <c r="B1681" s="18" t="inlineStr">
        <is>
          <t>United Kingdom</t>
        </is>
      </c>
      <c r="C1681" s="19" t="n">
        <v>69487000</v>
      </c>
      <c r="D1681" s="18" t="inlineStr">
        <is>
          <t>GB</t>
        </is>
      </c>
      <c r="E1681" s="18" t="inlineStr">
        <is>
          <t>ENG</t>
        </is>
      </c>
      <c r="F1681" s="20" t="n">
        <v>147980</v>
      </c>
      <c r="G1681" s="18" t="n"/>
      <c r="H1681" s="18" t="n"/>
      <c r="I1681" s="18" t="n"/>
      <c r="J1681" s="18" t="n"/>
      <c r="K1681" s="18" t="n"/>
      <c r="L1681" s="18" t="inlineStr">
        <is>
          <t>100k +  pop</t>
        </is>
      </c>
      <c r="M1681" s="22" t="n">
        <v>0</v>
      </c>
      <c r="N1681" s="22" t="n">
        <v>0</v>
      </c>
      <c r="O1681" s="18" t="n"/>
      <c r="P1681" s="22">
        <f>IF(O1681="",(About!$B$5*M1681+About!$B$6*N1681)/(About!$B$5+About!$B$6),About!$B$5*M1681+About!$B$6*N1681+About!$B$7*O1681)</f>
        <v/>
      </c>
      <c r="Q1681" s="23" t="n">
        <v>52.6766</v>
      </c>
      <c r="R1681" s="23" t="n">
        <v>-2.4493</v>
      </c>
    </row>
    <row r="1682" ht="15" customHeight="1" s="12">
      <c r="A1682" s="18" t="inlineStr">
        <is>
          <t>Médéa</t>
        </is>
      </c>
      <c r="B1682" s="18" t="inlineStr">
        <is>
          <t>Algeria</t>
        </is>
      </c>
      <c r="C1682" s="19" t="n">
        <v>47400000</v>
      </c>
      <c r="D1682" s="18" t="inlineStr">
        <is>
          <t>DZ</t>
        </is>
      </c>
      <c r="E1682" s="18" t="inlineStr">
        <is>
          <t>06</t>
        </is>
      </c>
      <c r="F1682" s="20" t="n">
        <v>147707</v>
      </c>
      <c r="G1682" s="18" t="n"/>
      <c r="H1682" s="18" t="n"/>
      <c r="I1682" s="18" t="n"/>
      <c r="J1682" s="18" t="n"/>
      <c r="K1682" s="18" t="n"/>
      <c r="L1682" s="18" t="inlineStr">
        <is>
          <t>100k +  pop</t>
        </is>
      </c>
      <c r="M1682" s="22" t="n">
        <v>0</v>
      </c>
      <c r="N1682" s="22" t="n">
        <v>0</v>
      </c>
      <c r="O1682" s="18" t="n"/>
      <c r="P1682" s="22">
        <f>IF(O1682="",(About!$B$5*M1682+About!$B$6*N1682)/(About!$B$5+About!$B$6),About!$B$5*M1682+About!$B$6*N1682+About!$B$7*O1682)</f>
        <v/>
      </c>
      <c r="Q1682" s="23" t="n">
        <v>36.2642</v>
      </c>
      <c r="R1682" s="23" t="n">
        <v>2.7539</v>
      </c>
    </row>
    <row r="1683" ht="15" customHeight="1" s="12">
      <c r="A1683" s="18" t="inlineStr">
        <is>
          <t>Gulu</t>
        </is>
      </c>
      <c r="B1683" s="18" t="inlineStr">
        <is>
          <t>Uganda</t>
        </is>
      </c>
      <c r="C1683" s="19" t="n">
        <v>45905417</v>
      </c>
      <c r="D1683" s="18" t="inlineStr">
        <is>
          <t>UG</t>
        </is>
      </c>
      <c r="E1683" s="18" t="inlineStr">
        <is>
          <t>N</t>
        </is>
      </c>
      <c r="F1683" s="20" t="n">
        <v>146858</v>
      </c>
      <c r="G1683" s="18" t="n"/>
      <c r="H1683" s="18" t="inlineStr">
        <is>
          <t>ULU</t>
        </is>
      </c>
      <c r="I1683" s="18" t="inlineStr">
        <is>
          <t>Gulu Airport</t>
        </is>
      </c>
      <c r="J1683" s="21" t="n">
        <v>4.6</v>
      </c>
      <c r="K1683" s="18" t="inlineStr">
        <is>
          <t>ULU</t>
        </is>
      </c>
      <c r="L1683" s="18" t="inlineStr">
        <is>
          <t>100k +  pop + airport</t>
        </is>
      </c>
      <c r="M1683" s="22" t="n">
        <v>0</v>
      </c>
      <c r="N1683" s="22" t="n">
        <v>0</v>
      </c>
      <c r="O1683" s="18" t="n"/>
      <c r="P1683" s="22">
        <f>IF(O1683="",(About!$B$5*M1683+About!$B$6*N1683)/(About!$B$5+About!$B$6),About!$B$5*M1683+About!$B$6*N1683+About!$B$7*O1683)</f>
        <v/>
      </c>
      <c r="Q1683" s="23" t="n">
        <v>2.7746</v>
      </c>
      <c r="R1683" s="23" t="n">
        <v>32.299</v>
      </c>
    </row>
    <row r="1684" ht="15" customHeight="1" s="12">
      <c r="A1684" s="18" t="inlineStr">
        <is>
          <t>Saint-Quentin-en-Yvelines</t>
        </is>
      </c>
      <c r="B1684" s="18" t="inlineStr">
        <is>
          <t>France</t>
        </is>
      </c>
      <c r="C1684" s="19" t="n">
        <v>69081996</v>
      </c>
      <c r="D1684" s="18" t="inlineStr">
        <is>
          <t>FR</t>
        </is>
      </c>
      <c r="E1684" s="18" t="inlineStr">
        <is>
          <t>11</t>
        </is>
      </c>
      <c r="F1684" s="20" t="n">
        <v>146598</v>
      </c>
      <c r="G1684" s="18" t="n"/>
      <c r="H1684" s="18" t="n"/>
      <c r="I1684" s="18" t="n"/>
      <c r="J1684" s="18" t="n"/>
      <c r="K1684" s="18" t="n"/>
      <c r="L1684" s="18" t="inlineStr">
        <is>
          <t>100k +  pop</t>
        </is>
      </c>
      <c r="M1684" s="22" t="n">
        <v>0</v>
      </c>
      <c r="N1684" s="22" t="n">
        <v>0</v>
      </c>
      <c r="O1684" s="18" t="n"/>
      <c r="P1684" s="22">
        <f>IF(O1684="",(About!$B$5*M1684+About!$B$6*N1684)/(About!$B$5+About!$B$6),About!$B$5*M1684+About!$B$6*N1684+About!$B$7*O1684)</f>
        <v/>
      </c>
      <c r="Q1684" s="23" t="n">
        <v>48.7719</v>
      </c>
      <c r="R1684" s="23" t="n">
        <v>2.0189</v>
      </c>
    </row>
    <row r="1685" ht="15" customHeight="1" s="12">
      <c r="A1685" s="18" t="inlineStr">
        <is>
          <t>Blackburn</t>
        </is>
      </c>
      <c r="B1685" s="18" t="inlineStr">
        <is>
          <t>United Kingdom</t>
        </is>
      </c>
      <c r="C1685" s="19" t="n">
        <v>69487000</v>
      </c>
      <c r="D1685" s="18" t="inlineStr">
        <is>
          <t>GB</t>
        </is>
      </c>
      <c r="E1685" s="18" t="inlineStr">
        <is>
          <t>ENG</t>
        </is>
      </c>
      <c r="F1685" s="20" t="n">
        <v>146521</v>
      </c>
      <c r="G1685" s="18" t="n"/>
      <c r="H1685" s="18" t="n"/>
      <c r="I1685" s="18" t="n"/>
      <c r="J1685" s="18" t="n"/>
      <c r="K1685" s="18" t="n"/>
      <c r="L1685" s="18" t="inlineStr">
        <is>
          <t>100k +  pop</t>
        </is>
      </c>
      <c r="M1685" s="22" t="n">
        <v>0</v>
      </c>
      <c r="N1685" s="22" t="n">
        <v>0</v>
      </c>
      <c r="O1685" s="18" t="n"/>
      <c r="P1685" s="22">
        <f>IF(O1685="",(About!$B$5*M1685+About!$B$6*N1685)/(About!$B$5+About!$B$6),About!$B$5*M1685+About!$B$6*N1685+About!$B$7*O1685)</f>
        <v/>
      </c>
      <c r="Q1685" s="23" t="n">
        <v>53.75</v>
      </c>
      <c r="R1685" s="23" t="n">
        <v>-2.4833</v>
      </c>
    </row>
    <row r="1686" ht="15" customHeight="1" s="12">
      <c r="A1686" s="18" t="inlineStr">
        <is>
          <t>Afyonkarahisar</t>
        </is>
      </c>
      <c r="B1686" s="18" t="inlineStr">
        <is>
          <t>Türkiye</t>
        </is>
      </c>
      <c r="C1686" s="19" t="n">
        <v>86092168</v>
      </c>
      <c r="D1686" s="18" t="inlineStr">
        <is>
          <t>TR</t>
        </is>
      </c>
      <c r="E1686" s="18" t="inlineStr">
        <is>
          <t>03</t>
        </is>
      </c>
      <c r="F1686" s="20" t="n">
        <v>146136</v>
      </c>
      <c r="G1686" s="18" t="n"/>
      <c r="H1686" s="18" t="n"/>
      <c r="I1686" s="18" t="n"/>
      <c r="J1686" s="18" t="n"/>
      <c r="K1686" s="18" t="n"/>
      <c r="L1686" s="18" t="inlineStr">
        <is>
          <t>100k +  pop</t>
        </is>
      </c>
      <c r="M1686" s="22" t="n">
        <v>0</v>
      </c>
      <c r="N1686" s="22" t="n">
        <v>0</v>
      </c>
      <c r="O1686" s="18" t="n"/>
      <c r="P1686" s="22">
        <f>IF(O1686="",(About!$B$5*M1686+About!$B$6*N1686)/(About!$B$5+About!$B$6),About!$B$5*M1686+About!$B$6*N1686+About!$B$7*O1686)</f>
        <v/>
      </c>
      <c r="Q1686" s="23" t="n">
        <v>38.7567</v>
      </c>
      <c r="R1686" s="23" t="n">
        <v>30.5433</v>
      </c>
    </row>
    <row r="1687" ht="15" customHeight="1" s="12">
      <c r="A1687" s="18" t="inlineStr">
        <is>
          <t>Orkney</t>
        </is>
      </c>
      <c r="B1687" s="18" t="inlineStr">
        <is>
          <t>South Africa</t>
        </is>
      </c>
      <c r="C1687" s="19" t="n">
        <v>63100945</v>
      </c>
      <c r="D1687" s="18" t="inlineStr">
        <is>
          <t>ZA</t>
        </is>
      </c>
      <c r="E1687" s="18" t="inlineStr">
        <is>
          <t>10</t>
        </is>
      </c>
      <c r="F1687" s="20" t="n">
        <v>145801</v>
      </c>
      <c r="G1687" s="18" t="n"/>
      <c r="H1687" s="18" t="n"/>
      <c r="I1687" s="18" t="n"/>
      <c r="J1687" s="18" t="n"/>
      <c r="K1687" s="18" t="n"/>
      <c r="L1687" s="18" t="inlineStr">
        <is>
          <t>100k +  pop</t>
        </is>
      </c>
      <c r="M1687" s="22" t="n">
        <v>0</v>
      </c>
      <c r="N1687" s="22" t="n">
        <v>0</v>
      </c>
      <c r="O1687" s="18" t="n"/>
      <c r="P1687" s="22">
        <f>IF(O1687="",(About!$B$5*M1687+About!$B$6*N1687)/(About!$B$5+About!$B$6),About!$B$5*M1687+About!$B$6*N1687+About!$B$7*O1687)</f>
        <v/>
      </c>
      <c r="Q1687" s="23" t="n">
        <v>-26.9802</v>
      </c>
      <c r="R1687" s="23" t="n">
        <v>26.6727</v>
      </c>
    </row>
    <row r="1688" ht="15" customHeight="1" s="12">
      <c r="A1688" s="18" t="inlineStr">
        <is>
          <t>Potsdam</t>
        </is>
      </c>
      <c r="B1688" s="18" t="inlineStr">
        <is>
          <t>Germany</t>
        </is>
      </c>
      <c r="C1688" s="19" t="n">
        <v>83497147</v>
      </c>
      <c r="D1688" s="18" t="inlineStr">
        <is>
          <t>DE</t>
        </is>
      </c>
      <c r="E1688" s="18" t="inlineStr">
        <is>
          <t>11</t>
        </is>
      </c>
      <c r="F1688" s="20" t="n">
        <v>145292</v>
      </c>
      <c r="G1688" s="18" t="n"/>
      <c r="H1688" s="18" t="n"/>
      <c r="I1688" s="18" t="n"/>
      <c r="J1688" s="18" t="n"/>
      <c r="K1688" s="18" t="n"/>
      <c r="L1688" s="18" t="inlineStr">
        <is>
          <t>100k +  pop</t>
        </is>
      </c>
      <c r="M1688" s="22" t="n">
        <v>0</v>
      </c>
      <c r="N1688" s="22" t="n">
        <v>0</v>
      </c>
      <c r="O1688" s="18" t="n"/>
      <c r="P1688" s="22">
        <f>IF(O1688="",(About!$B$5*M1688+About!$B$6*N1688)/(About!$B$5+About!$B$6),About!$B$5*M1688+About!$B$6*N1688+About!$B$7*O1688)</f>
        <v/>
      </c>
      <c r="Q1688" s="23" t="n">
        <v>52.3989</v>
      </c>
      <c r="R1688" s="23" t="n">
        <v>13.0657</v>
      </c>
    </row>
    <row r="1689" ht="15" customHeight="1" s="12">
      <c r="A1689" s="18" t="inlineStr">
        <is>
          <t>Concordia</t>
        </is>
      </c>
      <c r="B1689" s="18" t="inlineStr">
        <is>
          <t>Argentina</t>
        </is>
      </c>
      <c r="C1689" s="19" t="n">
        <v>46387098</v>
      </c>
      <c r="D1689" s="18" t="inlineStr">
        <is>
          <t>AR</t>
        </is>
      </c>
      <c r="E1689" s="18" t="inlineStr">
        <is>
          <t>08</t>
        </is>
      </c>
      <c r="F1689" s="20" t="n">
        <v>145210</v>
      </c>
      <c r="G1689" s="18" t="n"/>
      <c r="H1689" s="18" t="n"/>
      <c r="I1689" s="18" t="n"/>
      <c r="J1689" s="18" t="n"/>
      <c r="K1689" s="18" t="n"/>
      <c r="L1689" s="18" t="inlineStr">
        <is>
          <t>100k +  pop</t>
        </is>
      </c>
      <c r="M1689" s="22" t="n">
        <v>0</v>
      </c>
      <c r="N1689" s="22" t="n">
        <v>0</v>
      </c>
      <c r="O1689" s="18" t="n"/>
      <c r="P1689" s="22">
        <f>IF(O1689="",(About!$B$5*M1689+About!$B$6*N1689)/(About!$B$5+About!$B$6),About!$B$5*M1689+About!$B$6*N1689+About!$B$7*O1689)</f>
        <v/>
      </c>
      <c r="Q1689" s="23" t="n">
        <v>-31.393</v>
      </c>
      <c r="R1689" s="23" t="n">
        <v>-58.0209</v>
      </c>
    </row>
    <row r="1690" ht="15" customHeight="1" s="12">
      <c r="A1690" s="18" t="inlineStr">
        <is>
          <t>Jhelum</t>
        </is>
      </c>
      <c r="B1690" s="18" t="inlineStr">
        <is>
          <t>Pakistan</t>
        </is>
      </c>
      <c r="C1690" s="19" t="n">
        <v>241499431</v>
      </c>
      <c r="D1690" s="18" t="inlineStr">
        <is>
          <t>PK</t>
        </is>
      </c>
      <c r="E1690" s="18" t="inlineStr">
        <is>
          <t>04</t>
        </is>
      </c>
      <c r="F1690" s="20" t="n">
        <v>145000</v>
      </c>
      <c r="G1690" s="18" t="n"/>
      <c r="H1690" s="18" t="n"/>
      <c r="I1690" s="18" t="n"/>
      <c r="J1690" s="18" t="n"/>
      <c r="K1690" s="18" t="n"/>
      <c r="L1690" s="18" t="inlineStr">
        <is>
          <t>100k +  pop</t>
        </is>
      </c>
      <c r="M1690" s="22" t="n">
        <v>0</v>
      </c>
      <c r="N1690" s="22" t="n">
        <v>0</v>
      </c>
      <c r="O1690" s="18" t="n"/>
      <c r="P1690" s="22">
        <f>IF(O1690="",(About!$B$5*M1690+About!$B$6*N1690)/(About!$B$5+About!$B$6),About!$B$5*M1690+About!$B$6*N1690+About!$B$7*O1690)</f>
        <v/>
      </c>
      <c r="Q1690" s="23" t="n">
        <v>32.9345</v>
      </c>
      <c r="R1690" s="23" t="n">
        <v>73.73099999999999</v>
      </c>
    </row>
    <row r="1691" ht="15" customHeight="1" s="12">
      <c r="A1691" s="18" t="inlineStr">
        <is>
          <t>Sikasso</t>
        </is>
      </c>
      <c r="B1691" s="18" t="inlineStr">
        <is>
          <t>Mali</t>
        </is>
      </c>
      <c r="C1691" s="19" t="n">
        <v>22395489</v>
      </c>
      <c r="D1691" s="18" t="inlineStr">
        <is>
          <t>ML</t>
        </is>
      </c>
      <c r="E1691" s="18" t="inlineStr">
        <is>
          <t>06</t>
        </is>
      </c>
      <c r="F1691" s="20" t="n">
        <v>144786</v>
      </c>
      <c r="G1691" s="18" t="n"/>
      <c r="H1691" s="18" t="n"/>
      <c r="I1691" s="18" t="n"/>
      <c r="J1691" s="18" t="n"/>
      <c r="K1691" s="18" t="n"/>
      <c r="L1691" s="18" t="inlineStr">
        <is>
          <t>100k +  pop</t>
        </is>
      </c>
      <c r="M1691" s="22" t="n">
        <v>0</v>
      </c>
      <c r="N1691" s="22" t="n">
        <v>0</v>
      </c>
      <c r="O1691" s="18" t="n"/>
      <c r="P1691" s="22">
        <f>IF(O1691="",(About!$B$5*M1691+About!$B$6*N1691)/(About!$B$5+About!$B$6),About!$B$5*M1691+About!$B$6*N1691+About!$B$7*O1691)</f>
        <v/>
      </c>
      <c r="Q1691" s="23" t="n">
        <v>11.3176</v>
      </c>
      <c r="R1691" s="23" t="n">
        <v>-5.6665</v>
      </c>
    </row>
    <row r="1692" ht="15" customHeight="1" s="12">
      <c r="A1692" s="18" t="inlineStr">
        <is>
          <t>León</t>
        </is>
      </c>
      <c r="B1692" s="18" t="inlineStr">
        <is>
          <t>Nicaragua</t>
        </is>
      </c>
      <c r="C1692" s="19" t="n">
        <v>6874748</v>
      </c>
      <c r="D1692" s="18" t="inlineStr">
        <is>
          <t>NI</t>
        </is>
      </c>
      <c r="E1692" s="18" t="inlineStr">
        <is>
          <t>08</t>
        </is>
      </c>
      <c r="F1692" s="20" t="n">
        <v>144538</v>
      </c>
      <c r="G1692" s="18" t="n"/>
      <c r="H1692" s="18" t="n"/>
      <c r="I1692" s="18" t="n"/>
      <c r="J1692" s="18" t="n"/>
      <c r="K1692" s="18" t="n"/>
      <c r="L1692" s="18" t="inlineStr">
        <is>
          <t>100k +  pop</t>
        </is>
      </c>
      <c r="M1692" s="22" t="n">
        <v>0</v>
      </c>
      <c r="N1692" s="22" t="n">
        <v>0</v>
      </c>
      <c r="O1692" s="18" t="n"/>
      <c r="P1692" s="22">
        <f>IF(O1692="",(About!$B$5*M1692+About!$B$6*N1692)/(About!$B$5+About!$B$6),About!$B$5*M1692+About!$B$6*N1692+About!$B$7*O1692)</f>
        <v/>
      </c>
      <c r="Q1692" s="23" t="n">
        <v>12.4379</v>
      </c>
      <c r="R1692" s="23" t="n">
        <v>-86.878</v>
      </c>
    </row>
    <row r="1693" ht="15" customHeight="1" s="12">
      <c r="A1693" s="18" t="inlineStr">
        <is>
          <t>Tizi Ouzou</t>
        </is>
      </c>
      <c r="B1693" s="18" t="inlineStr">
        <is>
          <t>Algeria</t>
        </is>
      </c>
      <c r="C1693" s="19" t="n">
        <v>47400000</v>
      </c>
      <c r="D1693" s="18" t="inlineStr">
        <is>
          <t>DZ</t>
        </is>
      </c>
      <c r="E1693" s="18" t="inlineStr">
        <is>
          <t>14</t>
        </is>
      </c>
      <c r="F1693" s="20" t="n">
        <v>144000</v>
      </c>
      <c r="G1693" s="18" t="n"/>
      <c r="H1693" s="18" t="n"/>
      <c r="I1693" s="18" t="n"/>
      <c r="J1693" s="18" t="n"/>
      <c r="K1693" s="18" t="n"/>
      <c r="L1693" s="18" t="inlineStr">
        <is>
          <t>100k +  pop</t>
        </is>
      </c>
      <c r="M1693" s="22" t="n">
        <v>0</v>
      </c>
      <c r="N1693" s="22" t="n">
        <v>0</v>
      </c>
      <c r="O1693" s="18" t="n"/>
      <c r="P1693" s="22">
        <f>IF(O1693="",(About!$B$5*M1693+About!$B$6*N1693)/(About!$B$5+About!$B$6),About!$B$5*M1693+About!$B$6*N1693+About!$B$7*O1693)</f>
        <v/>
      </c>
      <c r="Q1693" s="23" t="n">
        <v>36.7118</v>
      </c>
      <c r="R1693" s="23" t="n">
        <v>4.0459</v>
      </c>
    </row>
    <row r="1694" ht="15" customHeight="1" s="12">
      <c r="A1694" s="18" t="inlineStr">
        <is>
          <t>Kafr ash Shaykh</t>
        </is>
      </c>
      <c r="B1694" s="18" t="inlineStr">
        <is>
          <t>Egypt</t>
        </is>
      </c>
      <c r="C1694" s="19" t="n">
        <v>108613296</v>
      </c>
      <c r="D1694" s="18" t="inlineStr">
        <is>
          <t>EG</t>
        </is>
      </c>
      <c r="E1694" s="18" t="inlineStr">
        <is>
          <t>21</t>
        </is>
      </c>
      <c r="F1694" s="20" t="n">
        <v>143970</v>
      </c>
      <c r="G1694" s="18" t="n"/>
      <c r="H1694" s="18" t="n"/>
      <c r="I1694" s="18" t="n"/>
      <c r="J1694" s="18" t="n"/>
      <c r="K1694" s="18" t="n"/>
      <c r="L1694" s="18" t="inlineStr">
        <is>
          <t>100k +  pop</t>
        </is>
      </c>
      <c r="M1694" s="22" t="n">
        <v>0</v>
      </c>
      <c r="N1694" s="22" t="n">
        <v>0</v>
      </c>
      <c r="O1694" s="18" t="n"/>
      <c r="P1694" s="22">
        <f>IF(O1694="",(About!$B$5*M1694+About!$B$6*N1694)/(About!$B$5+About!$B$6),About!$B$5*M1694+About!$B$6*N1694+About!$B$7*O1694)</f>
        <v/>
      </c>
      <c r="Q1694" s="23" t="n">
        <v>31.1117</v>
      </c>
      <c r="R1694" s="23" t="n">
        <v>30.9399</v>
      </c>
    </row>
    <row r="1695" ht="15" customHeight="1" s="12">
      <c r="A1695" s="18" t="inlineStr">
        <is>
          <t>Otaru</t>
        </is>
      </c>
      <c r="B1695" s="18" t="inlineStr">
        <is>
          <t>Japan</t>
        </is>
      </c>
      <c r="C1695" s="19" t="n">
        <v>122810000</v>
      </c>
      <c r="D1695" s="18" t="inlineStr">
        <is>
          <t>JP</t>
        </is>
      </c>
      <c r="E1695" s="18" t="inlineStr">
        <is>
          <t>12</t>
        </is>
      </c>
      <c r="F1695" s="20" t="n">
        <v>143792</v>
      </c>
      <c r="G1695" s="18" t="n"/>
      <c r="H1695" s="18" t="n"/>
      <c r="I1695" s="18" t="n"/>
      <c r="J1695" s="18" t="n"/>
      <c r="K1695" s="18" t="n"/>
      <c r="L1695" s="18" t="inlineStr">
        <is>
          <t>100k +  pop</t>
        </is>
      </c>
      <c r="M1695" s="22" t="n">
        <v>0</v>
      </c>
      <c r="N1695" s="22" t="n">
        <v>0</v>
      </c>
      <c r="O1695" s="18" t="n"/>
      <c r="P1695" s="22">
        <f>IF(O1695="",(About!$B$5*M1695+About!$B$6*N1695)/(About!$B$5+About!$B$6),About!$B$5*M1695+About!$B$6*N1695+About!$B$7*O1695)</f>
        <v/>
      </c>
      <c r="Q1695" s="23" t="n">
        <v>43.1894</v>
      </c>
      <c r="R1695" s="23" t="n">
        <v>141.0022</v>
      </c>
    </row>
    <row r="1696" ht="15" customHeight="1" s="12">
      <c r="A1696" s="18" t="inlineStr">
        <is>
          <t>Marawi City</t>
        </is>
      </c>
      <c r="B1696" s="18" t="inlineStr">
        <is>
          <t>Philippines</t>
        </is>
      </c>
      <c r="C1696" s="19" t="n">
        <v>114123600</v>
      </c>
      <c r="D1696" s="18" t="inlineStr">
        <is>
          <t>PH</t>
        </is>
      </c>
      <c r="E1696" s="18" t="inlineStr">
        <is>
          <t>14</t>
        </is>
      </c>
      <c r="F1696" s="20" t="n">
        <v>143627</v>
      </c>
      <c r="G1696" s="18" t="n"/>
      <c r="H1696" s="18" t="n"/>
      <c r="I1696" s="18" t="n"/>
      <c r="J1696" s="18" t="n"/>
      <c r="K1696" s="18" t="n"/>
      <c r="L1696" s="18" t="inlineStr">
        <is>
          <t>100k +  pop</t>
        </is>
      </c>
      <c r="M1696" s="22" t="n">
        <v>0</v>
      </c>
      <c r="N1696" s="22" t="n">
        <v>0</v>
      </c>
      <c r="O1696" s="18" t="n"/>
      <c r="P1696" s="22">
        <f>IF(O1696="",(About!$B$5*M1696+About!$B$6*N1696)/(About!$B$5+About!$B$6),About!$B$5*M1696+About!$B$6*N1696+About!$B$7*O1696)</f>
        <v/>
      </c>
      <c r="Q1696" s="23" t="n">
        <v>8.003399999999999</v>
      </c>
      <c r="R1696" s="23" t="n">
        <v>124.284</v>
      </c>
    </row>
    <row r="1697" ht="15" customHeight="1" s="12">
      <c r="A1697" s="18" t="inlineStr">
        <is>
          <t>Kenema</t>
        </is>
      </c>
      <c r="B1697" s="18" t="inlineStr">
        <is>
          <t>Sierra Leone</t>
        </is>
      </c>
      <c r="C1697" s="19" t="n">
        <v>9077691</v>
      </c>
      <c r="D1697" s="18" t="inlineStr">
        <is>
          <t>SL</t>
        </is>
      </c>
      <c r="E1697" s="18" t="inlineStr">
        <is>
          <t>01</t>
        </is>
      </c>
      <c r="F1697" s="20" t="n">
        <v>143137</v>
      </c>
      <c r="G1697" s="18" t="n"/>
      <c r="H1697" s="18" t="n"/>
      <c r="I1697" s="18" t="n"/>
      <c r="J1697" s="18" t="n"/>
      <c r="K1697" s="18" t="n"/>
      <c r="L1697" s="18" t="inlineStr">
        <is>
          <t>100k +  pop</t>
        </is>
      </c>
      <c r="M1697" s="22" t="n">
        <v>0</v>
      </c>
      <c r="N1697" s="22" t="n">
        <v>0</v>
      </c>
      <c r="O1697" s="18" t="n"/>
      <c r="P1697" s="22">
        <f>IF(O1697="",(About!$B$5*M1697+About!$B$6*N1697)/(About!$B$5+About!$B$6),About!$B$5*M1697+About!$B$6*N1697+About!$B$7*O1697)</f>
        <v/>
      </c>
      <c r="Q1697" s="23" t="n">
        <v>7.8769</v>
      </c>
      <c r="R1697" s="23" t="n">
        <v>-11.1903</v>
      </c>
    </row>
    <row r="1698" ht="15" customHeight="1" s="12">
      <c r="A1698" s="18" t="inlineStr">
        <is>
          <t>Amiens</t>
        </is>
      </c>
      <c r="B1698" s="18" t="inlineStr">
        <is>
          <t>France</t>
        </is>
      </c>
      <c r="C1698" s="19" t="n">
        <v>69081996</v>
      </c>
      <c r="D1698" s="18" t="inlineStr">
        <is>
          <t>FR</t>
        </is>
      </c>
      <c r="E1698" s="18" t="inlineStr">
        <is>
          <t>32</t>
        </is>
      </c>
      <c r="F1698" s="20" t="n">
        <v>143086</v>
      </c>
      <c r="G1698" s="18" t="n"/>
      <c r="H1698" s="18" t="n"/>
      <c r="I1698" s="18" t="n"/>
      <c r="J1698" s="18" t="n"/>
      <c r="K1698" s="18" t="n"/>
      <c r="L1698" s="18" t="inlineStr">
        <is>
          <t>100k +  pop</t>
        </is>
      </c>
      <c r="M1698" s="22" t="n">
        <v>0</v>
      </c>
      <c r="N1698" s="22" t="n">
        <v>0</v>
      </c>
      <c r="O1698" s="18" t="n"/>
      <c r="P1698" s="22">
        <f>IF(O1698="",(About!$B$5*M1698+About!$B$6*N1698)/(About!$B$5+About!$B$6),About!$B$5*M1698+About!$B$6*N1698+About!$B$7*O1698)</f>
        <v/>
      </c>
      <c r="Q1698" s="23" t="n">
        <v>49.9</v>
      </c>
      <c r="R1698" s="23" t="n">
        <v>2.3</v>
      </c>
    </row>
    <row r="1699" ht="15" customHeight="1" s="12">
      <c r="A1699" s="18" t="inlineStr">
        <is>
          <t>Cape Coast</t>
        </is>
      </c>
      <c r="B1699" s="18" t="inlineStr">
        <is>
          <t>Ghana</t>
        </is>
      </c>
      <c r="C1699" s="19" t="n">
        <v>33742380</v>
      </c>
      <c r="D1699" s="18" t="inlineStr">
        <is>
          <t>GH</t>
        </is>
      </c>
      <c r="E1699" s="18" t="inlineStr">
        <is>
          <t>04</t>
        </is>
      </c>
      <c r="F1699" s="20" t="n">
        <v>143015</v>
      </c>
      <c r="G1699" s="18" t="n"/>
      <c r="H1699" s="18" t="n"/>
      <c r="I1699" s="18" t="n"/>
      <c r="J1699" s="18" t="n"/>
      <c r="K1699" s="18" t="n"/>
      <c r="L1699" s="18" t="inlineStr">
        <is>
          <t>100k +  pop</t>
        </is>
      </c>
      <c r="M1699" s="22" t="n">
        <v>0</v>
      </c>
      <c r="N1699" s="22" t="n">
        <v>0</v>
      </c>
      <c r="O1699" s="18" t="n"/>
      <c r="P1699" s="22">
        <f>IF(O1699="",(About!$B$5*M1699+About!$B$6*N1699)/(About!$B$5+About!$B$6),About!$B$5*M1699+About!$B$6*N1699+About!$B$7*O1699)</f>
        <v/>
      </c>
      <c r="Q1699" s="23" t="n">
        <v>5.1053</v>
      </c>
      <c r="R1699" s="23" t="n">
        <v>-1.2466</v>
      </c>
    </row>
    <row r="1700" ht="15" customHeight="1" s="12">
      <c r="A1700" s="18" t="inlineStr">
        <is>
          <t>Mallawī</t>
        </is>
      </c>
      <c r="B1700" s="18" t="inlineStr">
        <is>
          <t>Egypt</t>
        </is>
      </c>
      <c r="C1700" s="19" t="n">
        <v>108613296</v>
      </c>
      <c r="D1700" s="18" t="inlineStr">
        <is>
          <t>EG</t>
        </is>
      </c>
      <c r="E1700" s="18" t="inlineStr">
        <is>
          <t>10</t>
        </is>
      </c>
      <c r="F1700" s="20" t="n">
        <v>142504</v>
      </c>
      <c r="G1700" s="18" t="n"/>
      <c r="H1700" s="18" t="n"/>
      <c r="I1700" s="18" t="n"/>
      <c r="J1700" s="18" t="n"/>
      <c r="K1700" s="18" t="n"/>
      <c r="L1700" s="18" t="inlineStr">
        <is>
          <t>100k +  pop</t>
        </is>
      </c>
      <c r="M1700" s="22" t="n">
        <v>0</v>
      </c>
      <c r="N1700" s="22" t="n">
        <v>0</v>
      </c>
      <c r="O1700" s="18" t="n"/>
      <c r="P1700" s="22">
        <f>IF(O1700="",(About!$B$5*M1700+About!$B$6*N1700)/(About!$B$5+About!$B$6),About!$B$5*M1700+About!$B$6*N1700+About!$B$7*O1700)</f>
        <v/>
      </c>
      <c r="Q1700" s="23" t="n">
        <v>27.7326</v>
      </c>
      <c r="R1700" s="23" t="n">
        <v>30.8413</v>
      </c>
    </row>
    <row r="1701" ht="15" customHeight="1" s="12">
      <c r="A1701" s="18" t="inlineStr">
        <is>
          <t>Khanpur</t>
        </is>
      </c>
      <c r="B1701" s="18" t="inlineStr">
        <is>
          <t>Pakistan</t>
        </is>
      </c>
      <c r="C1701" s="19" t="n">
        <v>241499431</v>
      </c>
      <c r="D1701" s="18" t="inlineStr">
        <is>
          <t>PK</t>
        </is>
      </c>
      <c r="E1701" s="18" t="inlineStr">
        <is>
          <t>04</t>
        </is>
      </c>
      <c r="F1701" s="20" t="n">
        <v>142426</v>
      </c>
      <c r="G1701" s="18" t="n"/>
      <c r="H1701" s="18" t="n"/>
      <c r="I1701" s="18" t="n"/>
      <c r="J1701" s="18" t="n"/>
      <c r="K1701" s="18" t="n"/>
      <c r="L1701" s="18" t="inlineStr">
        <is>
          <t>100k +  pop</t>
        </is>
      </c>
      <c r="M1701" s="22" t="n">
        <v>0</v>
      </c>
      <c r="N1701" s="22" t="n">
        <v>0</v>
      </c>
      <c r="O1701" s="18" t="n"/>
      <c r="P1701" s="22">
        <f>IF(O1701="",(About!$B$5*M1701+About!$B$6*N1701)/(About!$B$5+About!$B$6),About!$B$5*M1701+About!$B$6*N1701+About!$B$7*O1701)</f>
        <v/>
      </c>
      <c r="Q1701" s="23" t="n">
        <v>28.6474</v>
      </c>
      <c r="R1701" s="23" t="n">
        <v>70.65689999999999</v>
      </c>
    </row>
    <row r="1702" ht="15" customHeight="1" s="12">
      <c r="A1702" s="18" t="inlineStr">
        <is>
          <t>Nawābganj</t>
        </is>
      </c>
      <c r="B1702" s="18" t="inlineStr">
        <is>
          <t>Bangladesh</t>
        </is>
      </c>
      <c r="C1702" s="19" t="n">
        <v>169828911</v>
      </c>
      <c r="D1702" s="18" t="inlineStr">
        <is>
          <t>BD</t>
        </is>
      </c>
      <c r="E1702" s="18" t="inlineStr">
        <is>
          <t>83</t>
        </is>
      </c>
      <c r="F1702" s="20" t="n">
        <v>142361</v>
      </c>
      <c r="G1702" s="18" t="n"/>
      <c r="H1702" s="18" t="n"/>
      <c r="I1702" s="18" t="n"/>
      <c r="J1702" s="18" t="n"/>
      <c r="K1702" s="18" t="n"/>
      <c r="L1702" s="18" t="inlineStr">
        <is>
          <t>100k +  pop</t>
        </is>
      </c>
      <c r="M1702" s="22" t="n">
        <v>0</v>
      </c>
      <c r="N1702" s="22" t="n">
        <v>0</v>
      </c>
      <c r="O1702" s="18" t="n"/>
      <c r="P1702" s="22">
        <f>IF(O1702="",(About!$B$5*M1702+About!$B$6*N1702)/(About!$B$5+About!$B$6),About!$B$5*M1702+About!$B$6*N1702+About!$B$7*O1702)</f>
        <v/>
      </c>
      <c r="Q1702" s="23" t="n">
        <v>24.5903</v>
      </c>
      <c r="R1702" s="23" t="n">
        <v>88.2744</v>
      </c>
    </row>
    <row r="1703" ht="15" customHeight="1" s="12">
      <c r="A1703" s="18" t="inlineStr">
        <is>
          <t>eMbalenhle</t>
        </is>
      </c>
      <c r="B1703" s="18" t="inlineStr">
        <is>
          <t>South Africa</t>
        </is>
      </c>
      <c r="C1703" s="19" t="n">
        <v>63100945</v>
      </c>
      <c r="D1703" s="18" t="inlineStr">
        <is>
          <t>ZA</t>
        </is>
      </c>
      <c r="E1703" s="18" t="inlineStr">
        <is>
          <t>07</t>
        </is>
      </c>
      <c r="F1703" s="20" t="n">
        <v>141741</v>
      </c>
      <c r="G1703" s="18" t="n"/>
      <c r="H1703" s="18" t="n"/>
      <c r="I1703" s="18" t="n"/>
      <c r="J1703" s="18" t="n"/>
      <c r="K1703" s="18" t="n"/>
      <c r="L1703" s="18" t="inlineStr">
        <is>
          <t>100k +  pop</t>
        </is>
      </c>
      <c r="M1703" s="22" t="n">
        <v>0</v>
      </c>
      <c r="N1703" s="22" t="n">
        <v>0</v>
      </c>
      <c r="O1703" s="18" t="n"/>
      <c r="P1703" s="22">
        <f>IF(O1703="",(About!$B$5*M1703+About!$B$6*N1703)/(About!$B$5+About!$B$6),About!$B$5*M1703+About!$B$6*N1703+About!$B$7*O1703)</f>
        <v/>
      </c>
      <c r="Q1703" s="23" t="n">
        <v>-26.5333</v>
      </c>
      <c r="R1703" s="23" t="n">
        <v>29.0667</v>
      </c>
    </row>
    <row r="1704" ht="15" customHeight="1" s="12">
      <c r="A1704" s="18" t="inlineStr">
        <is>
          <t>Myingyan</t>
        </is>
      </c>
      <c r="B1704" s="18" t="inlineStr">
        <is>
          <t>Myanmar</t>
        </is>
      </c>
      <c r="C1704" s="19" t="n">
        <v>51375327</v>
      </c>
      <c r="D1704" s="18" t="inlineStr">
        <is>
          <t>MM</t>
        </is>
      </c>
      <c r="E1704" s="18" t="inlineStr">
        <is>
          <t>08</t>
        </is>
      </c>
      <c r="F1704" s="20" t="n">
        <v>141713</v>
      </c>
      <c r="G1704" s="18" t="n"/>
      <c r="H1704" s="18" t="n"/>
      <c r="I1704" s="18" t="n"/>
      <c r="J1704" s="18" t="n"/>
      <c r="K1704" s="18" t="n"/>
      <c r="L1704" s="18" t="inlineStr">
        <is>
          <t>100k +  pop</t>
        </is>
      </c>
      <c r="M1704" s="22" t="n">
        <v>0</v>
      </c>
      <c r="N1704" s="22" t="n">
        <v>0</v>
      </c>
      <c r="O1704" s="18" t="n"/>
      <c r="P1704" s="22">
        <f>IF(O1704="",(About!$B$5*M1704+About!$B$6*N1704)/(About!$B$5+About!$B$6),About!$B$5*M1704+About!$B$6*N1704+About!$B$7*O1704)</f>
        <v/>
      </c>
      <c r="Q1704" s="23" t="n">
        <v>21.46</v>
      </c>
      <c r="R1704" s="23" t="n">
        <v>95.3884</v>
      </c>
    </row>
    <row r="1705" ht="15" customHeight="1" s="12">
      <c r="A1705" s="18" t="inlineStr">
        <is>
          <t>Bolton</t>
        </is>
      </c>
      <c r="B1705" s="18" t="inlineStr">
        <is>
          <t>United Kingdom</t>
        </is>
      </c>
      <c r="C1705" s="19" t="n">
        <v>69487000</v>
      </c>
      <c r="D1705" s="18" t="inlineStr">
        <is>
          <t>GB</t>
        </is>
      </c>
      <c r="E1705" s="18" t="inlineStr">
        <is>
          <t>ENG</t>
        </is>
      </c>
      <c r="F1705" s="20" t="n">
        <v>141331</v>
      </c>
      <c r="G1705" s="18" t="n"/>
      <c r="H1705" s="18" t="n"/>
      <c r="I1705" s="18" t="n"/>
      <c r="J1705" s="18" t="n"/>
      <c r="K1705" s="18" t="n"/>
      <c r="L1705" s="18" t="inlineStr">
        <is>
          <t>100k +  pop</t>
        </is>
      </c>
      <c r="M1705" s="22" t="n">
        <v>0</v>
      </c>
      <c r="N1705" s="22" t="n">
        <v>0</v>
      </c>
      <c r="O1705" s="18" t="n"/>
      <c r="P1705" s="22">
        <f>IF(O1705="",(About!$B$5*M1705+About!$B$6*N1705)/(About!$B$5+About!$B$6),About!$B$5*M1705+About!$B$6*N1705+About!$B$7*O1705)</f>
        <v/>
      </c>
      <c r="Q1705" s="23" t="n">
        <v>53.5833</v>
      </c>
      <c r="R1705" s="23" t="n">
        <v>-2.4333</v>
      </c>
    </row>
    <row r="1706" ht="15" customHeight="1" s="12">
      <c r="A1706" s="18" t="inlineStr">
        <is>
          <t>Potosí</t>
        </is>
      </c>
      <c r="B1706" s="18" t="inlineStr">
        <is>
          <t>Bolivia</t>
        </is>
      </c>
      <c r="C1706" s="19" t="n">
        <v>11365333</v>
      </c>
      <c r="D1706" s="18" t="inlineStr">
        <is>
          <t>BO</t>
        </is>
      </c>
      <c r="E1706" s="18" t="inlineStr">
        <is>
          <t>07</t>
        </is>
      </c>
      <c r="F1706" s="20" t="n">
        <v>141251</v>
      </c>
      <c r="G1706" s="18" t="n"/>
      <c r="H1706" s="18" t="n"/>
      <c r="I1706" s="18" t="n"/>
      <c r="J1706" s="18" t="n"/>
      <c r="K1706" s="18" t="n"/>
      <c r="L1706" s="18" t="inlineStr">
        <is>
          <t>100k +  pop</t>
        </is>
      </c>
      <c r="M1706" s="22" t="n">
        <v>0</v>
      </c>
      <c r="N1706" s="22" t="n">
        <v>0</v>
      </c>
      <c r="O1706" s="18" t="n"/>
      <c r="P1706" s="22">
        <f>IF(O1706="",(About!$B$5*M1706+About!$B$6*N1706)/(About!$B$5+About!$B$6),About!$B$5*M1706+About!$B$6*N1706+About!$B$7*O1706)</f>
        <v/>
      </c>
      <c r="Q1706" s="23" t="n">
        <v>-19.5836</v>
      </c>
      <c r="R1706" s="23" t="n">
        <v>-65.7531</v>
      </c>
    </row>
    <row r="1707" ht="15" customHeight="1" s="12">
      <c r="A1707" s="18" t="inlineStr">
        <is>
          <t>Khuzdar</t>
        </is>
      </c>
      <c r="B1707" s="18" t="inlineStr">
        <is>
          <t>Pakistan</t>
        </is>
      </c>
      <c r="C1707" s="19" t="n">
        <v>241499431</v>
      </c>
      <c r="D1707" s="18" t="inlineStr">
        <is>
          <t>PK</t>
        </is>
      </c>
      <c r="E1707" s="18" t="inlineStr">
        <is>
          <t>02</t>
        </is>
      </c>
      <c r="F1707" s="20" t="n">
        <v>141227</v>
      </c>
      <c r="G1707" s="18" t="n"/>
      <c r="H1707" s="18" t="inlineStr">
        <is>
          <t>KDD</t>
        </is>
      </c>
      <c r="I1707" s="18" t="inlineStr">
        <is>
          <t>Khuzdar Airport</t>
        </is>
      </c>
      <c r="J1707" s="21" t="n">
        <v>4.3</v>
      </c>
      <c r="K1707" s="18" t="inlineStr">
        <is>
          <t>KDD</t>
        </is>
      </c>
      <c r="L1707" s="18" t="inlineStr">
        <is>
          <t>100k +  pop + airport</t>
        </is>
      </c>
      <c r="M1707" s="22" t="n">
        <v>0</v>
      </c>
      <c r="N1707" s="22" t="n">
        <v>0</v>
      </c>
      <c r="O1707" s="18" t="n"/>
      <c r="P1707" s="22">
        <f>IF(O1707="",(About!$B$5*M1707+About!$B$6*N1707)/(About!$B$5+About!$B$6),About!$B$5*M1707+About!$B$6*N1707+About!$B$7*O1707)</f>
        <v/>
      </c>
      <c r="Q1707" s="23" t="n">
        <v>27.8119</v>
      </c>
      <c r="R1707" s="23" t="n">
        <v>66.611</v>
      </c>
    </row>
    <row r="1708" ht="15" customHeight="1" s="12">
      <c r="A1708" s="18" t="inlineStr">
        <is>
          <t>Ghazni</t>
        </is>
      </c>
      <c r="B1708" s="18" t="inlineStr">
        <is>
          <t>Afghanistan</t>
        </is>
      </c>
      <c r="C1708" s="19" t="n">
        <v>43844000</v>
      </c>
      <c r="D1708" s="18" t="inlineStr">
        <is>
          <t>AF</t>
        </is>
      </c>
      <c r="E1708" s="18" t="inlineStr">
        <is>
          <t>08</t>
        </is>
      </c>
      <c r="F1708" s="20" t="n">
        <v>141000</v>
      </c>
      <c r="G1708" s="18" t="n"/>
      <c r="H1708" s="18" t="n"/>
      <c r="I1708" s="18" t="n"/>
      <c r="J1708" s="18" t="n"/>
      <c r="K1708" s="18" t="n"/>
      <c r="L1708" s="18" t="inlineStr">
        <is>
          <t>100k +  pop</t>
        </is>
      </c>
      <c r="M1708" s="22" t="n">
        <v>0</v>
      </c>
      <c r="N1708" s="22" t="n">
        <v>0</v>
      </c>
      <c r="O1708" s="18" t="n"/>
      <c r="P1708" s="22">
        <f>IF(O1708="",(About!$B$5*M1708+About!$B$6*N1708)/(About!$B$5+About!$B$6),About!$B$5*M1708+About!$B$6*N1708+About!$B$7*O1708)</f>
        <v/>
      </c>
      <c r="Q1708" s="23" t="n">
        <v>33.5539</v>
      </c>
      <c r="R1708" s="23" t="n">
        <v>68.42100000000001</v>
      </c>
    </row>
    <row r="1709" ht="15" customHeight="1" s="12">
      <c r="A1709" s="18" t="inlineStr">
        <is>
          <t>Īlām</t>
        </is>
      </c>
      <c r="B1709" s="18" t="inlineStr">
        <is>
          <t>Iran</t>
        </is>
      </c>
      <c r="C1709" s="19" t="n">
        <v>87134000</v>
      </c>
      <c r="D1709" s="18" t="inlineStr">
        <is>
          <t>IR</t>
        </is>
      </c>
      <c r="E1709" s="18" t="inlineStr">
        <is>
          <t>10</t>
        </is>
      </c>
      <c r="F1709" s="20" t="n">
        <v>140940</v>
      </c>
      <c r="G1709" s="18" t="n"/>
      <c r="H1709" s="18" t="n"/>
      <c r="I1709" s="18" t="n"/>
      <c r="J1709" s="18" t="n"/>
      <c r="K1709" s="18" t="n"/>
      <c r="L1709" s="18" t="inlineStr">
        <is>
          <t>100k +  pop</t>
        </is>
      </c>
      <c r="M1709" s="22" t="n">
        <v>0</v>
      </c>
      <c r="N1709" s="22" t="n">
        <v>0</v>
      </c>
      <c r="O1709" s="18" t="n"/>
      <c r="P1709" s="22">
        <f>IF(O1709="",(About!$B$5*M1709+About!$B$6*N1709)/(About!$B$5+About!$B$6),About!$B$5*M1709+About!$B$6*N1709+About!$B$7*O1709)</f>
        <v/>
      </c>
      <c r="Q1709" s="23" t="n">
        <v>33.6374</v>
      </c>
      <c r="R1709" s="23" t="n">
        <v>46.4227</v>
      </c>
    </row>
    <row r="1710" ht="15" customHeight="1" s="12">
      <c r="A1710" s="18" t="inlineStr">
        <is>
          <t>Nigel</t>
        </is>
      </c>
      <c r="B1710" s="18" t="inlineStr">
        <is>
          <t>South Africa</t>
        </is>
      </c>
      <c r="C1710" s="19" t="n">
        <v>63100945</v>
      </c>
      <c r="D1710" s="18" t="inlineStr">
        <is>
          <t>ZA</t>
        </is>
      </c>
      <c r="E1710" s="18" t="inlineStr">
        <is>
          <t>06</t>
        </is>
      </c>
      <c r="F1710" s="20" t="n">
        <v>140644</v>
      </c>
      <c r="G1710" s="18" t="n"/>
      <c r="H1710" s="18" t="n"/>
      <c r="I1710" s="18" t="n"/>
      <c r="J1710" s="18" t="n"/>
      <c r="K1710" s="18" t="n"/>
      <c r="L1710" s="18" t="inlineStr">
        <is>
          <t>100k +  pop</t>
        </is>
      </c>
      <c r="M1710" s="22" t="n">
        <v>0</v>
      </c>
      <c r="N1710" s="22" t="n">
        <v>0</v>
      </c>
      <c r="O1710" s="18" t="n"/>
      <c r="P1710" s="22">
        <f>IF(O1710="",(About!$B$5*M1710+About!$B$6*N1710)/(About!$B$5+About!$B$6),About!$B$5*M1710+About!$B$6*N1710+About!$B$7*O1710)</f>
        <v/>
      </c>
      <c r="Q1710" s="23" t="n">
        <v>-26.4314</v>
      </c>
      <c r="R1710" s="23" t="n">
        <v>28.4771</v>
      </c>
    </row>
    <row r="1711" ht="15" customHeight="1" s="12">
      <c r="A1711" s="18" t="inlineStr">
        <is>
          <t>Mpumalanga</t>
        </is>
      </c>
      <c r="B1711" s="18" t="inlineStr">
        <is>
          <t>South Africa</t>
        </is>
      </c>
      <c r="C1711" s="19" t="n">
        <v>63100945</v>
      </c>
      <c r="D1711" s="18" t="inlineStr">
        <is>
          <t>ZA</t>
        </is>
      </c>
      <c r="E1711" s="18" t="inlineStr">
        <is>
          <t>02</t>
        </is>
      </c>
      <c r="F1711" s="20" t="n">
        <v>140121</v>
      </c>
      <c r="G1711" s="18" t="n"/>
      <c r="H1711" s="18" t="n"/>
      <c r="I1711" s="18" t="n"/>
      <c r="J1711" s="18" t="n"/>
      <c r="K1711" s="18" t="n"/>
      <c r="L1711" s="18" t="inlineStr">
        <is>
          <t>100k +  pop</t>
        </is>
      </c>
      <c r="M1711" s="22" t="n">
        <v>0</v>
      </c>
      <c r="N1711" s="22" t="n">
        <v>0</v>
      </c>
      <c r="O1711" s="18" t="n"/>
      <c r="P1711" s="22">
        <f>IF(O1711="",(About!$B$5*M1711+About!$B$6*N1711)/(About!$B$5+About!$B$6),About!$B$5*M1711+About!$B$6*N1711+About!$B$7*O1711)</f>
        <v/>
      </c>
      <c r="Q1711" s="23" t="n">
        <v>-29.8129</v>
      </c>
      <c r="R1711" s="23" t="n">
        <v>30.6365</v>
      </c>
    </row>
    <row r="1712" ht="15" customHeight="1" s="12">
      <c r="A1712" s="18" t="inlineStr">
        <is>
          <t>Shanhaiguan</t>
        </is>
      </c>
      <c r="B1712" s="18" t="inlineStr">
        <is>
          <t>China</t>
        </is>
      </c>
      <c r="C1712" s="19" t="n">
        <v>1404890000</v>
      </c>
      <c r="D1712" s="18" t="inlineStr">
        <is>
          <t>CN</t>
        </is>
      </c>
      <c r="E1712" s="18" t="inlineStr">
        <is>
          <t>10</t>
        </is>
      </c>
      <c r="F1712" s="20" t="n">
        <v>140000</v>
      </c>
      <c r="G1712" s="18" t="n"/>
      <c r="H1712" s="18" t="n"/>
      <c r="I1712" s="18" t="n"/>
      <c r="J1712" s="18" t="n"/>
      <c r="K1712" s="18" t="n"/>
      <c r="L1712" s="18" t="inlineStr">
        <is>
          <t>100k +  pop</t>
        </is>
      </c>
      <c r="M1712" s="22" t="n">
        <v>0</v>
      </c>
      <c r="N1712" s="22" t="n">
        <v>0</v>
      </c>
      <c r="O1712" s="18" t="n"/>
      <c r="P1712" s="22">
        <f>IF(O1712="",(About!$B$5*M1712+About!$B$6*N1712)/(About!$B$5+About!$B$6),About!$B$5*M1712+About!$B$6*N1712+About!$B$7*O1712)</f>
        <v/>
      </c>
      <c r="Q1712" s="23" t="n">
        <v>40.0025</v>
      </c>
      <c r="R1712" s="23" t="n">
        <v>119.7489</v>
      </c>
    </row>
    <row r="1713" ht="15" customHeight="1" s="12">
      <c r="A1713" s="18" t="inlineStr">
        <is>
          <t>Jeongeup</t>
        </is>
      </c>
      <c r="B1713" s="18" t="inlineStr">
        <is>
          <t>South Korea</t>
        </is>
      </c>
      <c r="C1713" s="19" t="n">
        <v>51111158</v>
      </c>
      <c r="D1713" s="18" t="inlineStr">
        <is>
          <t>KR</t>
        </is>
      </c>
      <c r="E1713" s="18" t="inlineStr">
        <is>
          <t>03</t>
        </is>
      </c>
      <c r="F1713" s="20" t="n">
        <v>139876</v>
      </c>
      <c r="G1713" s="18" t="n"/>
      <c r="H1713" s="18" t="n"/>
      <c r="I1713" s="18" t="n"/>
      <c r="J1713" s="18" t="n"/>
      <c r="K1713" s="18" t="n"/>
      <c r="L1713" s="18" t="inlineStr">
        <is>
          <t>100k +  pop</t>
        </is>
      </c>
      <c r="M1713" s="22" t="n">
        <v>0</v>
      </c>
      <c r="N1713" s="22" t="n">
        <v>0</v>
      </c>
      <c r="O1713" s="18" t="n"/>
      <c r="P1713" s="22">
        <f>IF(O1713="",(About!$B$5*M1713+About!$B$6*N1713)/(About!$B$5+About!$B$6),About!$B$5*M1713+About!$B$6*N1713+About!$B$7*O1713)</f>
        <v/>
      </c>
      <c r="Q1713" s="23" t="n">
        <v>35.6</v>
      </c>
      <c r="R1713" s="23" t="n">
        <v>126.917</v>
      </c>
    </row>
    <row r="1714" ht="15" customHeight="1" s="12">
      <c r="A1714" s="18" t="inlineStr">
        <is>
          <t>Dadu</t>
        </is>
      </c>
      <c r="B1714" s="18" t="inlineStr">
        <is>
          <t>Pakistan</t>
        </is>
      </c>
      <c r="C1714" s="19" t="n">
        <v>241499431</v>
      </c>
      <c r="D1714" s="18" t="inlineStr">
        <is>
          <t>PK</t>
        </is>
      </c>
      <c r="E1714" s="18" t="inlineStr">
        <is>
          <t>05</t>
        </is>
      </c>
      <c r="F1714" s="20" t="n">
        <v>139784</v>
      </c>
      <c r="G1714" s="18" t="n"/>
      <c r="H1714" s="18" t="n"/>
      <c r="I1714" s="18" t="n"/>
      <c r="J1714" s="18" t="n"/>
      <c r="K1714" s="18" t="n"/>
      <c r="L1714" s="18" t="inlineStr">
        <is>
          <t>100k +  pop</t>
        </is>
      </c>
      <c r="M1714" s="22" t="n">
        <v>0</v>
      </c>
      <c r="N1714" s="22" t="n">
        <v>0</v>
      </c>
      <c r="O1714" s="18" t="n"/>
      <c r="P1714" s="22">
        <f>IF(O1714="",(About!$B$5*M1714+About!$B$6*N1714)/(About!$B$5+About!$B$6),About!$B$5*M1714+About!$B$6*N1714+About!$B$7*O1714)</f>
        <v/>
      </c>
      <c r="Q1714" s="23" t="n">
        <v>26.7303</v>
      </c>
      <c r="R1714" s="23" t="n">
        <v>67.7769</v>
      </c>
    </row>
    <row r="1715" ht="15" customHeight="1" s="12">
      <c r="A1715" s="18" t="inlineStr">
        <is>
          <t>Gojra</t>
        </is>
      </c>
      <c r="B1715" s="18" t="inlineStr">
        <is>
          <t>Pakistan</t>
        </is>
      </c>
      <c r="C1715" s="19" t="n">
        <v>241499431</v>
      </c>
      <c r="D1715" s="18" t="inlineStr">
        <is>
          <t>PK</t>
        </is>
      </c>
      <c r="E1715" s="18" t="inlineStr">
        <is>
          <t>04</t>
        </is>
      </c>
      <c r="F1715" s="20" t="n">
        <v>139726</v>
      </c>
      <c r="G1715" s="18" t="n"/>
      <c r="H1715" s="18" t="n"/>
      <c r="I1715" s="18" t="n"/>
      <c r="J1715" s="18" t="n"/>
      <c r="K1715" s="18" t="n"/>
      <c r="L1715" s="18" t="inlineStr">
        <is>
          <t>100k +  pop</t>
        </is>
      </c>
      <c r="M1715" s="22" t="n">
        <v>0</v>
      </c>
      <c r="N1715" s="22" t="n">
        <v>0</v>
      </c>
      <c r="O1715" s="18" t="n"/>
      <c r="P1715" s="22">
        <f>IF(O1715="",(About!$B$5*M1715+About!$B$6*N1715)/(About!$B$5+About!$B$6),About!$B$5*M1715+About!$B$6*N1715+About!$B$7*O1715)</f>
        <v/>
      </c>
      <c r="Q1715" s="23" t="n">
        <v>31.1493</v>
      </c>
      <c r="R1715" s="23" t="n">
        <v>72.6832</v>
      </c>
    </row>
    <row r="1716" ht="15" customHeight="1" s="12">
      <c r="A1716" s="18" t="inlineStr">
        <is>
          <t>Siem Reap</t>
        </is>
      </c>
      <c r="B1716" s="18" t="inlineStr">
        <is>
          <t>Cambodia</t>
        </is>
      </c>
      <c r="C1716" s="19" t="n">
        <v>17577760</v>
      </c>
      <c r="D1716" s="18" t="inlineStr">
        <is>
          <t>KH</t>
        </is>
      </c>
      <c r="E1716" s="18" t="inlineStr">
        <is>
          <t>24</t>
        </is>
      </c>
      <c r="F1716" s="20" t="n">
        <v>139458</v>
      </c>
      <c r="G1716" s="18" t="n"/>
      <c r="H1716" s="18" t="inlineStr">
        <is>
          <t>SAI</t>
        </is>
      </c>
      <c r="I1716" s="18" t="inlineStr">
        <is>
          <t>Siem Reap-Angkor International Airport</t>
        </is>
      </c>
      <c r="J1716" s="21" t="n">
        <v>39.3</v>
      </c>
      <c r="K1716" s="18" t="inlineStr">
        <is>
          <t>SAI</t>
        </is>
      </c>
      <c r="L1716" s="18" t="inlineStr">
        <is>
          <t>100k +  pop + airport</t>
        </is>
      </c>
      <c r="M1716" s="22" t="n">
        <v>0</v>
      </c>
      <c r="N1716" s="22" t="n">
        <v>0</v>
      </c>
      <c r="O1716" s="18" t="n"/>
      <c r="P1716" s="22">
        <f>IF(O1716="",(About!$B$5*M1716+About!$B$6*N1716)/(About!$B$5+About!$B$6),About!$B$5*M1716+About!$B$6*N1716+About!$B$7*O1716)</f>
        <v/>
      </c>
      <c r="Q1716" s="23" t="n">
        <v>13.3618</v>
      </c>
      <c r="R1716" s="23" t="n">
        <v>103.8606</v>
      </c>
    </row>
    <row r="1717" ht="15" customHeight="1" s="12">
      <c r="A1717" s="18" t="inlineStr">
        <is>
          <t>Brighton</t>
        </is>
      </c>
      <c r="B1717" s="18" t="inlineStr">
        <is>
          <t>United Kingdom</t>
        </is>
      </c>
      <c r="C1717" s="19" t="n">
        <v>69487000</v>
      </c>
      <c r="D1717" s="18" t="inlineStr">
        <is>
          <t>GB</t>
        </is>
      </c>
      <c r="E1717" s="18" t="inlineStr">
        <is>
          <t>ENG</t>
        </is>
      </c>
      <c r="F1717" s="20" t="n">
        <v>139001</v>
      </c>
      <c r="G1717" s="18" t="n"/>
      <c r="H1717" s="18" t="n"/>
      <c r="I1717" s="18" t="n"/>
      <c r="J1717" s="18" t="n"/>
      <c r="K1717" s="18" t="n"/>
      <c r="L1717" s="18" t="inlineStr">
        <is>
          <t>100k +  pop</t>
        </is>
      </c>
      <c r="M1717" s="22" t="n">
        <v>0</v>
      </c>
      <c r="N1717" s="22" t="n">
        <v>0</v>
      </c>
      <c r="O1717" s="18" t="n"/>
      <c r="P1717" s="22">
        <f>IF(O1717="",(About!$B$5*M1717+About!$B$6*N1717)/(About!$B$5+About!$B$6),About!$B$5*M1717+About!$B$6*N1717+About!$B$7*O1717)</f>
        <v/>
      </c>
      <c r="Q1717" s="23" t="n">
        <v>50.8284</v>
      </c>
      <c r="R1717" s="23" t="n">
        <v>-0.1395</v>
      </c>
    </row>
    <row r="1718" ht="15" customHeight="1" s="12">
      <c r="A1718" s="18" t="inlineStr">
        <is>
          <t>Dikirnis</t>
        </is>
      </c>
      <c r="B1718" s="18" t="inlineStr">
        <is>
          <t>Egypt</t>
        </is>
      </c>
      <c r="C1718" s="19" t="n">
        <v>108613296</v>
      </c>
      <c r="D1718" s="18" t="inlineStr">
        <is>
          <t>EG</t>
        </is>
      </c>
      <c r="E1718" s="18" t="inlineStr">
        <is>
          <t>01</t>
        </is>
      </c>
      <c r="F1718" s="20" t="n">
        <v>137542</v>
      </c>
      <c r="G1718" s="18" t="n"/>
      <c r="H1718" s="18" t="n"/>
      <c r="I1718" s="18" t="n"/>
      <c r="J1718" s="18" t="n"/>
      <c r="K1718" s="18" t="n"/>
      <c r="L1718" s="18" t="inlineStr">
        <is>
          <t>100k +  pop</t>
        </is>
      </c>
      <c r="M1718" s="22" t="n">
        <v>0</v>
      </c>
      <c r="N1718" s="22" t="n">
        <v>0</v>
      </c>
      <c r="O1718" s="18" t="n"/>
      <c r="P1718" s="22">
        <f>IF(O1718="",(About!$B$5*M1718+About!$B$6*N1718)/(About!$B$5+About!$B$6),About!$B$5*M1718+About!$B$6*N1718+About!$B$7*O1718)</f>
        <v/>
      </c>
      <c r="Q1718" s="23" t="n">
        <v>31.089</v>
      </c>
      <c r="R1718" s="23" t="n">
        <v>31.5948</v>
      </c>
    </row>
    <row r="1719" ht="15" customHeight="1" s="12">
      <c r="A1719" s="18" t="inlineStr">
        <is>
          <t>Bhisho</t>
        </is>
      </c>
      <c r="B1719" s="18" t="inlineStr">
        <is>
          <t>South Africa</t>
        </is>
      </c>
      <c r="C1719" s="19" t="n">
        <v>63100945</v>
      </c>
      <c r="D1719" s="18" t="inlineStr">
        <is>
          <t>ZA</t>
        </is>
      </c>
      <c r="E1719" s="18" t="inlineStr">
        <is>
          <t>05</t>
        </is>
      </c>
      <c r="F1719" s="20" t="n">
        <v>137287</v>
      </c>
      <c r="G1719" s="18" t="n"/>
      <c r="H1719" s="18" t="n"/>
      <c r="I1719" s="18" t="n"/>
      <c r="J1719" s="18" t="n"/>
      <c r="K1719" s="18" t="n"/>
      <c r="L1719" s="18" t="inlineStr">
        <is>
          <t>100k +  pop</t>
        </is>
      </c>
      <c r="M1719" s="22" t="n">
        <v>0</v>
      </c>
      <c r="N1719" s="22" t="n">
        <v>0</v>
      </c>
      <c r="O1719" s="18" t="n"/>
      <c r="P1719" s="22">
        <f>IF(O1719="",(About!$B$5*M1719+About!$B$6*N1719)/(About!$B$5+About!$B$6),About!$B$5*M1719+About!$B$6*N1719+About!$B$7*O1719)</f>
        <v/>
      </c>
      <c r="Q1719" s="23" t="n">
        <v>-32.8472</v>
      </c>
      <c r="R1719" s="23" t="n">
        <v>27.4422</v>
      </c>
    </row>
    <row r="1720" ht="15" customHeight="1" s="12">
      <c r="A1720" s="18" t="inlineStr">
        <is>
          <t>Kabankalan</t>
        </is>
      </c>
      <c r="B1720" s="18" t="inlineStr">
        <is>
          <t>Philippines</t>
        </is>
      </c>
      <c r="C1720" s="19" t="n">
        <v>114123600</v>
      </c>
      <c r="D1720" s="18" t="inlineStr">
        <is>
          <t>PH</t>
        </is>
      </c>
      <c r="E1720" s="18" t="inlineStr">
        <is>
          <t>06</t>
        </is>
      </c>
      <c r="F1720" s="20" t="n">
        <v>136483</v>
      </c>
      <c r="G1720" s="18" t="n"/>
      <c r="H1720" s="18" t="n"/>
      <c r="I1720" s="18" t="n"/>
      <c r="J1720" s="18" t="n"/>
      <c r="K1720" s="18" t="n"/>
      <c r="L1720" s="18" t="inlineStr">
        <is>
          <t>100k +  pop</t>
        </is>
      </c>
      <c r="M1720" s="22" t="n">
        <v>0</v>
      </c>
      <c r="N1720" s="22" t="n">
        <v>0</v>
      </c>
      <c r="O1720" s="18" t="n"/>
      <c r="P1720" s="22">
        <f>IF(O1720="",(About!$B$5*M1720+About!$B$6*N1720)/(About!$B$5+About!$B$6),About!$B$5*M1720+About!$B$6*N1720+About!$B$7*O1720)</f>
        <v/>
      </c>
      <c r="Q1720" s="23" t="n">
        <v>9.9839</v>
      </c>
      <c r="R1720" s="23" t="n">
        <v>122.8142</v>
      </c>
    </row>
    <row r="1721" ht="15" customHeight="1" s="12">
      <c r="A1721" s="18" t="inlineStr">
        <is>
          <t>Kushtia</t>
        </is>
      </c>
      <c r="B1721" s="18" t="inlineStr">
        <is>
          <t>Bangladesh</t>
        </is>
      </c>
      <c r="C1721" s="19" t="n">
        <v>169828911</v>
      </c>
      <c r="D1721" s="18" t="inlineStr">
        <is>
          <t>BD</t>
        </is>
      </c>
      <c r="E1721" s="18" t="inlineStr">
        <is>
          <t>82</t>
        </is>
      </c>
      <c r="F1721" s="20" t="n">
        <v>135724</v>
      </c>
      <c r="G1721" s="18" t="n"/>
      <c r="H1721" s="18" t="n"/>
      <c r="I1721" s="18" t="n"/>
      <c r="J1721" s="18" t="n"/>
      <c r="K1721" s="18" t="n"/>
      <c r="L1721" s="18" t="inlineStr">
        <is>
          <t>100k +  pop</t>
        </is>
      </c>
      <c r="M1721" s="22" t="n">
        <v>0</v>
      </c>
      <c r="N1721" s="22" t="n">
        <v>0</v>
      </c>
      <c r="O1721" s="18" t="n"/>
      <c r="P1721" s="22">
        <f>IF(O1721="",(About!$B$5*M1721+About!$B$6*N1721)/(About!$B$5+About!$B$6),About!$B$5*M1721+About!$B$6*N1721+About!$B$7*O1721)</f>
        <v/>
      </c>
      <c r="Q1721" s="23" t="n">
        <v>23.9028</v>
      </c>
      <c r="R1721" s="23" t="n">
        <v>89.1194</v>
      </c>
    </row>
    <row r="1722" ht="15" customHeight="1" s="12">
      <c r="A1722" s="18" t="inlineStr">
        <is>
          <t>Baliuag</t>
        </is>
      </c>
      <c r="B1722" s="18" t="inlineStr">
        <is>
          <t>Philippines</t>
        </is>
      </c>
      <c r="C1722" s="19" t="n">
        <v>114123600</v>
      </c>
      <c r="D1722" s="18" t="inlineStr">
        <is>
          <t>PH</t>
        </is>
      </c>
      <c r="E1722" s="18" t="inlineStr">
        <is>
          <t>03</t>
        </is>
      </c>
      <c r="F1722" s="20" t="n">
        <v>135679</v>
      </c>
      <c r="G1722" s="18" t="n"/>
      <c r="H1722" s="18" t="n"/>
      <c r="I1722" s="18" t="n"/>
      <c r="J1722" s="18" t="n"/>
      <c r="K1722" s="18" t="n"/>
      <c r="L1722" s="18" t="inlineStr">
        <is>
          <t>100k +  pop</t>
        </is>
      </c>
      <c r="M1722" s="22" t="n">
        <v>0</v>
      </c>
      <c r="N1722" s="22" t="n">
        <v>0</v>
      </c>
      <c r="O1722" s="18" t="n"/>
      <c r="P1722" s="22">
        <f>IF(O1722="",(About!$B$5*M1722+About!$B$6*N1722)/(About!$B$5+About!$B$6),About!$B$5*M1722+About!$B$6*N1722+About!$B$7*O1722)</f>
        <v/>
      </c>
      <c r="Q1722" s="23" t="n">
        <v>14.9547</v>
      </c>
      <c r="R1722" s="23" t="n">
        <v>120.8969</v>
      </c>
    </row>
    <row r="1723" ht="15" customHeight="1" s="12">
      <c r="A1723" s="18" t="inlineStr">
        <is>
          <t>Pyay</t>
        </is>
      </c>
      <c r="B1723" s="18" t="inlineStr">
        <is>
          <t>Myanmar</t>
        </is>
      </c>
      <c r="C1723" s="19" t="n">
        <v>51375327</v>
      </c>
      <c r="D1723" s="18" t="inlineStr">
        <is>
          <t>MM</t>
        </is>
      </c>
      <c r="E1723" s="18" t="inlineStr">
        <is>
          <t>16</t>
        </is>
      </c>
      <c r="F1723" s="20" t="n">
        <v>135308</v>
      </c>
      <c r="G1723" s="18" t="n"/>
      <c r="H1723" s="18" t="n"/>
      <c r="I1723" s="18" t="n"/>
      <c r="J1723" s="18" t="n"/>
      <c r="K1723" s="18" t="n"/>
      <c r="L1723" s="18" t="inlineStr">
        <is>
          <t>100k +  pop</t>
        </is>
      </c>
      <c r="M1723" s="22" t="n">
        <v>0</v>
      </c>
      <c r="N1723" s="22" t="n">
        <v>0</v>
      </c>
      <c r="O1723" s="18" t="n"/>
      <c r="P1723" s="22">
        <f>IF(O1723="",(About!$B$5*M1723+About!$B$6*N1723)/(About!$B$5+About!$B$6),About!$B$5*M1723+About!$B$6*N1723+About!$B$7*O1723)</f>
        <v/>
      </c>
      <c r="Q1723" s="23" t="n">
        <v>18.8246</v>
      </c>
      <c r="R1723" s="23" t="n">
        <v>95.2222</v>
      </c>
    </row>
    <row r="1724" ht="15" customHeight="1" s="12">
      <c r="A1724" s="18" t="inlineStr">
        <is>
          <t>Rabak</t>
        </is>
      </c>
      <c r="B1724" s="18" t="inlineStr">
        <is>
          <t>Sudan</t>
        </is>
      </c>
      <c r="C1724" s="19" t="n">
        <v>51662000</v>
      </c>
      <c r="D1724" s="18" t="inlineStr">
        <is>
          <t>SD</t>
        </is>
      </c>
      <c r="E1724" s="18" t="inlineStr">
        <is>
          <t>41</t>
        </is>
      </c>
      <c r="F1724" s="20" t="n">
        <v>135281</v>
      </c>
      <c r="G1724" s="18" t="n"/>
      <c r="H1724" s="18" t="n"/>
      <c r="I1724" s="18" t="n"/>
      <c r="J1724" s="18" t="n"/>
      <c r="K1724" s="18" t="n"/>
      <c r="L1724" s="18" t="inlineStr">
        <is>
          <t>100k +  pop</t>
        </is>
      </c>
      <c r="M1724" s="22" t="n">
        <v>0</v>
      </c>
      <c r="N1724" s="22" t="n">
        <v>0</v>
      </c>
      <c r="O1724" s="18" t="n"/>
      <c r="P1724" s="22">
        <f>IF(O1724="",(About!$B$5*M1724+About!$B$6*N1724)/(About!$B$5+About!$B$6),About!$B$5*M1724+About!$B$6*N1724+About!$B$7*O1724)</f>
        <v/>
      </c>
      <c r="Q1724" s="23" t="n">
        <v>13.1809</v>
      </c>
      <c r="R1724" s="23" t="n">
        <v>32.74</v>
      </c>
    </row>
    <row r="1725" ht="15" customHeight="1" s="12">
      <c r="A1725" s="18" t="inlineStr">
        <is>
          <t>Tyre</t>
        </is>
      </c>
      <c r="B1725" s="18" t="inlineStr">
        <is>
          <t>Lebanon</t>
        </is>
      </c>
      <c r="C1725" s="19" t="n">
        <v>5490000</v>
      </c>
      <c r="D1725" s="18" t="inlineStr">
        <is>
          <t>LB</t>
        </is>
      </c>
      <c r="E1725" s="18" t="inlineStr">
        <is>
          <t>06</t>
        </is>
      </c>
      <c r="F1725" s="20" t="n">
        <v>135204</v>
      </c>
      <c r="G1725" s="18" t="n"/>
      <c r="H1725" s="18" t="n"/>
      <c r="I1725" s="18" t="n"/>
      <c r="J1725" s="18" t="n"/>
      <c r="K1725" s="18" t="n"/>
      <c r="L1725" s="18" t="inlineStr">
        <is>
          <t>100k +  pop</t>
        </is>
      </c>
      <c r="M1725" s="22" t="n">
        <v>0</v>
      </c>
      <c r="N1725" s="22" t="n">
        <v>0</v>
      </c>
      <c r="O1725" s="18" t="n"/>
      <c r="P1725" s="22">
        <f>IF(O1725="",(About!$B$5*M1725+About!$B$6*N1725)/(About!$B$5+About!$B$6),About!$B$5*M1725+About!$B$6*N1725+About!$B$7*O1725)</f>
        <v/>
      </c>
      <c r="Q1725" s="23" t="n">
        <v>33.2733</v>
      </c>
      <c r="R1725" s="23" t="n">
        <v>35.1939</v>
      </c>
    </row>
    <row r="1726" ht="15" customHeight="1" s="12">
      <c r="A1726" s="18" t="inlineStr">
        <is>
          <t>Moundou</t>
        </is>
      </c>
      <c r="B1726" s="18" t="inlineStr">
        <is>
          <t>Chad</t>
        </is>
      </c>
      <c r="C1726" s="19" t="n">
        <v>19340757</v>
      </c>
      <c r="D1726" s="18" t="inlineStr">
        <is>
          <t>TD</t>
        </is>
      </c>
      <c r="E1726" s="18" t="inlineStr">
        <is>
          <t>08</t>
        </is>
      </c>
      <c r="F1726" s="20" t="n">
        <v>135167</v>
      </c>
      <c r="G1726" s="18" t="n"/>
      <c r="H1726" s="18" t="n"/>
      <c r="I1726" s="18" t="n"/>
      <c r="J1726" s="18" t="n"/>
      <c r="K1726" s="18" t="n"/>
      <c r="L1726" s="18" t="inlineStr">
        <is>
          <t>100k +  pop</t>
        </is>
      </c>
      <c r="M1726" s="22" t="n">
        <v>0</v>
      </c>
      <c r="N1726" s="22" t="n">
        <v>0</v>
      </c>
      <c r="O1726" s="18" t="n"/>
      <c r="P1726" s="22">
        <f>IF(O1726="",(About!$B$5*M1726+About!$B$6*N1726)/(About!$B$5+About!$B$6),About!$B$5*M1726+About!$B$6*N1726+About!$B$7*O1726)</f>
        <v/>
      </c>
      <c r="Q1726" s="23" t="n">
        <v>8.566700000000001</v>
      </c>
      <c r="R1726" s="23" t="n">
        <v>16.0833</v>
      </c>
    </row>
    <row r="1727" ht="15" customHeight="1" s="12">
      <c r="A1727" s="18" t="inlineStr">
        <is>
          <t>Hinthada</t>
        </is>
      </c>
      <c r="B1727" s="18" t="inlineStr">
        <is>
          <t>Myanmar</t>
        </is>
      </c>
      <c r="C1727" s="19" t="n">
        <v>51375327</v>
      </c>
      <c r="D1727" s="18" t="inlineStr">
        <is>
          <t>MM</t>
        </is>
      </c>
      <c r="E1727" s="18" t="inlineStr">
        <is>
          <t>03</t>
        </is>
      </c>
      <c r="F1727" s="20" t="n">
        <v>134947</v>
      </c>
      <c r="G1727" s="18" t="n"/>
      <c r="H1727" s="18" t="n"/>
      <c r="I1727" s="18" t="n"/>
      <c r="J1727" s="18" t="n"/>
      <c r="K1727" s="18" t="n"/>
      <c r="L1727" s="18" t="inlineStr">
        <is>
          <t>100k +  pop</t>
        </is>
      </c>
      <c r="M1727" s="22" t="n">
        <v>0</v>
      </c>
      <c r="N1727" s="22" t="n">
        <v>0</v>
      </c>
      <c r="O1727" s="18" t="n"/>
      <c r="P1727" s="22">
        <f>IF(O1727="",(About!$B$5*M1727+About!$B$6*N1727)/(About!$B$5+About!$B$6),About!$B$5*M1727+About!$B$6*N1727+About!$B$7*O1727)</f>
        <v/>
      </c>
      <c r="Q1727" s="23" t="n">
        <v>17.6494</v>
      </c>
      <c r="R1727" s="23" t="n">
        <v>95.45699999999999</v>
      </c>
    </row>
    <row r="1728" ht="15" customHeight="1" s="12">
      <c r="A1728" s="18" t="inlineStr">
        <is>
          <t>Marbella</t>
        </is>
      </c>
      <c r="B1728" s="18" t="inlineStr">
        <is>
          <t>Spain</t>
        </is>
      </c>
      <c r="C1728" s="19" t="n">
        <v>49687120</v>
      </c>
      <c r="D1728" s="18" t="inlineStr">
        <is>
          <t>ES</t>
        </is>
      </c>
      <c r="E1728" s="18" t="inlineStr">
        <is>
          <t>51</t>
        </is>
      </c>
      <c r="F1728" s="20" t="n">
        <v>134623</v>
      </c>
      <c r="G1728" s="18" t="n"/>
      <c r="H1728" s="18" t="n"/>
      <c r="I1728" s="18" t="n"/>
      <c r="J1728" s="18" t="n"/>
      <c r="K1728" s="18" t="n"/>
      <c r="L1728" s="18" t="inlineStr">
        <is>
          <t>100k +  pop</t>
        </is>
      </c>
      <c r="M1728" s="22" t="n">
        <v>0</v>
      </c>
      <c r="N1728" s="22" t="n">
        <v>0</v>
      </c>
      <c r="O1728" s="18" t="n"/>
      <c r="P1728" s="22">
        <f>IF(O1728="",(About!$B$5*M1728+About!$B$6*N1728)/(About!$B$5+About!$B$6),About!$B$5*M1728+About!$B$6*N1728+About!$B$7*O1728)</f>
        <v/>
      </c>
      <c r="Q1728" s="23" t="n">
        <v>36.5154</v>
      </c>
      <c r="R1728" s="23" t="n">
        <v>-4.8858</v>
      </c>
    </row>
    <row r="1729" ht="15" customHeight="1" s="12">
      <c r="A1729" s="18" t="inlineStr">
        <is>
          <t>Rodriguez</t>
        </is>
      </c>
      <c r="B1729" s="18" t="inlineStr">
        <is>
          <t>Philippines</t>
        </is>
      </c>
      <c r="C1729" s="19" t="n">
        <v>114123600</v>
      </c>
      <c r="D1729" s="18" t="inlineStr">
        <is>
          <t>PH</t>
        </is>
      </c>
      <c r="E1729" s="18" t="inlineStr">
        <is>
          <t>40</t>
        </is>
      </c>
      <c r="F1729" s="20" t="n">
        <v>134432</v>
      </c>
      <c r="G1729" s="18" t="n"/>
      <c r="H1729" s="18" t="n"/>
      <c r="I1729" s="18" t="n"/>
      <c r="J1729" s="18" t="n"/>
      <c r="K1729" s="18" t="n"/>
      <c r="L1729" s="18" t="inlineStr">
        <is>
          <t>100k +  pop</t>
        </is>
      </c>
      <c r="M1729" s="22" t="n">
        <v>0</v>
      </c>
      <c r="N1729" s="22" t="n">
        <v>0</v>
      </c>
      <c r="O1729" s="18" t="n"/>
      <c r="P1729" s="22">
        <f>IF(O1729="",(About!$B$5*M1729+About!$B$6*N1729)/(About!$B$5+About!$B$6),About!$B$5*M1729+About!$B$6*N1729+About!$B$7*O1729)</f>
        <v/>
      </c>
      <c r="Q1729" s="23" t="n">
        <v>14.7601</v>
      </c>
      <c r="R1729" s="23" t="n">
        <v>121.1999</v>
      </c>
    </row>
    <row r="1730" ht="15" customHeight="1" s="12">
      <c r="A1730" s="18" t="inlineStr">
        <is>
          <t>Thái Nguyên</t>
        </is>
      </c>
      <c r="B1730" s="18" t="inlineStr">
        <is>
          <t>Vietnam</t>
        </is>
      </c>
      <c r="C1730" s="19" t="n">
        <v>102300000</v>
      </c>
      <c r="D1730" s="18" t="inlineStr">
        <is>
          <t>VN</t>
        </is>
      </c>
      <c r="E1730" s="18" t="inlineStr">
        <is>
          <t>85</t>
        </is>
      </c>
      <c r="F1730" s="20" t="n">
        <v>133877</v>
      </c>
      <c r="G1730" s="18" t="n"/>
      <c r="H1730" s="18" t="n"/>
      <c r="I1730" s="18" t="n"/>
      <c r="J1730" s="18" t="n"/>
      <c r="K1730" s="18" t="n"/>
      <c r="L1730" s="18" t="inlineStr">
        <is>
          <t>100k +  pop</t>
        </is>
      </c>
      <c r="M1730" s="22" t="n">
        <v>0</v>
      </c>
      <c r="N1730" s="22" t="n">
        <v>0</v>
      </c>
      <c r="O1730" s="18" t="n"/>
      <c r="P1730" s="22">
        <f>IF(O1730="",(About!$B$5*M1730+About!$B$6*N1730)/(About!$B$5+About!$B$6),About!$B$5*M1730+About!$B$6*N1730+About!$B$7*O1730)</f>
        <v/>
      </c>
      <c r="Q1730" s="23" t="n">
        <v>21.5942</v>
      </c>
      <c r="R1730" s="23" t="n">
        <v>105.8482</v>
      </c>
    </row>
    <row r="1731" ht="15" customHeight="1" s="12">
      <c r="A1731" s="18" t="inlineStr">
        <is>
          <t>Singaraja</t>
        </is>
      </c>
      <c r="B1731" s="18" t="inlineStr">
        <is>
          <t>Indonesia</t>
        </is>
      </c>
      <c r="C1731" s="19" t="n">
        <v>288315089</v>
      </c>
      <c r="D1731" s="18" t="inlineStr">
        <is>
          <t>ID</t>
        </is>
      </c>
      <c r="E1731" s="18" t="inlineStr">
        <is>
          <t>02</t>
        </is>
      </c>
      <c r="F1731" s="20" t="n">
        <v>133784</v>
      </c>
      <c r="G1731" s="18" t="n"/>
      <c r="H1731" s="18" t="n"/>
      <c r="I1731" s="18" t="n"/>
      <c r="J1731" s="18" t="n"/>
      <c r="K1731" s="18" t="n"/>
      <c r="L1731" s="18" t="inlineStr">
        <is>
          <t>100k +  pop</t>
        </is>
      </c>
      <c r="M1731" s="22" t="n">
        <v>0</v>
      </c>
      <c r="N1731" s="22" t="n">
        <v>0</v>
      </c>
      <c r="O1731" s="18" t="n"/>
      <c r="P1731" s="22">
        <f>IF(O1731="",(About!$B$5*M1731+About!$B$6*N1731)/(About!$B$5+About!$B$6),About!$B$5*M1731+About!$B$6*N1731+About!$B$7*O1731)</f>
        <v/>
      </c>
      <c r="Q1731" s="23" t="n">
        <v>-8.112</v>
      </c>
      <c r="R1731" s="23" t="n">
        <v>115.0882</v>
      </c>
    </row>
    <row r="1732" ht="15" customHeight="1" s="12">
      <c r="A1732" s="18" t="inlineStr">
        <is>
          <t>Würzburg</t>
        </is>
      </c>
      <c r="B1732" s="18" t="inlineStr">
        <is>
          <t>Germany</t>
        </is>
      </c>
      <c r="C1732" s="19" t="n">
        <v>83497147</v>
      </c>
      <c r="D1732" s="18" t="inlineStr">
        <is>
          <t>DE</t>
        </is>
      </c>
      <c r="E1732" s="18" t="inlineStr">
        <is>
          <t>02</t>
        </is>
      </c>
      <c r="F1732" s="20" t="n">
        <v>133731</v>
      </c>
      <c r="G1732" s="18" t="n"/>
      <c r="H1732" s="18" t="n"/>
      <c r="I1732" s="18" t="n"/>
      <c r="J1732" s="18" t="n"/>
      <c r="K1732" s="18" t="n"/>
      <c r="L1732" s="18" t="inlineStr">
        <is>
          <t>100k +  pop</t>
        </is>
      </c>
      <c r="M1732" s="22" t="n">
        <v>0</v>
      </c>
      <c r="N1732" s="22" t="n">
        <v>0</v>
      </c>
      <c r="O1732" s="18" t="n"/>
      <c r="P1732" s="22">
        <f>IF(O1732="",(About!$B$5*M1732+About!$B$6*N1732)/(About!$B$5+About!$B$6),About!$B$5*M1732+About!$B$6*N1732+About!$B$7*O1732)</f>
        <v/>
      </c>
      <c r="Q1732" s="23" t="n">
        <v>49.7939</v>
      </c>
      <c r="R1732" s="23" t="n">
        <v>9.9512</v>
      </c>
    </row>
    <row r="1733" ht="15" customHeight="1" s="12">
      <c r="A1733" s="18" t="inlineStr">
        <is>
          <t>Randfontein</t>
        </is>
      </c>
      <c r="B1733" s="18" t="inlineStr">
        <is>
          <t>South Africa</t>
        </is>
      </c>
      <c r="C1733" s="19" t="n">
        <v>63100945</v>
      </c>
      <c r="D1733" s="18" t="inlineStr">
        <is>
          <t>ZA</t>
        </is>
      </c>
      <c r="E1733" s="18" t="inlineStr">
        <is>
          <t>06</t>
        </is>
      </c>
      <c r="F1733" s="20" t="n">
        <v>133654</v>
      </c>
      <c r="G1733" s="18" t="n"/>
      <c r="H1733" s="18" t="n"/>
      <c r="I1733" s="18" t="n"/>
      <c r="J1733" s="18" t="n"/>
      <c r="K1733" s="18" t="n"/>
      <c r="L1733" s="18" t="inlineStr">
        <is>
          <t>100k +  pop</t>
        </is>
      </c>
      <c r="M1733" s="22" t="n">
        <v>0</v>
      </c>
      <c r="N1733" s="22" t="n">
        <v>0</v>
      </c>
      <c r="O1733" s="18" t="n"/>
      <c r="P1733" s="22">
        <f>IF(O1733="",(About!$B$5*M1733+About!$B$6*N1733)/(About!$B$5+About!$B$6),About!$B$5*M1733+About!$B$6*N1733+About!$B$7*O1733)</f>
        <v/>
      </c>
      <c r="Q1733" s="23" t="n">
        <v>-26.1844</v>
      </c>
      <c r="R1733" s="23" t="n">
        <v>27.702</v>
      </c>
    </row>
    <row r="1734" ht="15" customHeight="1" s="12">
      <c r="A1734" s="18" t="inlineStr">
        <is>
          <t>Hastings</t>
        </is>
      </c>
      <c r="B1734" s="18" t="inlineStr">
        <is>
          <t>United Kingdom</t>
        </is>
      </c>
      <c r="C1734" s="19" t="n">
        <v>69487000</v>
      </c>
      <c r="D1734" s="18" t="inlineStr">
        <is>
          <t>GB</t>
        </is>
      </c>
      <c r="E1734" s="18" t="inlineStr">
        <is>
          <t>ENG</t>
        </is>
      </c>
      <c r="F1734" s="20" t="n">
        <v>133422</v>
      </c>
      <c r="G1734" s="18" t="n"/>
      <c r="H1734" s="18" t="n"/>
      <c r="I1734" s="18" t="n"/>
      <c r="J1734" s="18" t="n"/>
      <c r="K1734" s="18" t="n"/>
      <c r="L1734" s="18" t="inlineStr">
        <is>
          <t>100k +  pop</t>
        </is>
      </c>
      <c r="M1734" s="22" t="n">
        <v>0</v>
      </c>
      <c r="N1734" s="22" t="n">
        <v>0</v>
      </c>
      <c r="O1734" s="18" t="n"/>
      <c r="P1734" s="22">
        <f>IF(O1734="",(About!$B$5*M1734+About!$B$6*N1734)/(About!$B$5+About!$B$6),About!$B$5*M1734+About!$B$6*N1734+About!$B$7*O1734)</f>
        <v/>
      </c>
      <c r="Q1734" s="23" t="n">
        <v>50.8552</v>
      </c>
      <c r="R1734" s="23" t="n">
        <v>0.5729</v>
      </c>
    </row>
    <row r="1735" ht="15" customHeight="1" s="12">
      <c r="A1735" s="18" t="inlineStr">
        <is>
          <t>Reggio nell'Emilia</t>
        </is>
      </c>
      <c r="B1735" s="18" t="inlineStr">
        <is>
          <t>Italy</t>
        </is>
      </c>
      <c r="C1735" s="19" t="n">
        <v>58932330</v>
      </c>
      <c r="D1735" s="18" t="inlineStr">
        <is>
          <t>IT</t>
        </is>
      </c>
      <c r="E1735" s="18" t="inlineStr">
        <is>
          <t>05</t>
        </is>
      </c>
      <c r="F1735" s="20" t="n">
        <v>133296</v>
      </c>
      <c r="G1735" s="18" t="n"/>
      <c r="H1735" s="18" t="n"/>
      <c r="I1735" s="18" t="n"/>
      <c r="J1735" s="18" t="n"/>
      <c r="K1735" s="18" t="n"/>
      <c r="L1735" s="18" t="inlineStr">
        <is>
          <t>100k +  pop</t>
        </is>
      </c>
      <c r="M1735" s="22" t="n">
        <v>0</v>
      </c>
      <c r="N1735" s="22" t="n">
        <v>0</v>
      </c>
      <c r="O1735" s="18" t="n"/>
      <c r="P1735" s="22">
        <f>IF(O1735="",(About!$B$5*M1735+About!$B$6*N1735)/(About!$B$5+About!$B$6),About!$B$5*M1735+About!$B$6*N1735+About!$B$7*O1735)</f>
        <v/>
      </c>
      <c r="Q1735" s="23" t="n">
        <v>44.6983</v>
      </c>
      <c r="R1735" s="23" t="n">
        <v>10.6312</v>
      </c>
    </row>
    <row r="1736" ht="15" customHeight="1" s="12">
      <c r="A1736" s="18" t="inlineStr">
        <is>
          <t>High Wycombe</t>
        </is>
      </c>
      <c r="B1736" s="18" t="inlineStr">
        <is>
          <t>United Kingdom</t>
        </is>
      </c>
      <c r="C1736" s="19" t="n">
        <v>69487000</v>
      </c>
      <c r="D1736" s="18" t="inlineStr">
        <is>
          <t>GB</t>
        </is>
      </c>
      <c r="E1736" s="18" t="inlineStr">
        <is>
          <t>ENG</t>
        </is>
      </c>
      <c r="F1736" s="20" t="n">
        <v>133204</v>
      </c>
      <c r="G1736" s="18" t="n"/>
      <c r="H1736" s="18" t="n"/>
      <c r="I1736" s="18" t="n"/>
      <c r="J1736" s="18" t="n"/>
      <c r="K1736" s="18" t="n"/>
      <c r="L1736" s="18" t="inlineStr">
        <is>
          <t>100k +  pop</t>
        </is>
      </c>
      <c r="M1736" s="22" t="n">
        <v>0</v>
      </c>
      <c r="N1736" s="22" t="n">
        <v>0</v>
      </c>
      <c r="O1736" s="18" t="n"/>
      <c r="P1736" s="22">
        <f>IF(O1736="",(About!$B$5*M1736+About!$B$6*N1736)/(About!$B$5+About!$B$6),About!$B$5*M1736+About!$B$6*N1736+About!$B$7*O1736)</f>
        <v/>
      </c>
      <c r="Q1736" s="23" t="n">
        <v>51.6291</v>
      </c>
      <c r="R1736" s="23" t="n">
        <v>-0.7493</v>
      </c>
    </row>
    <row r="1737" ht="15" customHeight="1" s="12">
      <c r="A1737" s="18" t="inlineStr">
        <is>
          <t>Idfū</t>
        </is>
      </c>
      <c r="B1737" s="18" t="inlineStr">
        <is>
          <t>Egypt</t>
        </is>
      </c>
      <c r="C1737" s="19" t="n">
        <v>108613296</v>
      </c>
      <c r="D1737" s="18" t="inlineStr">
        <is>
          <t>EG</t>
        </is>
      </c>
      <c r="E1737" s="18" t="inlineStr">
        <is>
          <t>16</t>
        </is>
      </c>
      <c r="F1737" s="20" t="n">
        <v>133000</v>
      </c>
      <c r="G1737" s="18" t="n"/>
      <c r="H1737" s="18" t="n"/>
      <c r="I1737" s="18" t="n"/>
      <c r="J1737" s="18" t="n"/>
      <c r="K1737" s="18" t="n"/>
      <c r="L1737" s="18" t="inlineStr">
        <is>
          <t>100k +  pop</t>
        </is>
      </c>
      <c r="M1737" s="22" t="n">
        <v>0</v>
      </c>
      <c r="N1737" s="22" t="n">
        <v>0</v>
      </c>
      <c r="O1737" s="18" t="n"/>
      <c r="P1737" s="22">
        <f>IF(O1737="",(About!$B$5*M1737+About!$B$6*N1737)/(About!$B$5+About!$B$6),About!$B$5*M1737+About!$B$6*N1737+About!$B$7*O1737)</f>
        <v/>
      </c>
      <c r="Q1737" s="23" t="n">
        <v>24.9792</v>
      </c>
      <c r="R1737" s="23" t="n">
        <v>32.8772</v>
      </c>
    </row>
    <row r="1738" ht="15" customHeight="1" s="12">
      <c r="A1738" s="18" t="inlineStr">
        <is>
          <t>Mīāndoāb</t>
        </is>
      </c>
      <c r="B1738" s="18" t="inlineStr">
        <is>
          <t>Iran</t>
        </is>
      </c>
      <c r="C1738" s="19" t="n">
        <v>87134000</v>
      </c>
      <c r="D1738" s="18" t="inlineStr">
        <is>
          <t>IR</t>
        </is>
      </c>
      <c r="E1738" s="18" t="inlineStr">
        <is>
          <t>01</t>
        </is>
      </c>
      <c r="F1738" s="20" t="n">
        <v>132819</v>
      </c>
      <c r="G1738" s="18" t="n"/>
      <c r="H1738" s="18" t="n"/>
      <c r="I1738" s="18" t="n"/>
      <c r="J1738" s="18" t="n"/>
      <c r="K1738" s="18" t="n"/>
      <c r="L1738" s="18" t="inlineStr">
        <is>
          <t>100k +  pop</t>
        </is>
      </c>
      <c r="M1738" s="22" t="n">
        <v>0</v>
      </c>
      <c r="N1738" s="22" t="n">
        <v>0</v>
      </c>
      <c r="O1738" s="18" t="n"/>
      <c r="P1738" s="22">
        <f>IF(O1738="",(About!$B$5*M1738+About!$B$6*N1738)/(About!$B$5+About!$B$6),About!$B$5*M1738+About!$B$6*N1738+About!$B$7*O1738)</f>
        <v/>
      </c>
      <c r="Q1738" s="23" t="n">
        <v>36.9667</v>
      </c>
      <c r="R1738" s="23" t="n">
        <v>46.1096</v>
      </c>
    </row>
    <row r="1739" ht="15" customHeight="1" s="12">
      <c r="A1739" s="18" t="inlineStr">
        <is>
          <t>Nzérékoré</t>
        </is>
      </c>
      <c r="B1739" s="18" t="inlineStr">
        <is>
          <t>Guinea</t>
        </is>
      </c>
      <c r="C1739" s="19" t="n">
        <v>17521167</v>
      </c>
      <c r="D1739" s="18" t="inlineStr">
        <is>
          <t>GN</t>
        </is>
      </c>
      <c r="E1739" s="18" t="inlineStr">
        <is>
          <t>N</t>
        </is>
      </c>
      <c r="F1739" s="20" t="n">
        <v>132728</v>
      </c>
      <c r="G1739" s="18" t="n"/>
      <c r="H1739" s="18" t="n"/>
      <c r="I1739" s="18" t="n"/>
      <c r="J1739" s="18" t="n"/>
      <c r="K1739" s="18" t="n"/>
      <c r="L1739" s="18" t="inlineStr">
        <is>
          <t>100k +  pop</t>
        </is>
      </c>
      <c r="M1739" s="22" t="n">
        <v>0</v>
      </c>
      <c r="N1739" s="22" t="n">
        <v>0</v>
      </c>
      <c r="O1739" s="18" t="n"/>
      <c r="P1739" s="22">
        <f>IF(O1739="",(About!$B$5*M1739+About!$B$6*N1739)/(About!$B$5+About!$B$6),About!$B$5*M1739+About!$B$6*N1739+About!$B$7*O1739)</f>
        <v/>
      </c>
      <c r="Q1739" s="23" t="n">
        <v>7.7562</v>
      </c>
      <c r="R1739" s="23" t="n">
        <v>-8.8179</v>
      </c>
    </row>
    <row r="1740" ht="15" customHeight="1" s="12">
      <c r="A1740" s="18" t="inlineStr">
        <is>
          <t>Quetzaltenango</t>
        </is>
      </c>
      <c r="B1740" s="18" t="inlineStr">
        <is>
          <t>Guatemala</t>
        </is>
      </c>
      <c r="C1740" s="19" t="n">
        <v>18312373</v>
      </c>
      <c r="D1740" s="18" t="inlineStr">
        <is>
          <t>GT</t>
        </is>
      </c>
      <c r="E1740" s="18" t="inlineStr">
        <is>
          <t>13</t>
        </is>
      </c>
      <c r="F1740" s="20" t="n">
        <v>132230</v>
      </c>
      <c r="G1740" s="18" t="n"/>
      <c r="H1740" s="18" t="inlineStr">
        <is>
          <t>AAZ</t>
        </is>
      </c>
      <c r="I1740" s="18" t="inlineStr">
        <is>
          <t>Quezaltenango Airport</t>
        </is>
      </c>
      <c r="J1740" s="21" t="n">
        <v>3.8</v>
      </c>
      <c r="K1740" s="18" t="inlineStr">
        <is>
          <t>AAZ</t>
        </is>
      </c>
      <c r="L1740" s="18" t="inlineStr">
        <is>
          <t>100k +  pop + airport</t>
        </is>
      </c>
      <c r="M1740" s="22" t="n">
        <v>0</v>
      </c>
      <c r="N1740" s="22" t="n">
        <v>0</v>
      </c>
      <c r="O1740" s="18" t="n"/>
      <c r="P1740" s="22">
        <f>IF(O1740="",(About!$B$5*M1740+About!$B$6*N1740)/(About!$B$5+About!$B$6),About!$B$5*M1740+About!$B$6*N1740+About!$B$7*O1740)</f>
        <v/>
      </c>
      <c r="Q1740" s="23" t="n">
        <v>14.8347</v>
      </c>
      <c r="R1740" s="23" t="n">
        <v>-91.5181</v>
      </c>
    </row>
    <row r="1741" ht="15" customHeight="1" s="12">
      <c r="A1741" s="18" t="inlineStr">
        <is>
          <t>St. Catharines</t>
        </is>
      </c>
      <c r="B1741" s="18" t="inlineStr">
        <is>
          <t>Canada</t>
        </is>
      </c>
      <c r="C1741" s="19" t="n">
        <v>41472081</v>
      </c>
      <c r="D1741" s="18" t="inlineStr">
        <is>
          <t>CA</t>
        </is>
      </c>
      <c r="E1741" s="18" t="inlineStr">
        <is>
          <t>08</t>
        </is>
      </c>
      <c r="F1741" s="20" t="n">
        <v>131989</v>
      </c>
      <c r="G1741" s="18" t="n"/>
      <c r="H1741" s="18" t="inlineStr">
        <is>
          <t>YCM</t>
        </is>
      </c>
      <c r="I1741" s="18" t="inlineStr">
        <is>
          <t>Niagara District Airport</t>
        </is>
      </c>
      <c r="J1741" s="21" t="n">
        <v>6.2</v>
      </c>
      <c r="K1741" s="18" t="inlineStr">
        <is>
          <t>YCM</t>
        </is>
      </c>
      <c r="L1741" s="18" t="inlineStr">
        <is>
          <t>100k +  pop + airport</t>
        </is>
      </c>
      <c r="M1741" s="22" t="n">
        <v>0</v>
      </c>
      <c r="N1741" s="22" t="n">
        <v>0</v>
      </c>
      <c r="O1741" s="18" t="n"/>
      <c r="P1741" s="22">
        <f>IF(O1741="",(About!$B$5*M1741+About!$B$6*N1741)/(About!$B$5+About!$B$6),About!$B$5*M1741+About!$B$6*N1741+About!$B$7*O1741)</f>
        <v/>
      </c>
      <c r="Q1741" s="23" t="n">
        <v>43.1713</v>
      </c>
      <c r="R1741" s="23" t="n">
        <v>-79.2427</v>
      </c>
    </row>
    <row r="1742" ht="15" customHeight="1" s="12">
      <c r="A1742" s="18" t="inlineStr">
        <is>
          <t>Shahrud</t>
        </is>
      </c>
      <c r="B1742" s="18" t="inlineStr">
        <is>
          <t>Iran</t>
        </is>
      </c>
      <c r="C1742" s="19" t="n">
        <v>87134000</v>
      </c>
      <c r="D1742" s="18" t="inlineStr">
        <is>
          <t>IR</t>
        </is>
      </c>
      <c r="E1742" s="18" t="inlineStr">
        <is>
          <t>25</t>
        </is>
      </c>
      <c r="F1742" s="20" t="n">
        <v>131889</v>
      </c>
      <c r="G1742" s="18" t="n"/>
      <c r="H1742" s="18" t="n"/>
      <c r="I1742" s="18" t="n"/>
      <c r="J1742" s="18" t="n"/>
      <c r="K1742" s="18" t="n"/>
      <c r="L1742" s="18" t="inlineStr">
        <is>
          <t>100k +  pop</t>
        </is>
      </c>
      <c r="M1742" s="22" t="n">
        <v>0</v>
      </c>
      <c r="N1742" s="22" t="n">
        <v>0</v>
      </c>
      <c r="O1742" s="18" t="n"/>
      <c r="P1742" s="22">
        <f>IF(O1742="",(About!$B$5*M1742+About!$B$6*N1742)/(About!$B$5+About!$B$6),About!$B$5*M1742+About!$B$6*N1742+About!$B$7*O1742)</f>
        <v/>
      </c>
      <c r="Q1742" s="23" t="n">
        <v>36.4182</v>
      </c>
      <c r="R1742" s="23" t="n">
        <v>54.9763</v>
      </c>
    </row>
    <row r="1743" ht="15" customHeight="1" s="12">
      <c r="A1743" s="18" t="inlineStr">
        <is>
          <t>Gonbad-e Kāvūs</t>
        </is>
      </c>
      <c r="B1743" s="18" t="inlineStr">
        <is>
          <t>Iran</t>
        </is>
      </c>
      <c r="C1743" s="19" t="n">
        <v>87134000</v>
      </c>
      <c r="D1743" s="18" t="inlineStr">
        <is>
          <t>IR</t>
        </is>
      </c>
      <c r="E1743" s="18" t="inlineStr">
        <is>
          <t>37</t>
        </is>
      </c>
      <c r="F1743" s="20" t="n">
        <v>131416</v>
      </c>
      <c r="G1743" s="18" t="n"/>
      <c r="H1743" s="18" t="n"/>
      <c r="I1743" s="18" t="n"/>
      <c r="J1743" s="18" t="n"/>
      <c r="K1743" s="18" t="n"/>
      <c r="L1743" s="18" t="inlineStr">
        <is>
          <t>100k +  pop</t>
        </is>
      </c>
      <c r="M1743" s="22" t="n">
        <v>0</v>
      </c>
      <c r="N1743" s="22" t="n">
        <v>0</v>
      </c>
      <c r="O1743" s="18" t="n"/>
      <c r="P1743" s="22">
        <f>IF(O1743="",(About!$B$5*M1743+About!$B$6*N1743)/(About!$B$5+About!$B$6),About!$B$5*M1743+About!$B$6*N1743+About!$B$7*O1743)</f>
        <v/>
      </c>
      <c r="Q1743" s="23" t="n">
        <v>37.25</v>
      </c>
      <c r="R1743" s="23" t="n">
        <v>55.1672</v>
      </c>
    </row>
    <row r="1744" ht="15" customHeight="1" s="12">
      <c r="A1744" s="18" t="inlineStr">
        <is>
          <t>Iranshahr</t>
        </is>
      </c>
      <c r="B1744" s="18" t="inlineStr">
        <is>
          <t>Iran</t>
        </is>
      </c>
      <c r="C1744" s="19" t="n">
        <v>87134000</v>
      </c>
      <c r="D1744" s="18" t="inlineStr">
        <is>
          <t>IR</t>
        </is>
      </c>
      <c r="E1744" s="18" t="inlineStr">
        <is>
          <t>04</t>
        </is>
      </c>
      <c r="F1744" s="20" t="n">
        <v>131232</v>
      </c>
      <c r="G1744" s="18" t="n"/>
      <c r="H1744" s="18" t="n"/>
      <c r="I1744" s="18" t="n"/>
      <c r="J1744" s="18" t="n"/>
      <c r="K1744" s="18" t="n"/>
      <c r="L1744" s="18" t="inlineStr">
        <is>
          <t>100k +  pop</t>
        </is>
      </c>
      <c r="M1744" s="22" t="n">
        <v>0</v>
      </c>
      <c r="N1744" s="22" t="n">
        <v>0</v>
      </c>
      <c r="O1744" s="18" t="n"/>
      <c r="P1744" s="22">
        <f>IF(O1744="",(About!$B$5*M1744+About!$B$6*N1744)/(About!$B$5+About!$B$6),About!$B$5*M1744+About!$B$6*N1744+About!$B$7*O1744)</f>
        <v/>
      </c>
      <c r="Q1744" s="23" t="n">
        <v>27.2024</v>
      </c>
      <c r="R1744" s="23" t="n">
        <v>60.6848</v>
      </c>
    </row>
    <row r="1745" ht="15" customHeight="1" s="12">
      <c r="A1745" s="18" t="inlineStr">
        <is>
          <t>Maicao</t>
        </is>
      </c>
      <c r="B1745" s="18" t="inlineStr">
        <is>
          <t>Colombia</t>
        </is>
      </c>
      <c r="C1745" s="19" t="n">
        <v>53057212</v>
      </c>
      <c r="D1745" s="18" t="inlineStr">
        <is>
          <t>CO</t>
        </is>
      </c>
      <c r="E1745" s="18" t="inlineStr">
        <is>
          <t>17</t>
        </is>
      </c>
      <c r="F1745" s="20" t="n">
        <v>130348</v>
      </c>
      <c r="G1745" s="18" t="n"/>
      <c r="H1745" s="18" t="n"/>
      <c r="I1745" s="18" t="n"/>
      <c r="J1745" s="18" t="n"/>
      <c r="K1745" s="18" t="n"/>
      <c r="L1745" s="18" t="inlineStr">
        <is>
          <t>100k +  pop</t>
        </is>
      </c>
      <c r="M1745" s="22" t="n">
        <v>0</v>
      </c>
      <c r="N1745" s="22" t="n">
        <v>0</v>
      </c>
      <c r="O1745" s="18" t="n"/>
      <c r="P1745" s="22">
        <f>IF(O1745="",(About!$B$5*M1745+About!$B$6*N1745)/(About!$B$5+About!$B$6),About!$B$5*M1745+About!$B$6*N1745+About!$B$7*O1745)</f>
        <v/>
      </c>
      <c r="Q1745" s="23" t="n">
        <v>11.3784</v>
      </c>
      <c r="R1745" s="23" t="n">
        <v>-72.23950000000001</v>
      </c>
    </row>
    <row r="1746" ht="15" customHeight="1" s="12">
      <c r="A1746" s="18" t="inlineStr">
        <is>
          <t>Nablus</t>
        </is>
      </c>
      <c r="B1746" s="18" t="inlineStr">
        <is>
          <t>Palestine</t>
        </is>
      </c>
      <c r="C1746" s="19" t="n">
        <v>5483450</v>
      </c>
      <c r="D1746" s="18" t="inlineStr">
        <is>
          <t>PS</t>
        </is>
      </c>
      <c r="E1746" s="18" t="inlineStr">
        <is>
          <t>WE</t>
        </is>
      </c>
      <c r="F1746" s="20" t="n">
        <v>130326</v>
      </c>
      <c r="G1746" s="18" t="n"/>
      <c r="H1746" s="18" t="n"/>
      <c r="I1746" s="18" t="n"/>
      <c r="J1746" s="18" t="n"/>
      <c r="K1746" s="18" t="n"/>
      <c r="L1746" s="18" t="inlineStr">
        <is>
          <t>100k +  pop</t>
        </is>
      </c>
      <c r="M1746" s="22" t="n">
        <v>0</v>
      </c>
      <c r="N1746" s="22" t="n">
        <v>0</v>
      </c>
      <c r="O1746" s="18" t="n"/>
      <c r="P1746" s="22">
        <f>IF(O1746="",(About!$B$5*M1746+About!$B$6*N1746)/(About!$B$5+About!$B$6),About!$B$5*M1746+About!$B$6*N1746+About!$B$7*O1746)</f>
        <v/>
      </c>
      <c r="Q1746" s="23" t="n">
        <v>32.2211</v>
      </c>
      <c r="R1746" s="23" t="n">
        <v>35.2544</v>
      </c>
    </row>
    <row r="1747" ht="15" customHeight="1" s="12">
      <c r="A1747" s="18" t="inlineStr">
        <is>
          <t>Girardot City</t>
        </is>
      </c>
      <c r="B1747" s="18" t="inlineStr">
        <is>
          <t>Colombia</t>
        </is>
      </c>
      <c r="C1747" s="19" t="n">
        <v>53057212</v>
      </c>
      <c r="D1747" s="18" t="inlineStr">
        <is>
          <t>CO</t>
        </is>
      </c>
      <c r="E1747" s="18" t="inlineStr">
        <is>
          <t>33</t>
        </is>
      </c>
      <c r="F1747" s="20" t="n">
        <v>130289</v>
      </c>
      <c r="G1747" s="18" t="n"/>
      <c r="H1747" s="18" t="n"/>
      <c r="I1747" s="18" t="n"/>
      <c r="J1747" s="18" t="n"/>
      <c r="K1747" s="18" t="n"/>
      <c r="L1747" s="18" t="inlineStr">
        <is>
          <t>100k +  pop</t>
        </is>
      </c>
      <c r="M1747" s="22" t="n">
        <v>0</v>
      </c>
      <c r="N1747" s="22" t="n">
        <v>0</v>
      </c>
      <c r="O1747" s="18" t="n"/>
      <c r="P1747" s="22">
        <f>IF(O1747="",(About!$B$5*M1747+About!$B$6*N1747)/(About!$B$5+About!$B$6),About!$B$5*M1747+About!$B$6*N1747+About!$B$7*O1747)</f>
        <v/>
      </c>
      <c r="Q1747" s="23" t="n">
        <v>4.3008</v>
      </c>
      <c r="R1747" s="23" t="n">
        <v>-74.8075</v>
      </c>
    </row>
    <row r="1748" ht="15" customHeight="1" s="12">
      <c r="A1748" s="18" t="inlineStr">
        <is>
          <t>Sinnar</t>
        </is>
      </c>
      <c r="B1748" s="18" t="inlineStr">
        <is>
          <t>Sudan</t>
        </is>
      </c>
      <c r="C1748" s="19" t="n">
        <v>51662000</v>
      </c>
      <c r="D1748" s="18" t="inlineStr">
        <is>
          <t>SD</t>
        </is>
      </c>
      <c r="E1748" s="18" t="inlineStr">
        <is>
          <t>58</t>
        </is>
      </c>
      <c r="F1748" s="20" t="n">
        <v>130122</v>
      </c>
      <c r="G1748" s="18" t="n"/>
      <c r="H1748" s="18" t="n"/>
      <c r="I1748" s="18" t="n"/>
      <c r="J1748" s="18" t="n"/>
      <c r="K1748" s="18" t="n"/>
      <c r="L1748" s="18" t="inlineStr">
        <is>
          <t>100k +  pop</t>
        </is>
      </c>
      <c r="M1748" s="22" t="n">
        <v>0</v>
      </c>
      <c r="N1748" s="22" t="n">
        <v>0</v>
      </c>
      <c r="O1748" s="18" t="n"/>
      <c r="P1748" s="22">
        <f>IF(O1748="",(About!$B$5*M1748+About!$B$6*N1748)/(About!$B$5+About!$B$6),About!$B$5*M1748+About!$B$6*N1748+About!$B$7*O1748)</f>
        <v/>
      </c>
      <c r="Q1748" s="23" t="n">
        <v>13.5691</v>
      </c>
      <c r="R1748" s="23" t="n">
        <v>33.5672</v>
      </c>
    </row>
    <row r="1749" ht="15" customHeight="1" s="12">
      <c r="A1749" s="18" t="inlineStr">
        <is>
          <t>Relizane</t>
        </is>
      </c>
      <c r="B1749" s="18" t="inlineStr">
        <is>
          <t>Algeria</t>
        </is>
      </c>
      <c r="C1749" s="19" t="n">
        <v>47400000</v>
      </c>
      <c r="D1749" s="18" t="inlineStr">
        <is>
          <t>DZ</t>
        </is>
      </c>
      <c r="E1749" s="18" t="inlineStr">
        <is>
          <t>51</t>
        </is>
      </c>
      <c r="F1749" s="20" t="n">
        <v>130094</v>
      </c>
      <c r="G1749" s="18" t="n"/>
      <c r="H1749" s="18" t="n"/>
      <c r="I1749" s="18" t="n"/>
      <c r="J1749" s="18" t="n"/>
      <c r="K1749" s="18" t="n"/>
      <c r="L1749" s="18" t="inlineStr">
        <is>
          <t>100k +  pop</t>
        </is>
      </c>
      <c r="M1749" s="22" t="n">
        <v>0</v>
      </c>
      <c r="N1749" s="22" t="n">
        <v>0</v>
      </c>
      <c r="O1749" s="18" t="n"/>
      <c r="P1749" s="22">
        <f>IF(O1749="",(About!$B$5*M1749+About!$B$6*N1749)/(About!$B$5+About!$B$6),About!$B$5*M1749+About!$B$6*N1749+About!$B$7*O1749)</f>
        <v/>
      </c>
      <c r="Q1749" s="23" t="n">
        <v>35.7373</v>
      </c>
      <c r="R1749" s="23" t="n">
        <v>0.556</v>
      </c>
    </row>
    <row r="1750" ht="15" customHeight="1" s="12">
      <c r="A1750" s="18" t="inlineStr">
        <is>
          <t>Sonārgaon</t>
        </is>
      </c>
      <c r="B1750" s="18" t="inlineStr">
        <is>
          <t>Bangladesh</t>
        </is>
      </c>
      <c r="C1750" s="19" t="n">
        <v>169828911</v>
      </c>
      <c r="D1750" s="18" t="inlineStr">
        <is>
          <t>BD</t>
        </is>
      </c>
      <c r="E1750" s="18" t="inlineStr">
        <is>
          <t>81</t>
        </is>
      </c>
      <c r="F1750" s="20" t="n">
        <v>130000</v>
      </c>
      <c r="G1750" s="18" t="n"/>
      <c r="H1750" s="18" t="n"/>
      <c r="I1750" s="18" t="n"/>
      <c r="J1750" s="18" t="n"/>
      <c r="K1750" s="18" t="n"/>
      <c r="L1750" s="18" t="inlineStr">
        <is>
          <t>100k +  pop</t>
        </is>
      </c>
      <c r="M1750" s="22" t="n">
        <v>0</v>
      </c>
      <c r="N1750" s="22" t="n">
        <v>0</v>
      </c>
      <c r="O1750" s="18" t="n"/>
      <c r="P1750" s="22">
        <f>IF(O1750="",(About!$B$5*M1750+About!$B$6*N1750)/(About!$B$5+About!$B$6),About!$B$5*M1750+About!$B$6*N1750+About!$B$7*O1750)</f>
        <v/>
      </c>
      <c r="Q1750" s="23" t="n">
        <v>23.65</v>
      </c>
      <c r="R1750" s="23" t="n">
        <v>90.61669999999999</v>
      </c>
    </row>
    <row r="1751" ht="15" customHeight="1" s="12">
      <c r="A1751" s="18" t="inlineStr">
        <is>
          <t>Mostaganem</t>
        </is>
      </c>
      <c r="B1751" s="18" t="inlineStr">
        <is>
          <t>Algeria</t>
        </is>
      </c>
      <c r="C1751" s="19" t="n">
        <v>47400000</v>
      </c>
      <c r="D1751" s="18" t="inlineStr">
        <is>
          <t>DZ</t>
        </is>
      </c>
      <c r="E1751" s="18" t="inlineStr">
        <is>
          <t>07</t>
        </is>
      </c>
      <c r="F1751" s="20" t="n">
        <v>130000</v>
      </c>
      <c r="G1751" s="18" t="n"/>
      <c r="H1751" s="18" t="n"/>
      <c r="I1751" s="18" t="n"/>
      <c r="J1751" s="18" t="n"/>
      <c r="K1751" s="18" t="n"/>
      <c r="L1751" s="18" t="inlineStr">
        <is>
          <t>100k +  pop</t>
        </is>
      </c>
      <c r="M1751" s="22" t="n">
        <v>0</v>
      </c>
      <c r="N1751" s="22" t="n">
        <v>0</v>
      </c>
      <c r="O1751" s="18" t="n"/>
      <c r="P1751" s="22">
        <f>IF(O1751="",(About!$B$5*M1751+About!$B$6*N1751)/(About!$B$5+About!$B$6),About!$B$5*M1751+About!$B$6*N1751+About!$B$7*O1751)</f>
        <v/>
      </c>
      <c r="Q1751" s="23" t="n">
        <v>35.9312</v>
      </c>
      <c r="R1751" s="23" t="n">
        <v>0.0892</v>
      </c>
    </row>
    <row r="1752" ht="15" customHeight="1" s="12">
      <c r="A1752" s="18" t="inlineStr">
        <is>
          <t>Mandi Bahauddin</t>
        </is>
      </c>
      <c r="B1752" s="18" t="inlineStr">
        <is>
          <t>Pakistan</t>
        </is>
      </c>
      <c r="C1752" s="19" t="n">
        <v>241499431</v>
      </c>
      <c r="D1752" s="18" t="inlineStr">
        <is>
          <t>PK</t>
        </is>
      </c>
      <c r="E1752" s="18" t="inlineStr">
        <is>
          <t>04</t>
        </is>
      </c>
      <c r="F1752" s="20" t="n">
        <v>129733</v>
      </c>
      <c r="G1752" s="18" t="n"/>
      <c r="H1752" s="18" t="n"/>
      <c r="I1752" s="18" t="n"/>
      <c r="J1752" s="18" t="n"/>
      <c r="K1752" s="18" t="n"/>
      <c r="L1752" s="18" t="inlineStr">
        <is>
          <t>100k +  pop</t>
        </is>
      </c>
      <c r="M1752" s="22" t="n">
        <v>0</v>
      </c>
      <c r="N1752" s="22" t="n">
        <v>0</v>
      </c>
      <c r="O1752" s="18" t="n"/>
      <c r="P1752" s="22">
        <f>IF(O1752="",(About!$B$5*M1752+About!$B$6*N1752)/(About!$B$5+About!$B$6),About!$B$5*M1752+About!$B$6*N1752+About!$B$7*O1752)</f>
        <v/>
      </c>
      <c r="Q1752" s="23" t="n">
        <v>32.587</v>
      </c>
      <c r="R1752" s="23" t="n">
        <v>73.49120000000001</v>
      </c>
    </row>
    <row r="1753" ht="15" customHeight="1" s="12">
      <c r="A1753" s="18" t="inlineStr">
        <is>
          <t>Tokat</t>
        </is>
      </c>
      <c r="B1753" s="18" t="inlineStr">
        <is>
          <t>Türkiye</t>
        </is>
      </c>
      <c r="C1753" s="19" t="n">
        <v>86092168</v>
      </c>
      <c r="D1753" s="18" t="inlineStr">
        <is>
          <t>TR</t>
        </is>
      </c>
      <c r="E1753" s="18" t="inlineStr">
        <is>
          <t>60</t>
        </is>
      </c>
      <c r="F1753" s="20" t="n">
        <v>129702</v>
      </c>
      <c r="G1753" s="18" t="n"/>
      <c r="H1753" s="18" t="inlineStr">
        <is>
          <t>TJK</t>
        </is>
      </c>
      <c r="I1753" s="18" t="inlineStr">
        <is>
          <t>Tokat Airport</t>
        </is>
      </c>
      <c r="J1753" s="21" t="n">
        <v>13.9</v>
      </c>
      <c r="K1753" s="18" t="inlineStr">
        <is>
          <t>TJK</t>
        </is>
      </c>
      <c r="L1753" s="18" t="inlineStr">
        <is>
          <t>100k +  pop + airport</t>
        </is>
      </c>
      <c r="M1753" s="22" t="n">
        <v>0</v>
      </c>
      <c r="N1753" s="22" t="n">
        <v>0</v>
      </c>
      <c r="O1753" s="18" t="n"/>
      <c r="P1753" s="22">
        <f>IF(O1753="",(About!$B$5*M1753+About!$B$6*N1753)/(About!$B$5+About!$B$6),About!$B$5*M1753+About!$B$6*N1753+About!$B$7*O1753)</f>
        <v/>
      </c>
      <c r="Q1753" s="23" t="n">
        <v>40.3139</v>
      </c>
      <c r="R1753" s="23" t="n">
        <v>36.5544</v>
      </c>
    </row>
    <row r="1754" ht="15" customHeight="1" s="12">
      <c r="A1754" s="18" t="inlineStr">
        <is>
          <t>Sherbrooke</t>
        </is>
      </c>
      <c r="B1754" s="18" t="inlineStr">
        <is>
          <t>Canada</t>
        </is>
      </c>
      <c r="C1754" s="19" t="n">
        <v>41472081</v>
      </c>
      <c r="D1754" s="18" t="inlineStr">
        <is>
          <t>CA</t>
        </is>
      </c>
      <c r="E1754" s="18" t="inlineStr">
        <is>
          <t>10</t>
        </is>
      </c>
      <c r="F1754" s="20" t="n">
        <v>129447</v>
      </c>
      <c r="G1754" s="18" t="n"/>
      <c r="H1754" s="18" t="n"/>
      <c r="I1754" s="18" t="n"/>
      <c r="J1754" s="18" t="n"/>
      <c r="K1754" s="18" t="n"/>
      <c r="L1754" s="18" t="inlineStr">
        <is>
          <t>100k +  pop</t>
        </is>
      </c>
      <c r="M1754" s="22" t="n">
        <v>0</v>
      </c>
      <c r="N1754" s="22" t="n">
        <v>0</v>
      </c>
      <c r="O1754" s="18" t="n"/>
      <c r="P1754" s="22">
        <f>IF(O1754="",(About!$B$5*M1754+About!$B$6*N1754)/(About!$B$5+About!$B$6),About!$B$5*M1754+About!$B$6*N1754+About!$B$7*O1754)</f>
        <v/>
      </c>
      <c r="Q1754" s="23" t="n">
        <v>45.4001</v>
      </c>
      <c r="R1754" s="23" t="n">
        <v>-71.8991</v>
      </c>
    </row>
    <row r="1755" ht="15" customHeight="1" s="12">
      <c r="A1755" s="18" t="inlineStr">
        <is>
          <t>Andong</t>
        </is>
      </c>
      <c r="B1755" s="18" t="inlineStr">
        <is>
          <t>South Korea</t>
        </is>
      </c>
      <c r="C1755" s="19" t="n">
        <v>51111158</v>
      </c>
      <c r="D1755" s="18" t="inlineStr">
        <is>
          <t>KR</t>
        </is>
      </c>
      <c r="E1755" s="18" t="inlineStr">
        <is>
          <t>14</t>
        </is>
      </c>
      <c r="F1755" s="20" t="n">
        <v>129319</v>
      </c>
      <c r="G1755" s="18" t="n"/>
      <c r="H1755" s="18" t="n"/>
      <c r="I1755" s="18" t="n"/>
      <c r="J1755" s="18" t="n"/>
      <c r="K1755" s="18" t="n"/>
      <c r="L1755" s="18" t="inlineStr">
        <is>
          <t>100k +  pop</t>
        </is>
      </c>
      <c r="M1755" s="22" t="n">
        <v>0</v>
      </c>
      <c r="N1755" s="22" t="n">
        <v>0</v>
      </c>
      <c r="O1755" s="18" t="n"/>
      <c r="P1755" s="22">
        <f>IF(O1755="",(About!$B$5*M1755+About!$B$6*N1755)/(About!$B$5+About!$B$6),About!$B$5*M1755+About!$B$6*N1755+About!$B$7*O1755)</f>
        <v/>
      </c>
      <c r="Q1755" s="23" t="n">
        <v>36.5664</v>
      </c>
      <c r="R1755" s="23" t="n">
        <v>128.7227</v>
      </c>
    </row>
    <row r="1756" ht="15" customHeight="1" s="12">
      <c r="A1756" s="18" t="inlineStr">
        <is>
          <t>Bilbays</t>
        </is>
      </c>
      <c r="B1756" s="18" t="inlineStr">
        <is>
          <t>Egypt</t>
        </is>
      </c>
      <c r="C1756" s="19" t="n">
        <v>108613296</v>
      </c>
      <c r="D1756" s="18" t="inlineStr">
        <is>
          <t>EG</t>
        </is>
      </c>
      <c r="E1756" s="18" t="inlineStr">
        <is>
          <t>14</t>
        </is>
      </c>
      <c r="F1756" s="20" t="n">
        <v>129211</v>
      </c>
      <c r="G1756" s="18" t="n"/>
      <c r="H1756" s="18" t="n"/>
      <c r="I1756" s="18" t="n"/>
      <c r="J1756" s="18" t="n"/>
      <c r="K1756" s="18" t="n"/>
      <c r="L1756" s="18" t="inlineStr">
        <is>
          <t>100k +  pop</t>
        </is>
      </c>
      <c r="M1756" s="22" t="n">
        <v>0</v>
      </c>
      <c r="N1756" s="22" t="n">
        <v>0</v>
      </c>
      <c r="O1756" s="18" t="n"/>
      <c r="P1756" s="22">
        <f>IF(O1756="",(About!$B$5*M1756+About!$B$6*N1756)/(About!$B$5+About!$B$6),About!$B$5*M1756+About!$B$6*N1756+About!$B$7*O1756)</f>
        <v/>
      </c>
      <c r="Q1756" s="23" t="n">
        <v>30.4204</v>
      </c>
      <c r="R1756" s="23" t="n">
        <v>31.5622</v>
      </c>
    </row>
    <row r="1757" ht="15" customHeight="1" s="12">
      <c r="A1757" s="18" t="inlineStr">
        <is>
          <t>Shahr-e Kord</t>
        </is>
      </c>
      <c r="B1757" s="18" t="inlineStr">
        <is>
          <t>Iran</t>
        </is>
      </c>
      <c r="C1757" s="19" t="n">
        <v>87134000</v>
      </c>
      <c r="D1757" s="18" t="inlineStr">
        <is>
          <t>IR</t>
        </is>
      </c>
      <c r="E1757" s="18" t="inlineStr">
        <is>
          <t>03</t>
        </is>
      </c>
      <c r="F1757" s="20" t="n">
        <v>129153</v>
      </c>
      <c r="G1757" s="18" t="n"/>
      <c r="H1757" s="18" t="n"/>
      <c r="I1757" s="18" t="n"/>
      <c r="J1757" s="18" t="n"/>
      <c r="K1757" s="18" t="n"/>
      <c r="L1757" s="18" t="inlineStr">
        <is>
          <t>100k +  pop</t>
        </is>
      </c>
      <c r="M1757" s="22" t="n">
        <v>0</v>
      </c>
      <c r="N1757" s="22" t="n">
        <v>0</v>
      </c>
      <c r="O1757" s="18" t="n"/>
      <c r="P1757" s="22">
        <f>IF(O1757="",(About!$B$5*M1757+About!$B$6*N1757)/(About!$B$5+About!$B$6),About!$B$5*M1757+About!$B$6*N1757+About!$B$7*O1757)</f>
        <v/>
      </c>
      <c r="Q1757" s="23" t="n">
        <v>32.3261</v>
      </c>
      <c r="R1757" s="23" t="n">
        <v>50.8572</v>
      </c>
    </row>
    <row r="1758" ht="15" customHeight="1" s="12">
      <c r="A1758" s="18" t="inlineStr">
        <is>
          <t>Regensburg</t>
        </is>
      </c>
      <c r="B1758" s="18" t="inlineStr">
        <is>
          <t>Germany</t>
        </is>
      </c>
      <c r="C1758" s="19" t="n">
        <v>83497147</v>
      </c>
      <c r="D1758" s="18" t="inlineStr">
        <is>
          <t>DE</t>
        </is>
      </c>
      <c r="E1758" s="18" t="inlineStr">
        <is>
          <t>02</t>
        </is>
      </c>
      <c r="F1758" s="20" t="n">
        <v>129151</v>
      </c>
      <c r="G1758" s="18" t="n"/>
      <c r="H1758" s="18" t="n"/>
      <c r="I1758" s="18" t="n"/>
      <c r="J1758" s="18" t="n"/>
      <c r="K1758" s="18" t="n"/>
      <c r="L1758" s="18" t="inlineStr">
        <is>
          <t>100k +  pop</t>
        </is>
      </c>
      <c r="M1758" s="22" t="n">
        <v>0</v>
      </c>
      <c r="N1758" s="22" t="n">
        <v>0</v>
      </c>
      <c r="O1758" s="18" t="n"/>
      <c r="P1758" s="22">
        <f>IF(O1758="",(About!$B$5*M1758+About!$B$6*N1758)/(About!$B$5+About!$B$6),About!$B$5*M1758+About!$B$6*N1758+About!$B$7*O1758)</f>
        <v/>
      </c>
      <c r="Q1758" s="23" t="n">
        <v>49.0151</v>
      </c>
      <c r="R1758" s="23" t="n">
        <v>12.1016</v>
      </c>
    </row>
    <row r="1759" ht="15" customHeight="1" s="12">
      <c r="A1759" s="18" t="inlineStr">
        <is>
          <t>Cadiz</t>
        </is>
      </c>
      <c r="B1759" s="18" t="inlineStr">
        <is>
          <t>Philippines</t>
        </is>
      </c>
      <c r="C1759" s="19" t="n">
        <v>114123600</v>
      </c>
      <c r="D1759" s="18" t="inlineStr">
        <is>
          <t>PH</t>
        </is>
      </c>
      <c r="E1759" s="18" t="inlineStr">
        <is>
          <t>06</t>
        </is>
      </c>
      <c r="F1759" s="20" t="n">
        <v>129053</v>
      </c>
      <c r="G1759" s="18" t="n"/>
      <c r="H1759" s="18" t="n"/>
      <c r="I1759" s="18" t="n"/>
      <c r="J1759" s="18" t="n"/>
      <c r="K1759" s="18" t="n"/>
      <c r="L1759" s="18" t="inlineStr">
        <is>
          <t>100k +  pop</t>
        </is>
      </c>
      <c r="M1759" s="22" t="n">
        <v>0</v>
      </c>
      <c r="N1759" s="22" t="n">
        <v>0</v>
      </c>
      <c r="O1759" s="18" t="n"/>
      <c r="P1759" s="22">
        <f>IF(O1759="",(About!$B$5*M1759+About!$B$6*N1759)/(About!$B$5+About!$B$6),About!$B$5*M1759+About!$B$6*N1759+About!$B$7*O1759)</f>
        <v/>
      </c>
      <c r="Q1759" s="23" t="n">
        <v>10.9465</v>
      </c>
      <c r="R1759" s="23" t="n">
        <v>123.288</v>
      </c>
    </row>
    <row r="1760" ht="15" customHeight="1" s="12">
      <c r="A1760" s="18" t="inlineStr">
        <is>
          <t>Sātkhira</t>
        </is>
      </c>
      <c r="B1760" s="18" t="inlineStr">
        <is>
          <t>Bangladesh</t>
        </is>
      </c>
      <c r="C1760" s="19" t="n">
        <v>169828911</v>
      </c>
      <c r="D1760" s="18" t="inlineStr">
        <is>
          <t>BD</t>
        </is>
      </c>
      <c r="E1760" s="18" t="inlineStr">
        <is>
          <t>82</t>
        </is>
      </c>
      <c r="F1760" s="20" t="n">
        <v>128918</v>
      </c>
      <c r="G1760" s="18" t="n"/>
      <c r="H1760" s="18" t="n"/>
      <c r="I1760" s="18" t="n"/>
      <c r="J1760" s="18" t="n"/>
      <c r="K1760" s="18" t="n"/>
      <c r="L1760" s="18" t="inlineStr">
        <is>
          <t>100k +  pop</t>
        </is>
      </c>
      <c r="M1760" s="22" t="n">
        <v>0</v>
      </c>
      <c r="N1760" s="22" t="n">
        <v>0</v>
      </c>
      <c r="O1760" s="18" t="n"/>
      <c r="P1760" s="22">
        <f>IF(O1760="",(About!$B$5*M1760+About!$B$6*N1760)/(About!$B$5+About!$B$6),About!$B$5*M1760+About!$B$6*N1760+About!$B$7*O1760)</f>
        <v/>
      </c>
      <c r="Q1760" s="23" t="n">
        <v>22.7082</v>
      </c>
      <c r="R1760" s="23" t="n">
        <v>89.0718</v>
      </c>
    </row>
    <row r="1761" ht="15" customHeight="1" s="12">
      <c r="A1761" s="18" t="inlineStr">
        <is>
          <t>Arish</t>
        </is>
      </c>
      <c r="B1761" s="18" t="inlineStr">
        <is>
          <t>Egypt</t>
        </is>
      </c>
      <c r="C1761" s="19" t="n">
        <v>108613296</v>
      </c>
      <c r="D1761" s="18" t="inlineStr">
        <is>
          <t>EG</t>
        </is>
      </c>
      <c r="E1761" s="18" t="inlineStr">
        <is>
          <t>27</t>
        </is>
      </c>
      <c r="F1761" s="20" t="n">
        <v>128855</v>
      </c>
      <c r="G1761" s="18" t="n"/>
      <c r="H1761" s="18" t="inlineStr">
        <is>
          <t>AAC</t>
        </is>
      </c>
      <c r="I1761" s="18" t="inlineStr">
        <is>
          <t>El Arish International Airport</t>
        </is>
      </c>
      <c r="J1761" s="21" t="n">
        <v>8.9</v>
      </c>
      <c r="K1761" s="18" t="inlineStr">
        <is>
          <t>AAC</t>
        </is>
      </c>
      <c r="L1761" s="18" t="inlineStr">
        <is>
          <t>100k +  pop + airport</t>
        </is>
      </c>
      <c r="M1761" s="22" t="n">
        <v>0</v>
      </c>
      <c r="N1761" s="22" t="n">
        <v>0</v>
      </c>
      <c r="O1761" s="18" t="n"/>
      <c r="P1761" s="22">
        <f>IF(O1761="",(About!$B$5*M1761+About!$B$6*N1761)/(About!$B$5+About!$B$6),About!$B$5*M1761+About!$B$6*N1761+About!$B$7*O1761)</f>
        <v/>
      </c>
      <c r="Q1761" s="23" t="n">
        <v>31.1316</v>
      </c>
      <c r="R1761" s="23" t="n">
        <v>33.7984</v>
      </c>
    </row>
    <row r="1762" ht="15" customHeight="1" s="12">
      <c r="A1762" s="18" t="inlineStr">
        <is>
          <t>Sīnah</t>
        </is>
      </c>
      <c r="B1762" s="18" t="inlineStr">
        <is>
          <t>Iraq</t>
        </is>
      </c>
      <c r="C1762" s="19" t="n">
        <v>46118793</v>
      </c>
      <c r="D1762" s="18" t="inlineStr">
        <is>
          <t>IQ</t>
        </is>
      </c>
      <c r="E1762" s="18" t="inlineStr">
        <is>
          <t>08</t>
        </is>
      </c>
      <c r="F1762" s="20" t="n">
        <v>128776</v>
      </c>
      <c r="G1762" s="18" t="n"/>
      <c r="H1762" s="18" t="n"/>
      <c r="I1762" s="18" t="n"/>
      <c r="J1762" s="18" t="n"/>
      <c r="K1762" s="18" t="n"/>
      <c r="L1762" s="18" t="inlineStr">
        <is>
          <t>100k +  pop</t>
        </is>
      </c>
      <c r="M1762" s="22" t="n">
        <v>0</v>
      </c>
      <c r="N1762" s="22" t="n">
        <v>0</v>
      </c>
      <c r="O1762" s="18" t="n"/>
      <c r="P1762" s="22">
        <f>IF(O1762="",(About!$B$5*M1762+About!$B$6*N1762)/(About!$B$5+About!$B$6),About!$B$5*M1762+About!$B$6*N1762+About!$B$7*O1762)</f>
        <v/>
      </c>
      <c r="Q1762" s="23" t="n">
        <v>36.8085</v>
      </c>
      <c r="R1762" s="23" t="n">
        <v>43.0393</v>
      </c>
    </row>
    <row r="1763" ht="15" customHeight="1" s="12">
      <c r="A1763" s="18" t="inlineStr">
        <is>
          <t>Besançon</t>
        </is>
      </c>
      <c r="B1763" s="18" t="inlineStr">
        <is>
          <t>France</t>
        </is>
      </c>
      <c r="C1763" s="19" t="n">
        <v>69081996</v>
      </c>
      <c r="D1763" s="18" t="inlineStr">
        <is>
          <t>FR</t>
        </is>
      </c>
      <c r="E1763" s="18" t="inlineStr">
        <is>
          <t>27</t>
        </is>
      </c>
      <c r="F1763" s="20" t="n">
        <v>128426</v>
      </c>
      <c r="G1763" s="18" t="n"/>
      <c r="H1763" s="18" t="n"/>
      <c r="I1763" s="18" t="n"/>
      <c r="J1763" s="18" t="n"/>
      <c r="K1763" s="18" t="n"/>
      <c r="L1763" s="18" t="inlineStr">
        <is>
          <t>100k +  pop</t>
        </is>
      </c>
      <c r="M1763" s="22" t="n">
        <v>0</v>
      </c>
      <c r="N1763" s="22" t="n">
        <v>0</v>
      </c>
      <c r="O1763" s="18" t="n"/>
      <c r="P1763" s="22">
        <f>IF(O1763="",(About!$B$5*M1763+About!$B$6*N1763)/(About!$B$5+About!$B$6),About!$B$5*M1763+About!$B$6*N1763+About!$B$7*O1763)</f>
        <v/>
      </c>
      <c r="Q1763" s="23" t="n">
        <v>47.2488</v>
      </c>
      <c r="R1763" s="23" t="n">
        <v>6.0182</v>
      </c>
    </row>
    <row r="1764" ht="15" customHeight="1" s="12">
      <c r="A1764" s="18" t="inlineStr">
        <is>
          <t>El Eulma</t>
        </is>
      </c>
      <c r="B1764" s="18" t="inlineStr">
        <is>
          <t>Algeria</t>
        </is>
      </c>
      <c r="C1764" s="19" t="n">
        <v>47400000</v>
      </c>
      <c r="D1764" s="18" t="inlineStr">
        <is>
          <t>DZ</t>
        </is>
      </c>
      <c r="E1764" s="18" t="inlineStr">
        <is>
          <t>12</t>
        </is>
      </c>
      <c r="F1764" s="20" t="n">
        <v>128351</v>
      </c>
      <c r="G1764" s="18" t="n"/>
      <c r="H1764" s="18" t="n"/>
      <c r="I1764" s="18" t="n"/>
      <c r="J1764" s="18" t="n"/>
      <c r="K1764" s="18" t="n"/>
      <c r="L1764" s="18" t="inlineStr">
        <is>
          <t>100k +  pop</t>
        </is>
      </c>
      <c r="M1764" s="22" t="n">
        <v>0</v>
      </c>
      <c r="N1764" s="22" t="n">
        <v>0</v>
      </c>
      <c r="O1764" s="18" t="n"/>
      <c r="P1764" s="22">
        <f>IF(O1764="",(About!$B$5*M1764+About!$B$6*N1764)/(About!$B$5+About!$B$6),About!$B$5*M1764+About!$B$6*N1764+About!$B$7*O1764)</f>
        <v/>
      </c>
      <c r="Q1764" s="23" t="n">
        <v>36.1528</v>
      </c>
      <c r="R1764" s="23" t="n">
        <v>5.6902</v>
      </c>
    </row>
    <row r="1765" ht="15" customHeight="1" s="12">
      <c r="A1765" s="18" t="inlineStr">
        <is>
          <t>Al Manāqil</t>
        </is>
      </c>
      <c r="B1765" s="18" t="inlineStr">
        <is>
          <t>Sudan</t>
        </is>
      </c>
      <c r="C1765" s="19" t="n">
        <v>51662000</v>
      </c>
      <c r="D1765" s="18" t="inlineStr">
        <is>
          <t>SD</t>
        </is>
      </c>
      <c r="E1765" s="18" t="inlineStr">
        <is>
          <t>38</t>
        </is>
      </c>
      <c r="F1765" s="20" t="n">
        <v>128297</v>
      </c>
      <c r="G1765" s="18" t="n"/>
      <c r="H1765" s="18" t="n"/>
      <c r="I1765" s="18" t="n"/>
      <c r="J1765" s="18" t="n"/>
      <c r="K1765" s="18" t="n"/>
      <c r="L1765" s="18" t="inlineStr">
        <is>
          <t>100k +  pop</t>
        </is>
      </c>
      <c r="M1765" s="22" t="n">
        <v>0</v>
      </c>
      <c r="N1765" s="22" t="n">
        <v>0</v>
      </c>
      <c r="O1765" s="18" t="n"/>
      <c r="P1765" s="22">
        <f>IF(O1765="",(About!$B$5*M1765+About!$B$6*N1765)/(About!$B$5+About!$B$6),About!$B$5*M1765+About!$B$6*N1765+About!$B$7*O1765)</f>
        <v/>
      </c>
      <c r="Q1765" s="23" t="n">
        <v>14.2459</v>
      </c>
      <c r="R1765" s="23" t="n">
        <v>32.9891</v>
      </c>
    </row>
    <row r="1766" ht="15" customHeight="1" s="12">
      <c r="A1766" s="18" t="inlineStr">
        <is>
          <t>Győr</t>
        </is>
      </c>
      <c r="B1766" s="18" t="inlineStr">
        <is>
          <t>Hungary</t>
        </is>
      </c>
      <c r="C1766" s="19" t="n">
        <v>9489000</v>
      </c>
      <c r="D1766" s="18" t="inlineStr">
        <is>
          <t>HU</t>
        </is>
      </c>
      <c r="E1766" s="18" t="inlineStr">
        <is>
          <t>09</t>
        </is>
      </c>
      <c r="F1766" s="20" t="n">
        <v>128265</v>
      </c>
      <c r="G1766" s="18" t="n"/>
      <c r="H1766" s="18" t="n"/>
      <c r="I1766" s="18" t="n"/>
      <c r="J1766" s="18" t="n"/>
      <c r="K1766" s="18" t="n"/>
      <c r="L1766" s="18" t="inlineStr">
        <is>
          <t>100k +  pop</t>
        </is>
      </c>
      <c r="M1766" s="22" t="n">
        <v>0</v>
      </c>
      <c r="N1766" s="22" t="n">
        <v>0</v>
      </c>
      <c r="O1766" s="18" t="n"/>
      <c r="P1766" s="22">
        <f>IF(O1766="",(About!$B$5*M1766+About!$B$6*N1766)/(About!$B$5+About!$B$6),About!$B$5*M1766+About!$B$6*N1766+About!$B$7*O1766)</f>
        <v/>
      </c>
      <c r="Q1766" s="23" t="n">
        <v>47.6833</v>
      </c>
      <c r="R1766" s="23" t="n">
        <v>17.6351</v>
      </c>
    </row>
    <row r="1767" ht="15" customHeight="1" s="12">
      <c r="A1767" s="18" t="inlineStr">
        <is>
          <t>San Nicolás de los Arroyos</t>
        </is>
      </c>
      <c r="B1767" s="18" t="inlineStr">
        <is>
          <t>Argentina</t>
        </is>
      </c>
      <c r="C1767" s="19" t="n">
        <v>46387098</v>
      </c>
      <c r="D1767" s="18" t="inlineStr">
        <is>
          <t>AR</t>
        </is>
      </c>
      <c r="E1767" s="18" t="inlineStr">
        <is>
          <t>01</t>
        </is>
      </c>
      <c r="F1767" s="20" t="n">
        <v>127742</v>
      </c>
      <c r="G1767" s="18" t="n"/>
      <c r="H1767" s="18" t="n"/>
      <c r="I1767" s="18" t="n"/>
      <c r="J1767" s="18" t="n"/>
      <c r="K1767" s="18" t="n"/>
      <c r="L1767" s="18" t="inlineStr">
        <is>
          <t>100k +  pop</t>
        </is>
      </c>
      <c r="M1767" s="22" t="n">
        <v>0</v>
      </c>
      <c r="N1767" s="22" t="n">
        <v>0</v>
      </c>
      <c r="O1767" s="18" t="n"/>
      <c r="P1767" s="22">
        <f>IF(O1767="",(About!$B$5*M1767+About!$B$6*N1767)/(About!$B$5+About!$B$6),About!$B$5*M1767+About!$B$6*N1767+About!$B$7*O1767)</f>
        <v/>
      </c>
      <c r="Q1767" s="23" t="n">
        <v>-33.3342</v>
      </c>
      <c r="R1767" s="23" t="n">
        <v>-60.2108</v>
      </c>
    </row>
    <row r="1768" ht="15" customHeight="1" s="12">
      <c r="A1768" s="18" t="inlineStr">
        <is>
          <t>Kusatsu</t>
        </is>
      </c>
      <c r="B1768" s="18" t="inlineStr">
        <is>
          <t>Japan</t>
        </is>
      </c>
      <c r="C1768" s="19" t="n">
        <v>122810000</v>
      </c>
      <c r="D1768" s="18" t="inlineStr">
        <is>
          <t>JP</t>
        </is>
      </c>
      <c r="E1768" s="18" t="inlineStr">
        <is>
          <t>35</t>
        </is>
      </c>
      <c r="F1768" s="20" t="n">
        <v>127680</v>
      </c>
      <c r="G1768" s="18" t="n"/>
      <c r="H1768" s="18" t="n"/>
      <c r="I1768" s="18" t="n"/>
      <c r="J1768" s="18" t="n"/>
      <c r="K1768" s="18" t="n"/>
      <c r="L1768" s="18" t="inlineStr">
        <is>
          <t>100k +  pop</t>
        </is>
      </c>
      <c r="M1768" s="22" t="n">
        <v>0</v>
      </c>
      <c r="N1768" s="22" t="n">
        <v>0</v>
      </c>
      <c r="O1768" s="18" t="n"/>
      <c r="P1768" s="22">
        <f>IF(O1768="",(About!$B$5*M1768+About!$B$6*N1768)/(About!$B$5+About!$B$6),About!$B$5*M1768+About!$B$6*N1768+About!$B$7*O1768)</f>
        <v/>
      </c>
      <c r="Q1768" s="23" t="n">
        <v>35.0167</v>
      </c>
      <c r="R1768" s="23" t="n">
        <v>135.9667</v>
      </c>
    </row>
    <row r="1769" ht="15" customHeight="1" s="12">
      <c r="A1769" s="18" t="inlineStr">
        <is>
          <t>Worcester</t>
        </is>
      </c>
      <c r="B1769" s="18" t="inlineStr">
        <is>
          <t>South Africa</t>
        </is>
      </c>
      <c r="C1769" s="19" t="n">
        <v>63100945</v>
      </c>
      <c r="D1769" s="18" t="inlineStr">
        <is>
          <t>ZA</t>
        </is>
      </c>
      <c r="E1769" s="18" t="inlineStr">
        <is>
          <t>11</t>
        </is>
      </c>
      <c r="F1769" s="20" t="n">
        <v>127597</v>
      </c>
      <c r="G1769" s="18" t="n"/>
      <c r="H1769" s="18" t="n"/>
      <c r="I1769" s="18" t="n"/>
      <c r="J1769" s="18" t="n"/>
      <c r="K1769" s="18" t="n"/>
      <c r="L1769" s="18" t="inlineStr">
        <is>
          <t>100k +  pop</t>
        </is>
      </c>
      <c r="M1769" s="22" t="n">
        <v>0</v>
      </c>
      <c r="N1769" s="22" t="n">
        <v>0</v>
      </c>
      <c r="O1769" s="18" t="n"/>
      <c r="P1769" s="22">
        <f>IF(O1769="",(About!$B$5*M1769+About!$B$6*N1769)/(About!$B$5+About!$B$6),About!$B$5*M1769+About!$B$6*N1769+About!$B$7*O1769)</f>
        <v/>
      </c>
      <c r="Q1769" s="23" t="n">
        <v>-33.6465</v>
      </c>
      <c r="R1769" s="23" t="n">
        <v>19.4485</v>
      </c>
    </row>
    <row r="1770" ht="15" customHeight="1" s="12">
      <c r="A1770" s="18" t="inlineStr">
        <is>
          <t>Saïda</t>
        </is>
      </c>
      <c r="B1770" s="18" t="inlineStr">
        <is>
          <t>Algeria</t>
        </is>
      </c>
      <c r="C1770" s="19" t="n">
        <v>47400000</v>
      </c>
      <c r="D1770" s="18" t="inlineStr">
        <is>
          <t>DZ</t>
        </is>
      </c>
      <c r="E1770" s="18" t="inlineStr">
        <is>
          <t>10</t>
        </is>
      </c>
      <c r="F1770" s="20" t="n">
        <v>127497</v>
      </c>
      <c r="G1770" s="18" t="n"/>
      <c r="H1770" s="18" t="n"/>
      <c r="I1770" s="18" t="n"/>
      <c r="J1770" s="18" t="n"/>
      <c r="K1770" s="18" t="n"/>
      <c r="L1770" s="18" t="inlineStr">
        <is>
          <t>100k +  pop</t>
        </is>
      </c>
      <c r="M1770" s="22" t="n">
        <v>0</v>
      </c>
      <c r="N1770" s="22" t="n">
        <v>0</v>
      </c>
      <c r="O1770" s="18" t="n"/>
      <c r="P1770" s="22">
        <f>IF(O1770="",(About!$B$5*M1770+About!$B$6*N1770)/(About!$B$5+About!$B$6),About!$B$5*M1770+About!$B$6*N1770+About!$B$7*O1770)</f>
        <v/>
      </c>
      <c r="Q1770" s="23" t="n">
        <v>34.8303</v>
      </c>
      <c r="R1770" s="23" t="n">
        <v>0.1517</v>
      </c>
    </row>
    <row r="1771" ht="15" customHeight="1" s="12">
      <c r="A1771" s="18" t="inlineStr">
        <is>
          <t>Sirajganj</t>
        </is>
      </c>
      <c r="B1771" s="18" t="inlineStr">
        <is>
          <t>Bangladesh</t>
        </is>
      </c>
      <c r="C1771" s="19" t="n">
        <v>169828911</v>
      </c>
      <c r="D1771" s="18" t="inlineStr">
        <is>
          <t>BD</t>
        </is>
      </c>
      <c r="E1771" s="18" t="inlineStr">
        <is>
          <t>83</t>
        </is>
      </c>
      <c r="F1771" s="20" t="n">
        <v>127481</v>
      </c>
      <c r="G1771" s="18" t="n"/>
      <c r="H1771" s="18" t="n"/>
      <c r="I1771" s="18" t="n"/>
      <c r="J1771" s="18" t="n"/>
      <c r="K1771" s="18" t="n"/>
      <c r="L1771" s="18" t="inlineStr">
        <is>
          <t>100k +  pop</t>
        </is>
      </c>
      <c r="M1771" s="22" t="n">
        <v>0</v>
      </c>
      <c r="N1771" s="22" t="n">
        <v>0</v>
      </c>
      <c r="O1771" s="18" t="n"/>
      <c r="P1771" s="22">
        <f>IF(O1771="",(About!$B$5*M1771+About!$B$6*N1771)/(About!$B$5+About!$B$6),About!$B$5*M1771+About!$B$6*N1771+About!$B$7*O1771)</f>
        <v/>
      </c>
      <c r="Q1771" s="23" t="n">
        <v>24.4577</v>
      </c>
      <c r="R1771" s="23" t="n">
        <v>89.708</v>
      </c>
    </row>
    <row r="1772" ht="15" customHeight="1" s="12">
      <c r="A1772" s="18" t="inlineStr">
        <is>
          <t>Tando Allahyar</t>
        </is>
      </c>
      <c r="B1772" s="18" t="inlineStr">
        <is>
          <t>Pakistan</t>
        </is>
      </c>
      <c r="C1772" s="19" t="n">
        <v>241499431</v>
      </c>
      <c r="D1772" s="18" t="inlineStr">
        <is>
          <t>PK</t>
        </is>
      </c>
      <c r="E1772" s="18" t="inlineStr">
        <is>
          <t>05</t>
        </is>
      </c>
      <c r="F1772" s="20" t="n">
        <v>127202</v>
      </c>
      <c r="G1772" s="18" t="n"/>
      <c r="H1772" s="18" t="n"/>
      <c r="I1772" s="18" t="n"/>
      <c r="J1772" s="18" t="n"/>
      <c r="K1772" s="18" t="n"/>
      <c r="L1772" s="18" t="inlineStr">
        <is>
          <t>100k +  pop</t>
        </is>
      </c>
      <c r="M1772" s="22" t="n">
        <v>0</v>
      </c>
      <c r="N1772" s="22" t="n">
        <v>0</v>
      </c>
      <c r="O1772" s="18" t="n"/>
      <c r="P1772" s="22">
        <f>IF(O1772="",(About!$B$5*M1772+About!$B$6*N1772)/(About!$B$5+About!$B$6),About!$B$5*M1772+About!$B$6*N1772+About!$B$7*O1772)</f>
        <v/>
      </c>
      <c r="Q1772" s="23" t="n">
        <v>25.4605</v>
      </c>
      <c r="R1772" s="23" t="n">
        <v>68.7174</v>
      </c>
    </row>
    <row r="1773" ht="15" customHeight="1" s="12">
      <c r="A1773" s="18" t="inlineStr">
        <is>
          <t>Cadiz</t>
        </is>
      </c>
      <c r="B1773" s="18" t="inlineStr">
        <is>
          <t>Spain</t>
        </is>
      </c>
      <c r="C1773" s="19" t="n">
        <v>49687120</v>
      </c>
      <c r="D1773" s="18" t="inlineStr">
        <is>
          <t>ES</t>
        </is>
      </c>
      <c r="E1773" s="18" t="inlineStr">
        <is>
          <t>51</t>
        </is>
      </c>
      <c r="F1773" s="20" t="n">
        <v>126766</v>
      </c>
      <c r="G1773" s="18" t="n"/>
      <c r="H1773" s="18" t="n"/>
      <c r="I1773" s="18" t="n"/>
      <c r="J1773" s="18" t="n"/>
      <c r="K1773" s="18" t="n"/>
      <c r="L1773" s="18" t="inlineStr">
        <is>
          <t>100k +  pop</t>
        </is>
      </c>
      <c r="M1773" s="22" t="n">
        <v>0</v>
      </c>
      <c r="N1773" s="22" t="n">
        <v>0</v>
      </c>
      <c r="O1773" s="18" t="n"/>
      <c r="P1773" s="22">
        <f>IF(O1773="",(About!$B$5*M1773+About!$B$6*N1773)/(About!$B$5+About!$B$6),About!$B$5*M1773+About!$B$6*N1773+About!$B$7*O1773)</f>
        <v/>
      </c>
      <c r="Q1773" s="23" t="n">
        <v>36.5267</v>
      </c>
      <c r="R1773" s="23" t="n">
        <v>-6.2891</v>
      </c>
    </row>
    <row r="1774" ht="15" customHeight="1" s="12">
      <c r="A1774" s="18" t="inlineStr">
        <is>
          <t>Pakpattan</t>
        </is>
      </c>
      <c r="B1774" s="18" t="inlineStr">
        <is>
          <t>Pakistan</t>
        </is>
      </c>
      <c r="C1774" s="19" t="n">
        <v>241499431</v>
      </c>
      <c r="D1774" s="18" t="inlineStr">
        <is>
          <t>PK</t>
        </is>
      </c>
      <c r="E1774" s="18" t="inlineStr">
        <is>
          <t>04</t>
        </is>
      </c>
      <c r="F1774" s="20" t="n">
        <v>126706</v>
      </c>
      <c r="G1774" s="18" t="n"/>
      <c r="H1774" s="18" t="n"/>
      <c r="I1774" s="18" t="n"/>
      <c r="J1774" s="18" t="n"/>
      <c r="K1774" s="18" t="n"/>
      <c r="L1774" s="18" t="inlineStr">
        <is>
          <t>100k +  pop</t>
        </is>
      </c>
      <c r="M1774" s="22" t="n">
        <v>0</v>
      </c>
      <c r="N1774" s="22" t="n">
        <v>0</v>
      </c>
      <c r="O1774" s="18" t="n"/>
      <c r="P1774" s="22">
        <f>IF(O1774="",(About!$B$5*M1774+About!$B$6*N1774)/(About!$B$5+About!$B$6),About!$B$5*M1774+About!$B$6*N1774+About!$B$7*O1774)</f>
        <v/>
      </c>
      <c r="Q1774" s="23" t="n">
        <v>30.3431</v>
      </c>
      <c r="R1774" s="23" t="n">
        <v>73.38939999999999</v>
      </c>
    </row>
    <row r="1775" ht="15" customHeight="1" s="12">
      <c r="A1775" s="18" t="inlineStr">
        <is>
          <t>Bahawalnagar</t>
        </is>
      </c>
      <c r="B1775" s="18" t="inlineStr">
        <is>
          <t>Pakistan</t>
        </is>
      </c>
      <c r="C1775" s="19" t="n">
        <v>241499431</v>
      </c>
      <c r="D1775" s="18" t="inlineStr">
        <is>
          <t>PK</t>
        </is>
      </c>
      <c r="E1775" s="18" t="inlineStr">
        <is>
          <t>04</t>
        </is>
      </c>
      <c r="F1775" s="20" t="n">
        <v>126700</v>
      </c>
      <c r="G1775" s="18" t="n"/>
      <c r="H1775" s="18" t="n"/>
      <c r="I1775" s="18" t="n"/>
      <c r="J1775" s="18" t="n"/>
      <c r="K1775" s="18" t="n"/>
      <c r="L1775" s="18" t="inlineStr">
        <is>
          <t>100k +  pop</t>
        </is>
      </c>
      <c r="M1775" s="22" t="n">
        <v>0</v>
      </c>
      <c r="N1775" s="22" t="n">
        <v>0</v>
      </c>
      <c r="O1775" s="18" t="n"/>
      <c r="P1775" s="22">
        <f>IF(O1775="",(About!$B$5*M1775+About!$B$6*N1775)/(About!$B$5+About!$B$6),About!$B$5*M1775+About!$B$6*N1775+About!$B$7*O1775)</f>
        <v/>
      </c>
      <c r="Q1775" s="23" t="n">
        <v>30.5508</v>
      </c>
      <c r="R1775" s="23" t="n">
        <v>73.3908</v>
      </c>
    </row>
    <row r="1776" ht="15" customHeight="1" s="12">
      <c r="A1776" s="18" t="inlineStr">
        <is>
          <t>Bahawalnagar</t>
        </is>
      </c>
      <c r="B1776" s="18" t="inlineStr">
        <is>
          <t>Pakistan</t>
        </is>
      </c>
      <c r="C1776" s="19" t="n">
        <v>241499431</v>
      </c>
      <c r="D1776" s="18" t="inlineStr">
        <is>
          <t>PK</t>
        </is>
      </c>
      <c r="E1776" s="18" t="inlineStr">
        <is>
          <t>04</t>
        </is>
      </c>
      <c r="F1776" s="20" t="n">
        <v>126617</v>
      </c>
      <c r="G1776" s="18" t="n"/>
      <c r="H1776" s="18" t="n"/>
      <c r="I1776" s="18" t="n"/>
      <c r="J1776" s="18" t="n"/>
      <c r="K1776" s="18" t="n"/>
      <c r="L1776" s="18" t="inlineStr">
        <is>
          <t>100k +  pop</t>
        </is>
      </c>
      <c r="M1776" s="22" t="n">
        <v>0</v>
      </c>
      <c r="N1776" s="22" t="n">
        <v>0</v>
      </c>
      <c r="O1776" s="18" t="n"/>
      <c r="P1776" s="22">
        <f>IF(O1776="",(About!$B$5*M1776+About!$B$6*N1776)/(About!$B$5+About!$B$6),About!$B$5*M1776+About!$B$6*N1776+About!$B$7*O1776)</f>
        <v/>
      </c>
      <c r="Q1776" s="23" t="n">
        <v>29.9983</v>
      </c>
      <c r="R1776" s="23" t="n">
        <v>73.2527</v>
      </c>
    </row>
    <row r="1777" ht="15" customHeight="1" s="12">
      <c r="A1777" s="18" t="inlineStr">
        <is>
          <t>Sogamoso</t>
        </is>
      </c>
      <c r="B1777" s="18" t="inlineStr">
        <is>
          <t>Colombia</t>
        </is>
      </c>
      <c r="C1777" s="19" t="n">
        <v>53057212</v>
      </c>
      <c r="D1777" s="18" t="inlineStr">
        <is>
          <t>CO</t>
        </is>
      </c>
      <c r="E1777" s="18" t="inlineStr">
        <is>
          <t>36</t>
        </is>
      </c>
      <c r="F1777" s="20" t="n">
        <v>126551</v>
      </c>
      <c r="G1777" s="18" t="n"/>
      <c r="H1777" s="18" t="n"/>
      <c r="I1777" s="18" t="n"/>
      <c r="J1777" s="18" t="n"/>
      <c r="K1777" s="18" t="n"/>
      <c r="L1777" s="18" t="inlineStr">
        <is>
          <t>100k +  pop</t>
        </is>
      </c>
      <c r="M1777" s="22" t="n">
        <v>0</v>
      </c>
      <c r="N1777" s="22" t="n">
        <v>0</v>
      </c>
      <c r="O1777" s="18" t="n"/>
      <c r="P1777" s="22">
        <f>IF(O1777="",(About!$B$5*M1777+About!$B$6*N1777)/(About!$B$5+About!$B$6),About!$B$5*M1777+About!$B$6*N1777+About!$B$7*O1777)</f>
        <v/>
      </c>
      <c r="Q1777" s="23" t="n">
        <v>5.7143</v>
      </c>
      <c r="R1777" s="23" t="n">
        <v>-72.93389999999999</v>
      </c>
    </row>
    <row r="1778" ht="15" customHeight="1" s="12">
      <c r="A1778" s="18" t="inlineStr">
        <is>
          <t>Edirne</t>
        </is>
      </c>
      <c r="B1778" s="18" t="inlineStr">
        <is>
          <t>Türkiye</t>
        </is>
      </c>
      <c r="C1778" s="19" t="n">
        <v>86092168</v>
      </c>
      <c r="D1778" s="18" t="inlineStr">
        <is>
          <t>TR</t>
        </is>
      </c>
      <c r="E1778" s="18" t="inlineStr">
        <is>
          <t>22</t>
        </is>
      </c>
      <c r="F1778" s="20" t="n">
        <v>126470</v>
      </c>
      <c r="G1778" s="18" t="n"/>
      <c r="H1778" s="18" t="n"/>
      <c r="I1778" s="18" t="n"/>
      <c r="J1778" s="18" t="n"/>
      <c r="K1778" s="18" t="n"/>
      <c r="L1778" s="18" t="inlineStr">
        <is>
          <t>100k +  pop</t>
        </is>
      </c>
      <c r="M1778" s="22" t="n">
        <v>0</v>
      </c>
      <c r="N1778" s="22" t="n">
        <v>0</v>
      </c>
      <c r="O1778" s="18" t="n"/>
      <c r="P1778" s="22">
        <f>IF(O1778="",(About!$B$5*M1778+About!$B$6*N1778)/(About!$B$5+About!$B$6),About!$B$5*M1778+About!$B$6*N1778+About!$B$7*O1778)</f>
        <v/>
      </c>
      <c r="Q1778" s="23" t="n">
        <v>41.6772</v>
      </c>
      <c r="R1778" s="23" t="n">
        <v>26.556</v>
      </c>
    </row>
    <row r="1779" ht="15" customHeight="1" s="12">
      <c r="A1779" s="18" t="inlineStr">
        <is>
          <t>Songea</t>
        </is>
      </c>
      <c r="B1779" s="18" t="inlineStr">
        <is>
          <t>Tanzania</t>
        </is>
      </c>
      <c r="C1779" s="19" t="n">
        <v>68153004</v>
      </c>
      <c r="D1779" s="18" t="inlineStr">
        <is>
          <t>TZ</t>
        </is>
      </c>
      <c r="E1779" s="18" t="inlineStr">
        <is>
          <t>14</t>
        </is>
      </c>
      <c r="F1779" s="20" t="n">
        <v>126449</v>
      </c>
      <c r="G1779" s="18" t="n"/>
      <c r="H1779" s="18" t="n"/>
      <c r="I1779" s="18" t="n"/>
      <c r="J1779" s="18" t="n"/>
      <c r="K1779" s="18" t="n"/>
      <c r="L1779" s="18" t="inlineStr">
        <is>
          <t>100k +  pop</t>
        </is>
      </c>
      <c r="M1779" s="22" t="n">
        <v>0</v>
      </c>
      <c r="N1779" s="22" t="n">
        <v>0</v>
      </c>
      <c r="O1779" s="18" t="n"/>
      <c r="P1779" s="22">
        <f>IF(O1779="",(About!$B$5*M1779+About!$B$6*N1779)/(About!$B$5+About!$B$6),About!$B$5*M1779+About!$B$6*N1779+About!$B$7*O1779)</f>
        <v/>
      </c>
      <c r="Q1779" s="23" t="n">
        <v>-10.6833</v>
      </c>
      <c r="R1779" s="23" t="n">
        <v>35.65</v>
      </c>
    </row>
    <row r="1780" ht="15" customHeight="1" s="12">
      <c r="A1780" s="18" t="inlineStr">
        <is>
          <t>Torbat-e Ḩeydarīyeh</t>
        </is>
      </c>
      <c r="B1780" s="18" t="inlineStr">
        <is>
          <t>Iran</t>
        </is>
      </c>
      <c r="C1780" s="19" t="n">
        <v>87134000</v>
      </c>
      <c r="D1780" s="18" t="inlineStr">
        <is>
          <t>IR</t>
        </is>
      </c>
      <c r="E1780" s="18" t="inlineStr">
        <is>
          <t>42</t>
        </is>
      </c>
      <c r="F1780" s="20" t="n">
        <v>125633</v>
      </c>
      <c r="G1780" s="18" t="n"/>
      <c r="H1780" s="18" t="n"/>
      <c r="I1780" s="18" t="n"/>
      <c r="J1780" s="18" t="n"/>
      <c r="K1780" s="18" t="n"/>
      <c r="L1780" s="18" t="inlineStr">
        <is>
          <t>100k +  pop</t>
        </is>
      </c>
      <c r="M1780" s="22" t="n">
        <v>0</v>
      </c>
      <c r="N1780" s="22" t="n">
        <v>0</v>
      </c>
      <c r="O1780" s="18" t="n"/>
      <c r="P1780" s="22">
        <f>IF(O1780="",(About!$B$5*M1780+About!$B$6*N1780)/(About!$B$5+About!$B$6),About!$B$5*M1780+About!$B$6*N1780+About!$B$7*O1780)</f>
        <v/>
      </c>
      <c r="Q1780" s="23" t="n">
        <v>35.274</v>
      </c>
      <c r="R1780" s="23" t="n">
        <v>59.2195</v>
      </c>
    </row>
    <row r="1781" ht="15" customHeight="1" s="12">
      <c r="A1781" s="18" t="inlineStr">
        <is>
          <t>Tando Adam</t>
        </is>
      </c>
      <c r="B1781" s="18" t="inlineStr">
        <is>
          <t>Pakistan</t>
        </is>
      </c>
      <c r="C1781" s="19" t="n">
        <v>241499431</v>
      </c>
      <c r="D1781" s="18" t="inlineStr">
        <is>
          <t>PK</t>
        </is>
      </c>
      <c r="E1781" s="18" t="inlineStr">
        <is>
          <t>05</t>
        </is>
      </c>
      <c r="F1781" s="20" t="n">
        <v>125598</v>
      </c>
      <c r="G1781" s="18" t="n"/>
      <c r="H1781" s="18" t="n"/>
      <c r="I1781" s="18" t="n"/>
      <c r="J1781" s="18" t="n"/>
      <c r="K1781" s="18" t="n"/>
      <c r="L1781" s="18" t="inlineStr">
        <is>
          <t>100k +  pop</t>
        </is>
      </c>
      <c r="M1781" s="22" t="n">
        <v>0</v>
      </c>
      <c r="N1781" s="22" t="n">
        <v>0</v>
      </c>
      <c r="O1781" s="18" t="n"/>
      <c r="P1781" s="22">
        <f>IF(O1781="",(About!$B$5*M1781+About!$B$6*N1781)/(About!$B$5+About!$B$6),About!$B$5*M1781+About!$B$6*N1781+About!$B$7*O1781)</f>
        <v/>
      </c>
      <c r="Q1781" s="23" t="n">
        <v>25.7682</v>
      </c>
      <c r="R1781" s="23" t="n">
        <v>68.66200000000001</v>
      </c>
    </row>
    <row r="1782" ht="15" customHeight="1" s="12">
      <c r="A1782" s="18" t="inlineStr">
        <is>
          <t>Koronadal</t>
        </is>
      </c>
      <c r="B1782" s="18" t="inlineStr">
        <is>
          <t>Philippines</t>
        </is>
      </c>
      <c r="C1782" s="19" t="n">
        <v>114123600</v>
      </c>
      <c r="D1782" s="18" t="inlineStr">
        <is>
          <t>PH</t>
        </is>
      </c>
      <c r="E1782" s="18" t="inlineStr">
        <is>
          <t>12</t>
        </is>
      </c>
      <c r="F1782" s="20" t="n">
        <v>125502</v>
      </c>
      <c r="G1782" s="18" t="n"/>
      <c r="H1782" s="18" t="n"/>
      <c r="I1782" s="18" t="n"/>
      <c r="J1782" s="18" t="n"/>
      <c r="K1782" s="18" t="n"/>
      <c r="L1782" s="18" t="inlineStr">
        <is>
          <t>100k +  pop</t>
        </is>
      </c>
      <c r="M1782" s="22" t="n">
        <v>0</v>
      </c>
      <c r="N1782" s="22" t="n">
        <v>0</v>
      </c>
      <c r="O1782" s="18" t="n"/>
      <c r="P1782" s="22">
        <f>IF(O1782="",(About!$B$5*M1782+About!$B$6*N1782)/(About!$B$5+About!$B$6),About!$B$5*M1782+About!$B$6*N1782+About!$B$7*O1782)</f>
        <v/>
      </c>
      <c r="Q1782" s="23" t="n">
        <v>6.5031</v>
      </c>
      <c r="R1782" s="23" t="n">
        <v>124.8469</v>
      </c>
    </row>
    <row r="1783" ht="15" customHeight="1" s="12">
      <c r="A1783" s="18" t="inlineStr">
        <is>
          <t>Derince</t>
        </is>
      </c>
      <c r="B1783" s="18" t="inlineStr">
        <is>
          <t>Türkiye</t>
        </is>
      </c>
      <c r="C1783" s="19" t="n">
        <v>86092168</v>
      </c>
      <c r="D1783" s="18" t="inlineStr">
        <is>
          <t>TR</t>
        </is>
      </c>
      <c r="E1783" s="18" t="inlineStr">
        <is>
          <t>41</t>
        </is>
      </c>
      <c r="F1783" s="20" t="n">
        <v>125485</v>
      </c>
      <c r="G1783" s="18" t="n"/>
      <c r="H1783" s="18" t="n"/>
      <c r="I1783" s="18" t="n"/>
      <c r="J1783" s="18" t="n"/>
      <c r="K1783" s="18" t="n"/>
      <c r="L1783" s="18" t="inlineStr">
        <is>
          <t>100k +  pop</t>
        </is>
      </c>
      <c r="M1783" s="22" t="n">
        <v>0</v>
      </c>
      <c r="N1783" s="22" t="n">
        <v>0</v>
      </c>
      <c r="O1783" s="18" t="n"/>
      <c r="P1783" s="22">
        <f>IF(O1783="",(About!$B$5*M1783+About!$B$6*N1783)/(About!$B$5+About!$B$6),About!$B$5*M1783+About!$B$6*N1783+About!$B$7*O1783)</f>
        <v/>
      </c>
      <c r="Q1783" s="23" t="n">
        <v>40.7569</v>
      </c>
      <c r="R1783" s="23" t="n">
        <v>29.8147</v>
      </c>
    </row>
    <row r="1784" ht="15" customHeight="1" s="12">
      <c r="A1784" s="18" t="inlineStr">
        <is>
          <t>Saint Peters</t>
        </is>
      </c>
      <c r="B1784" s="18" t="inlineStr">
        <is>
          <t>United Kingdom</t>
        </is>
      </c>
      <c r="C1784" s="19" t="n">
        <v>69487000</v>
      </c>
      <c r="D1784" s="18" t="inlineStr">
        <is>
          <t>GB</t>
        </is>
      </c>
      <c r="E1784" s="18" t="inlineStr">
        <is>
          <t>ENG</t>
        </is>
      </c>
      <c r="F1784" s="20" t="n">
        <v>125370</v>
      </c>
      <c r="G1784" s="18" t="n"/>
      <c r="H1784" s="18" t="n"/>
      <c r="I1784" s="18" t="n"/>
      <c r="J1784" s="18" t="n"/>
      <c r="K1784" s="18" t="n"/>
      <c r="L1784" s="18" t="inlineStr">
        <is>
          <t>100k +  pop</t>
        </is>
      </c>
      <c r="M1784" s="22" t="n">
        <v>0</v>
      </c>
      <c r="N1784" s="22" t="n">
        <v>0</v>
      </c>
      <c r="O1784" s="18" t="n"/>
      <c r="P1784" s="22">
        <f>IF(O1784="",(About!$B$5*M1784+About!$B$6*N1784)/(About!$B$5+About!$B$6),About!$B$5*M1784+About!$B$6*N1784+About!$B$7*O1784)</f>
        <v/>
      </c>
      <c r="Q1784" s="23" t="n">
        <v>51.3667</v>
      </c>
      <c r="R1784" s="23" t="n">
        <v>1.4167</v>
      </c>
    </row>
    <row r="1785" ht="15" customHeight="1" s="12">
      <c r="A1785" s="18" t="inlineStr">
        <is>
          <t>Beppu</t>
        </is>
      </c>
      <c r="B1785" s="18" t="inlineStr">
        <is>
          <t>Japan</t>
        </is>
      </c>
      <c r="C1785" s="19" t="n">
        <v>122810000</v>
      </c>
      <c r="D1785" s="18" t="inlineStr">
        <is>
          <t>JP</t>
        </is>
      </c>
      <c r="E1785" s="18" t="inlineStr">
        <is>
          <t>30</t>
        </is>
      </c>
      <c r="F1785" s="20" t="n">
        <v>125065</v>
      </c>
      <c r="G1785" s="18" t="n"/>
      <c r="H1785" s="18" t="n"/>
      <c r="I1785" s="18" t="n"/>
      <c r="J1785" s="18" t="n"/>
      <c r="K1785" s="18" t="n"/>
      <c r="L1785" s="18" t="inlineStr">
        <is>
          <t>100k +  pop</t>
        </is>
      </c>
      <c r="M1785" s="22" t="n">
        <v>0</v>
      </c>
      <c r="N1785" s="22" t="n">
        <v>0</v>
      </c>
      <c r="O1785" s="18" t="n"/>
      <c r="P1785" s="22">
        <f>IF(O1785="",(About!$B$5*M1785+About!$B$6*N1785)/(About!$B$5+About!$B$6),About!$B$5*M1785+About!$B$6*N1785+About!$B$7*O1785)</f>
        <v/>
      </c>
      <c r="Q1785" s="23" t="n">
        <v>33.2794</v>
      </c>
      <c r="R1785" s="23" t="n">
        <v>131.4975</v>
      </c>
    </row>
    <row r="1786" ht="15" customHeight="1" s="12">
      <c r="A1786" s="18" t="inlineStr">
        <is>
          <t>Soran</t>
        </is>
      </c>
      <c r="B1786" s="18" t="inlineStr">
        <is>
          <t>Iraq</t>
        </is>
      </c>
      <c r="C1786" s="19" t="n">
        <v>46118793</v>
      </c>
      <c r="D1786" s="18" t="inlineStr">
        <is>
          <t>IQ</t>
        </is>
      </c>
      <c r="E1786" s="18" t="inlineStr">
        <is>
          <t>11</t>
        </is>
      </c>
      <c r="F1786" s="20" t="n">
        <v>125000</v>
      </c>
      <c r="G1786" s="18" t="n"/>
      <c r="H1786" s="18" t="n"/>
      <c r="I1786" s="18" t="n"/>
      <c r="J1786" s="18" t="n"/>
      <c r="K1786" s="18" t="n"/>
      <c r="L1786" s="18" t="inlineStr">
        <is>
          <t>100k +  pop</t>
        </is>
      </c>
      <c r="M1786" s="22" t="n">
        <v>0</v>
      </c>
      <c r="N1786" s="22" t="n">
        <v>0</v>
      </c>
      <c r="O1786" s="18" t="n"/>
      <c r="P1786" s="22">
        <f>IF(O1786="",(About!$B$5*M1786+About!$B$6*N1786)/(About!$B$5+About!$B$6),About!$B$5*M1786+About!$B$6*N1786+About!$B$7*O1786)</f>
        <v/>
      </c>
      <c r="Q1786" s="23" t="n">
        <v>36.6532</v>
      </c>
      <c r="R1786" s="23" t="n">
        <v>44.5441</v>
      </c>
    </row>
    <row r="1787" ht="15" customHeight="1" s="12">
      <c r="A1787" s="18" t="inlineStr">
        <is>
          <t>Bălţi</t>
        </is>
      </c>
      <c r="B1787" s="18" t="inlineStr">
        <is>
          <t>Moldova</t>
        </is>
      </c>
      <c r="C1787" s="19" t="n">
        <v>2381300</v>
      </c>
      <c r="D1787" s="18" t="inlineStr">
        <is>
          <t>MD</t>
        </is>
      </c>
      <c r="E1787" s="18" t="inlineStr">
        <is>
          <t>60</t>
        </is>
      </c>
      <c r="F1787" s="20" t="n">
        <v>125000</v>
      </c>
      <c r="G1787" s="18" t="n"/>
      <c r="H1787" s="18" t="n"/>
      <c r="I1787" s="18" t="n"/>
      <c r="J1787" s="18" t="n"/>
      <c r="K1787" s="18" t="n"/>
      <c r="L1787" s="18" t="inlineStr">
        <is>
          <t>100k +  pop</t>
        </is>
      </c>
      <c r="M1787" s="22" t="n">
        <v>0</v>
      </c>
      <c r="N1787" s="22" t="n">
        <v>0</v>
      </c>
      <c r="O1787" s="18" t="n"/>
      <c r="P1787" s="22">
        <f>IF(O1787="",(About!$B$5*M1787+About!$B$6*N1787)/(About!$B$5+About!$B$6),About!$B$5*M1787+About!$B$6*N1787+About!$B$7*O1787)</f>
        <v/>
      </c>
      <c r="Q1787" s="23" t="n">
        <v>47.7631</v>
      </c>
      <c r="R1787" s="23" t="n">
        <v>27.9293</v>
      </c>
    </row>
    <row r="1788" ht="15" customHeight="1" s="12">
      <c r="A1788" s="18" t="inlineStr">
        <is>
          <t>Semnan</t>
        </is>
      </c>
      <c r="B1788" s="18" t="inlineStr">
        <is>
          <t>Iran</t>
        </is>
      </c>
      <c r="C1788" s="19" t="n">
        <v>87134000</v>
      </c>
      <c r="D1788" s="18" t="inlineStr">
        <is>
          <t>IR</t>
        </is>
      </c>
      <c r="E1788" s="18" t="inlineStr">
        <is>
          <t>25</t>
        </is>
      </c>
      <c r="F1788" s="20" t="n">
        <v>124826</v>
      </c>
      <c r="G1788" s="18" t="n"/>
      <c r="H1788" s="18" t="inlineStr">
        <is>
          <t>SNX</t>
        </is>
      </c>
      <c r="I1788" s="18" t="inlineStr">
        <is>
          <t>Semnan Municipal Airport</t>
        </is>
      </c>
      <c r="J1788" s="21" t="n">
        <v>9.5</v>
      </c>
      <c r="K1788" s="18" t="inlineStr">
        <is>
          <t>SNX</t>
        </is>
      </c>
      <c r="L1788" s="18" t="inlineStr">
        <is>
          <t>100k +  pop + airport</t>
        </is>
      </c>
      <c r="M1788" s="22" t="n">
        <v>0</v>
      </c>
      <c r="N1788" s="22" t="n">
        <v>0</v>
      </c>
      <c r="O1788" s="18" t="n"/>
      <c r="P1788" s="22">
        <f>IF(O1788="",(About!$B$5*M1788+About!$B$6*N1788)/(About!$B$5+About!$B$6),About!$B$5*M1788+About!$B$6*N1788+About!$B$7*O1788)</f>
        <v/>
      </c>
      <c r="Q1788" s="23" t="n">
        <v>35.5769</v>
      </c>
      <c r="R1788" s="23" t="n">
        <v>53.392</v>
      </c>
    </row>
    <row r="1789" ht="15" customHeight="1" s="12">
      <c r="A1789" s="18" t="inlineStr">
        <is>
          <t>New Mirpur</t>
        </is>
      </c>
      <c r="B1789" s="18" t="inlineStr">
        <is>
          <t>Pakistan</t>
        </is>
      </c>
      <c r="C1789" s="19" t="n">
        <v>241499431</v>
      </c>
      <c r="D1789" s="18" t="inlineStr">
        <is>
          <t>PK</t>
        </is>
      </c>
      <c r="E1789" s="18" t="inlineStr">
        <is>
          <t>06</t>
        </is>
      </c>
      <c r="F1789" s="20" t="n">
        <v>124352</v>
      </c>
      <c r="G1789" s="18" t="n"/>
      <c r="H1789" s="18" t="n"/>
      <c r="I1789" s="18" t="n"/>
      <c r="J1789" s="18" t="n"/>
      <c r="K1789" s="18" t="n"/>
      <c r="L1789" s="18" t="inlineStr">
        <is>
          <t>100k +  pop</t>
        </is>
      </c>
      <c r="M1789" s="22" t="n">
        <v>0</v>
      </c>
      <c r="N1789" s="22" t="n">
        <v>0</v>
      </c>
      <c r="O1789" s="18" t="n"/>
      <c r="P1789" s="22">
        <f>IF(O1789="",(About!$B$5*M1789+About!$B$6*N1789)/(About!$B$5+About!$B$6),About!$B$5*M1789+About!$B$6*N1789+About!$B$7*O1789)</f>
        <v/>
      </c>
      <c r="Q1789" s="23" t="n">
        <v>33.1478</v>
      </c>
      <c r="R1789" s="23" t="n">
        <v>73.75190000000001</v>
      </c>
    </row>
    <row r="1790" ht="15" customHeight="1" s="12">
      <c r="A1790" s="18" t="inlineStr">
        <is>
          <t>Agadez</t>
        </is>
      </c>
      <c r="B1790" s="18" t="inlineStr">
        <is>
          <t>Niger</t>
        </is>
      </c>
      <c r="C1790" s="19" t="n">
        <v>27522750</v>
      </c>
      <c r="D1790" s="18" t="inlineStr">
        <is>
          <t>NE</t>
        </is>
      </c>
      <c r="E1790" s="18" t="inlineStr">
        <is>
          <t>01</t>
        </is>
      </c>
      <c r="F1790" s="20" t="n">
        <v>124324</v>
      </c>
      <c r="G1790" s="18" t="n"/>
      <c r="H1790" s="18" t="n"/>
      <c r="I1790" s="18" t="n"/>
      <c r="J1790" s="18" t="n"/>
      <c r="K1790" s="18" t="n"/>
      <c r="L1790" s="18" t="inlineStr">
        <is>
          <t>100k +  pop</t>
        </is>
      </c>
      <c r="M1790" s="22" t="n">
        <v>0</v>
      </c>
      <c r="N1790" s="22" t="n">
        <v>0</v>
      </c>
      <c r="O1790" s="18" t="n"/>
      <c r="P1790" s="22">
        <f>IF(O1790="",(About!$B$5*M1790+About!$B$6*N1790)/(About!$B$5+About!$B$6),About!$B$5*M1790+About!$B$6*N1790+About!$B$7*O1790)</f>
        <v/>
      </c>
      <c r="Q1790" s="23" t="n">
        <v>16.9733</v>
      </c>
      <c r="R1790" s="23" t="n">
        <v>7.9911</v>
      </c>
    </row>
    <row r="1791" ht="15" customHeight="1" s="12">
      <c r="A1791" s="18" t="inlineStr">
        <is>
          <t>Marand</t>
        </is>
      </c>
      <c r="B1791" s="18" t="inlineStr">
        <is>
          <t>Iran</t>
        </is>
      </c>
      <c r="C1791" s="19" t="n">
        <v>87134000</v>
      </c>
      <c r="D1791" s="18" t="inlineStr">
        <is>
          <t>IR</t>
        </is>
      </c>
      <c r="E1791" s="18" t="inlineStr">
        <is>
          <t>33</t>
        </is>
      </c>
      <c r="F1791" s="20" t="n">
        <v>124191</v>
      </c>
      <c r="G1791" s="18" t="n"/>
      <c r="H1791" s="18" t="n"/>
      <c r="I1791" s="18" t="n"/>
      <c r="J1791" s="18" t="n"/>
      <c r="K1791" s="18" t="n"/>
      <c r="L1791" s="18" t="inlineStr">
        <is>
          <t>100k +  pop</t>
        </is>
      </c>
      <c r="M1791" s="22" t="n">
        <v>0</v>
      </c>
      <c r="N1791" s="22" t="n">
        <v>0</v>
      </c>
      <c r="O1791" s="18" t="n"/>
      <c r="P1791" s="22">
        <f>IF(O1791="",(About!$B$5*M1791+About!$B$6*N1791)/(About!$B$5+About!$B$6),About!$B$5*M1791+About!$B$6*N1791+About!$B$7*O1791)</f>
        <v/>
      </c>
      <c r="Q1791" s="23" t="n">
        <v>38.4329</v>
      </c>
      <c r="R1791" s="23" t="n">
        <v>45.7749</v>
      </c>
    </row>
    <row r="1792" ht="15" customHeight="1" s="12">
      <c r="A1792" s="18" t="inlineStr">
        <is>
          <t>Orléans</t>
        </is>
      </c>
      <c r="B1792" s="18" t="inlineStr">
        <is>
          <t>France</t>
        </is>
      </c>
      <c r="C1792" s="19" t="n">
        <v>69081996</v>
      </c>
      <c r="D1792" s="18" t="inlineStr">
        <is>
          <t>FR</t>
        </is>
      </c>
      <c r="E1792" s="18" t="inlineStr">
        <is>
          <t>24</t>
        </is>
      </c>
      <c r="F1792" s="20" t="n">
        <v>124149</v>
      </c>
      <c r="G1792" s="18" t="n"/>
      <c r="H1792" s="18" t="n"/>
      <c r="I1792" s="18" t="n"/>
      <c r="J1792" s="18" t="n"/>
      <c r="K1792" s="18" t="n"/>
      <c r="L1792" s="18" t="inlineStr">
        <is>
          <t>100k +  pop</t>
        </is>
      </c>
      <c r="M1792" s="22" t="n">
        <v>0</v>
      </c>
      <c r="N1792" s="22" t="n">
        <v>0</v>
      </c>
      <c r="O1792" s="18" t="n"/>
      <c r="P1792" s="22">
        <f>IF(O1792="",(About!$B$5*M1792+About!$B$6*N1792)/(About!$B$5+About!$B$6),About!$B$5*M1792+About!$B$6*N1792+About!$B$7*O1792)</f>
        <v/>
      </c>
      <c r="Q1792" s="23" t="n">
        <v>47.9029</v>
      </c>
      <c r="R1792" s="23" t="n">
        <v>1.9039</v>
      </c>
    </row>
    <row r="1793" ht="15" customHeight="1" s="12">
      <c r="A1793" s="18" t="inlineStr">
        <is>
          <t>Rustenburg</t>
        </is>
      </c>
      <c r="B1793" s="18" t="inlineStr">
        <is>
          <t>South Africa</t>
        </is>
      </c>
      <c r="C1793" s="19" t="n">
        <v>63100945</v>
      </c>
      <c r="D1793" s="18" t="inlineStr">
        <is>
          <t>ZA</t>
        </is>
      </c>
      <c r="E1793" s="18" t="inlineStr">
        <is>
          <t>10</t>
        </is>
      </c>
      <c r="F1793" s="20" t="n">
        <v>124064</v>
      </c>
      <c r="G1793" s="18" t="n"/>
      <c r="H1793" s="18" t="n"/>
      <c r="I1793" s="18" t="n"/>
      <c r="J1793" s="18" t="n"/>
      <c r="K1793" s="18" t="n"/>
      <c r="L1793" s="18" t="inlineStr">
        <is>
          <t>100k +  pop</t>
        </is>
      </c>
      <c r="M1793" s="22" t="n">
        <v>0</v>
      </c>
      <c r="N1793" s="22" t="n">
        <v>0</v>
      </c>
      <c r="O1793" s="18" t="n"/>
      <c r="P1793" s="22">
        <f>IF(O1793="",(About!$B$5*M1793+About!$B$6*N1793)/(About!$B$5+About!$B$6),About!$B$5*M1793+About!$B$6*N1793+About!$B$7*O1793)</f>
        <v/>
      </c>
      <c r="Q1793" s="23" t="n">
        <v>-25.6676</v>
      </c>
      <c r="R1793" s="23" t="n">
        <v>27.2421</v>
      </c>
    </row>
    <row r="1794" ht="15" customHeight="1" s="12">
      <c r="A1794" s="18" t="inlineStr">
        <is>
          <t>Thaton</t>
        </is>
      </c>
      <c r="B1794" s="18" t="inlineStr">
        <is>
          <t>Myanmar</t>
        </is>
      </c>
      <c r="C1794" s="19" t="n">
        <v>51375327</v>
      </c>
      <c r="D1794" s="18" t="inlineStr">
        <is>
          <t>MM</t>
        </is>
      </c>
      <c r="E1794" s="18" t="inlineStr">
        <is>
          <t>13</t>
        </is>
      </c>
      <c r="F1794" s="20" t="n">
        <v>123727</v>
      </c>
      <c r="G1794" s="18" t="n"/>
      <c r="H1794" s="18" t="n"/>
      <c r="I1794" s="18" t="n"/>
      <c r="J1794" s="18" t="n"/>
      <c r="K1794" s="18" t="n"/>
      <c r="L1794" s="18" t="inlineStr">
        <is>
          <t>100k +  pop</t>
        </is>
      </c>
      <c r="M1794" s="22" t="n">
        <v>0</v>
      </c>
      <c r="N1794" s="22" t="n">
        <v>0</v>
      </c>
      <c r="O1794" s="18" t="n"/>
      <c r="P1794" s="22">
        <f>IF(O1794="",(About!$B$5*M1794+About!$B$6*N1794)/(About!$B$5+About!$B$6),About!$B$5*M1794+About!$B$6*N1794+About!$B$7*O1794)</f>
        <v/>
      </c>
      <c r="Q1794" s="23" t="n">
        <v>16.9187</v>
      </c>
      <c r="R1794" s="23" t="n">
        <v>97.37</v>
      </c>
    </row>
    <row r="1795" ht="15" customHeight="1" s="12">
      <c r="A1795" s="18" t="inlineStr">
        <is>
          <t>Potchefstroom</t>
        </is>
      </c>
      <c r="B1795" s="18" t="inlineStr">
        <is>
          <t>South Africa</t>
        </is>
      </c>
      <c r="C1795" s="19" t="n">
        <v>63100945</v>
      </c>
      <c r="D1795" s="18" t="inlineStr">
        <is>
          <t>ZA</t>
        </is>
      </c>
      <c r="E1795" s="18" t="inlineStr">
        <is>
          <t>10</t>
        </is>
      </c>
      <c r="F1795" s="20" t="n">
        <v>123669</v>
      </c>
      <c r="G1795" s="18" t="n"/>
      <c r="H1795" s="18" t="n"/>
      <c r="I1795" s="18" t="n"/>
      <c r="J1795" s="18" t="n"/>
      <c r="K1795" s="18" t="n"/>
      <c r="L1795" s="18" t="inlineStr">
        <is>
          <t>100k +  pop</t>
        </is>
      </c>
      <c r="M1795" s="22" t="n">
        <v>0</v>
      </c>
      <c r="N1795" s="22" t="n">
        <v>0</v>
      </c>
      <c r="O1795" s="18" t="n"/>
      <c r="P1795" s="22">
        <f>IF(O1795="",(About!$B$5*M1795+About!$B$6*N1795)/(About!$B$5+About!$B$6),About!$B$5*M1795+About!$B$6*N1795+About!$B$7*O1795)</f>
        <v/>
      </c>
      <c r="Q1795" s="23" t="n">
        <v>-26.7167</v>
      </c>
      <c r="R1795" s="23" t="n">
        <v>27.1</v>
      </c>
    </row>
    <row r="1796" ht="15" customHeight="1" s="12">
      <c r="A1796" s="18" t="inlineStr">
        <is>
          <t>Guelma</t>
        </is>
      </c>
      <c r="B1796" s="18" t="inlineStr">
        <is>
          <t>Algeria</t>
        </is>
      </c>
      <c r="C1796" s="19" t="n">
        <v>47400000</v>
      </c>
      <c r="D1796" s="18" t="inlineStr">
        <is>
          <t>DZ</t>
        </is>
      </c>
      <c r="E1796" s="18" t="inlineStr">
        <is>
          <t>23</t>
        </is>
      </c>
      <c r="F1796" s="20" t="n">
        <v>123590</v>
      </c>
      <c r="G1796" s="18" t="n"/>
      <c r="H1796" s="18" t="n"/>
      <c r="I1796" s="18" t="n"/>
      <c r="J1796" s="18" t="n"/>
      <c r="K1796" s="18" t="n"/>
      <c r="L1796" s="18" t="inlineStr">
        <is>
          <t>100k +  pop</t>
        </is>
      </c>
      <c r="M1796" s="22" t="n">
        <v>0</v>
      </c>
      <c r="N1796" s="22" t="n">
        <v>0</v>
      </c>
      <c r="O1796" s="18" t="n"/>
      <c r="P1796" s="22">
        <f>IF(O1796="",(About!$B$5*M1796+About!$B$6*N1796)/(About!$B$5+About!$B$6),About!$B$5*M1796+About!$B$6*N1796+About!$B$7*O1796)</f>
        <v/>
      </c>
      <c r="Q1796" s="23" t="n">
        <v>36.4621</v>
      </c>
      <c r="R1796" s="23" t="n">
        <v>7.4261</v>
      </c>
    </row>
    <row r="1797" ht="15" customHeight="1" s="12">
      <c r="A1797" s="18" t="inlineStr">
        <is>
          <t>Hagonoy</t>
        </is>
      </c>
      <c r="B1797" s="18" t="inlineStr">
        <is>
          <t>Philippines</t>
        </is>
      </c>
      <c r="C1797" s="19" t="n">
        <v>114123600</v>
      </c>
      <c r="D1797" s="18" t="inlineStr">
        <is>
          <t>PH</t>
        </is>
      </c>
      <c r="E1797" s="18" t="inlineStr">
        <is>
          <t>03</t>
        </is>
      </c>
      <c r="F1797" s="20" t="n">
        <v>123531</v>
      </c>
      <c r="G1797" s="18" t="n"/>
      <c r="H1797" s="18" t="n"/>
      <c r="I1797" s="18" t="n"/>
      <c r="J1797" s="18" t="n"/>
      <c r="K1797" s="18" t="n"/>
      <c r="L1797" s="18" t="inlineStr">
        <is>
          <t>100k +  pop</t>
        </is>
      </c>
      <c r="M1797" s="22" t="n">
        <v>0</v>
      </c>
      <c r="N1797" s="22" t="n">
        <v>0</v>
      </c>
      <c r="O1797" s="18" t="n"/>
      <c r="P1797" s="22">
        <f>IF(O1797="",(About!$B$5*M1797+About!$B$6*N1797)/(About!$B$5+About!$B$6),About!$B$5*M1797+About!$B$6*N1797+About!$B$7*O1797)</f>
        <v/>
      </c>
      <c r="Q1797" s="23" t="n">
        <v>14.8341</v>
      </c>
      <c r="R1797" s="23" t="n">
        <v>120.7327</v>
      </c>
    </row>
    <row r="1798" ht="15" customHeight="1" s="12">
      <c r="A1798" s="18" t="inlineStr">
        <is>
          <t>Wolfsburg</t>
        </is>
      </c>
      <c r="B1798" s="18" t="inlineStr">
        <is>
          <t>Germany</t>
        </is>
      </c>
      <c r="C1798" s="19" t="n">
        <v>83497147</v>
      </c>
      <c r="D1798" s="18" t="inlineStr">
        <is>
          <t>DE</t>
        </is>
      </c>
      <c r="E1798" s="18" t="inlineStr">
        <is>
          <t>06</t>
        </is>
      </c>
      <c r="F1798" s="20" t="n">
        <v>123064</v>
      </c>
      <c r="G1798" s="18" t="n"/>
      <c r="H1798" s="18" t="n"/>
      <c r="I1798" s="18" t="n"/>
      <c r="J1798" s="18" t="n"/>
      <c r="K1798" s="18" t="n"/>
      <c r="L1798" s="18" t="inlineStr">
        <is>
          <t>100k +  pop</t>
        </is>
      </c>
      <c r="M1798" s="22" t="n">
        <v>0</v>
      </c>
      <c r="N1798" s="22" t="n">
        <v>0</v>
      </c>
      <c r="O1798" s="18" t="n"/>
      <c r="P1798" s="22">
        <f>IF(O1798="",(About!$B$5*M1798+About!$B$6*N1798)/(About!$B$5+About!$B$6),About!$B$5*M1798+About!$B$6*N1798+About!$B$7*O1798)</f>
        <v/>
      </c>
      <c r="Q1798" s="23" t="n">
        <v>52.4245</v>
      </c>
      <c r="R1798" s="23" t="n">
        <v>10.7815</v>
      </c>
    </row>
    <row r="1799" ht="15" customHeight="1" s="12">
      <c r="A1799" s="18" t="inlineStr">
        <is>
          <t>Virginia</t>
        </is>
      </c>
      <c r="B1799" s="18" t="inlineStr">
        <is>
          <t>South Africa</t>
        </is>
      </c>
      <c r="C1799" s="19" t="n">
        <v>63100945</v>
      </c>
      <c r="D1799" s="18" t="inlineStr">
        <is>
          <t>ZA</t>
        </is>
      </c>
      <c r="E1799" s="18" t="inlineStr">
        <is>
          <t>03</t>
        </is>
      </c>
      <c r="F1799" s="20" t="n">
        <v>122502</v>
      </c>
      <c r="G1799" s="18" t="n"/>
      <c r="H1799" s="18" t="n"/>
      <c r="I1799" s="18" t="n"/>
      <c r="J1799" s="18" t="n"/>
      <c r="K1799" s="18" t="n"/>
      <c r="L1799" s="18" t="inlineStr">
        <is>
          <t>100k +  pop</t>
        </is>
      </c>
      <c r="M1799" s="22" t="n">
        <v>0</v>
      </c>
      <c r="N1799" s="22" t="n">
        <v>0</v>
      </c>
      <c r="O1799" s="18" t="n"/>
      <c r="P1799" s="22">
        <f>IF(O1799="",(About!$B$5*M1799+About!$B$6*N1799)/(About!$B$5+About!$B$6),About!$B$5*M1799+About!$B$6*N1799+About!$B$7*O1799)</f>
        <v/>
      </c>
      <c r="Q1799" s="23" t="n">
        <v>-28.1039</v>
      </c>
      <c r="R1799" s="23" t="n">
        <v>26.8659</v>
      </c>
    </row>
    <row r="1800" ht="15" customHeight="1" s="12">
      <c r="A1800" s="18" t="inlineStr">
        <is>
          <t>Brits</t>
        </is>
      </c>
      <c r="B1800" s="18" t="inlineStr">
        <is>
          <t>South Africa</t>
        </is>
      </c>
      <c r="C1800" s="19" t="n">
        <v>63100945</v>
      </c>
      <c r="D1800" s="18" t="inlineStr">
        <is>
          <t>ZA</t>
        </is>
      </c>
      <c r="E1800" s="18" t="inlineStr">
        <is>
          <t>10</t>
        </is>
      </c>
      <c r="F1800" s="20" t="n">
        <v>122497</v>
      </c>
      <c r="G1800" s="18" t="n"/>
      <c r="H1800" s="18" t="n"/>
      <c r="I1800" s="18" t="n"/>
      <c r="J1800" s="18" t="n"/>
      <c r="K1800" s="18" t="n"/>
      <c r="L1800" s="18" t="inlineStr">
        <is>
          <t>100k +  pop</t>
        </is>
      </c>
      <c r="M1800" s="22" t="n">
        <v>0</v>
      </c>
      <c r="N1800" s="22" t="n">
        <v>0</v>
      </c>
      <c r="O1800" s="18" t="n"/>
      <c r="P1800" s="22">
        <f>IF(O1800="",(About!$B$5*M1800+About!$B$6*N1800)/(About!$B$5+About!$B$6),About!$B$5*M1800+About!$B$6*N1800+About!$B$7*O1800)</f>
        <v/>
      </c>
      <c r="Q1800" s="23" t="n">
        <v>-25.6347</v>
      </c>
      <c r="R1800" s="23" t="n">
        <v>27.7802</v>
      </c>
    </row>
    <row r="1801" ht="15" customHeight="1" s="12">
      <c r="A1801" s="18" t="inlineStr">
        <is>
          <t>Recklinghausen</t>
        </is>
      </c>
      <c r="B1801" s="18" t="inlineStr">
        <is>
          <t>Germany</t>
        </is>
      </c>
      <c r="C1801" s="19" t="n">
        <v>83497147</v>
      </c>
      <c r="D1801" s="18" t="inlineStr">
        <is>
          <t>DE</t>
        </is>
      </c>
      <c r="E1801" s="18" t="inlineStr">
        <is>
          <t>07</t>
        </is>
      </c>
      <c r="F1801" s="20" t="n">
        <v>122438</v>
      </c>
      <c r="G1801" s="18" t="n"/>
      <c r="H1801" s="18" t="n"/>
      <c r="I1801" s="18" t="n"/>
      <c r="J1801" s="18" t="n"/>
      <c r="K1801" s="18" t="n"/>
      <c r="L1801" s="18" t="inlineStr">
        <is>
          <t>100k +  pop</t>
        </is>
      </c>
      <c r="M1801" s="22" t="n">
        <v>0</v>
      </c>
      <c r="N1801" s="22" t="n">
        <v>0</v>
      </c>
      <c r="O1801" s="18" t="n"/>
      <c r="P1801" s="22">
        <f>IF(O1801="",(About!$B$5*M1801+About!$B$6*N1801)/(About!$B$5+About!$B$6),About!$B$5*M1801+About!$B$6*N1801+About!$B$7*O1801)</f>
        <v/>
      </c>
      <c r="Q1801" s="23" t="n">
        <v>51.6138</v>
      </c>
      <c r="R1801" s="23" t="n">
        <v>7.1974</v>
      </c>
    </row>
    <row r="1802" ht="15" customHeight="1" s="12">
      <c r="A1802" s="18" t="inlineStr">
        <is>
          <t>Mỹ Tho</t>
        </is>
      </c>
      <c r="B1802" s="18" t="inlineStr">
        <is>
          <t>Vietnam</t>
        </is>
      </c>
      <c r="C1802" s="19" t="n">
        <v>102300000</v>
      </c>
      <c r="D1802" s="18" t="inlineStr">
        <is>
          <t>VN</t>
        </is>
      </c>
      <c r="E1802" s="18" t="inlineStr">
        <is>
          <t>37</t>
        </is>
      </c>
      <c r="F1802" s="20" t="n">
        <v>122310</v>
      </c>
      <c r="G1802" s="18" t="n"/>
      <c r="H1802" s="18" t="n"/>
      <c r="I1802" s="18" t="n"/>
      <c r="J1802" s="18" t="n"/>
      <c r="K1802" s="18" t="n"/>
      <c r="L1802" s="18" t="inlineStr">
        <is>
          <t>100k +  pop</t>
        </is>
      </c>
      <c r="M1802" s="22" t="n">
        <v>0</v>
      </c>
      <c r="N1802" s="22" t="n">
        <v>0</v>
      </c>
      <c r="O1802" s="18" t="n"/>
      <c r="P1802" s="22">
        <f>IF(O1802="",(About!$B$5*M1802+About!$B$6*N1802)/(About!$B$5+About!$B$6),About!$B$5*M1802+About!$B$6*N1802+About!$B$7*O1802)</f>
        <v/>
      </c>
      <c r="Q1802" s="23" t="n">
        <v>10.36</v>
      </c>
      <c r="R1802" s="23" t="n">
        <v>106.36</v>
      </c>
    </row>
    <row r="1803" ht="15" customHeight="1" s="12">
      <c r="A1803" s="18" t="inlineStr">
        <is>
          <t>Tekirdağ</t>
        </is>
      </c>
      <c r="B1803" s="18" t="inlineStr">
        <is>
          <t>Türkiye</t>
        </is>
      </c>
      <c r="C1803" s="19" t="n">
        <v>86092168</v>
      </c>
      <c r="D1803" s="18" t="inlineStr">
        <is>
          <t>TR</t>
        </is>
      </c>
      <c r="E1803" s="18" t="inlineStr">
        <is>
          <t>59</t>
        </is>
      </c>
      <c r="F1803" s="20" t="n">
        <v>122287</v>
      </c>
      <c r="G1803" s="18" t="n"/>
      <c r="H1803" s="18" t="n"/>
      <c r="I1803" s="18" t="n"/>
      <c r="J1803" s="18" t="n"/>
      <c r="K1803" s="18" t="n"/>
      <c r="L1803" s="18" t="inlineStr">
        <is>
          <t>100k +  pop</t>
        </is>
      </c>
      <c r="M1803" s="22" t="n">
        <v>0</v>
      </c>
      <c r="N1803" s="22" t="n">
        <v>0</v>
      </c>
      <c r="O1803" s="18" t="n"/>
      <c r="P1803" s="22">
        <f>IF(O1803="",(About!$B$5*M1803+About!$B$6*N1803)/(About!$B$5+About!$B$6),About!$B$5*M1803+About!$B$6*N1803+About!$B$7*O1803)</f>
        <v/>
      </c>
      <c r="Q1803" s="23" t="n">
        <v>40.9781</v>
      </c>
      <c r="R1803" s="23" t="n">
        <v>27.511</v>
      </c>
    </row>
    <row r="1804" ht="15" customHeight="1" s="12">
      <c r="A1804" s="18" t="inlineStr">
        <is>
          <t>Chishtian</t>
        </is>
      </c>
      <c r="B1804" s="18" t="inlineStr">
        <is>
          <t>Pakistan</t>
        </is>
      </c>
      <c r="C1804" s="19" t="n">
        <v>241499431</v>
      </c>
      <c r="D1804" s="18" t="inlineStr">
        <is>
          <t>PK</t>
        </is>
      </c>
      <c r="E1804" s="18" t="inlineStr">
        <is>
          <t>04</t>
        </is>
      </c>
      <c r="F1804" s="20" t="n">
        <v>122199</v>
      </c>
      <c r="G1804" s="18" t="n"/>
      <c r="H1804" s="18" t="n"/>
      <c r="I1804" s="18" t="n"/>
      <c r="J1804" s="18" t="n"/>
      <c r="K1804" s="18" t="n"/>
      <c r="L1804" s="18" t="inlineStr">
        <is>
          <t>100k +  pop</t>
        </is>
      </c>
      <c r="M1804" s="22" t="n">
        <v>0</v>
      </c>
      <c r="N1804" s="22" t="n">
        <v>0</v>
      </c>
      <c r="O1804" s="18" t="n"/>
      <c r="P1804" s="22">
        <f>IF(O1804="",(About!$B$5*M1804+About!$B$6*N1804)/(About!$B$5+About!$B$6),About!$B$5*M1804+About!$B$6*N1804+About!$B$7*O1804)</f>
        <v/>
      </c>
      <c r="Q1804" s="23" t="n">
        <v>29.7971</v>
      </c>
      <c r="R1804" s="23" t="n">
        <v>72.85769999999999</v>
      </c>
    </row>
    <row r="1805" ht="15" customHeight="1" s="12">
      <c r="A1805" s="18" t="inlineStr">
        <is>
          <t>Göttingen</t>
        </is>
      </c>
      <c r="B1805" s="18" t="inlineStr">
        <is>
          <t>Germany</t>
        </is>
      </c>
      <c r="C1805" s="19" t="n">
        <v>83497147</v>
      </c>
      <c r="D1805" s="18" t="inlineStr">
        <is>
          <t>DE</t>
        </is>
      </c>
      <c r="E1805" s="18" t="inlineStr">
        <is>
          <t>06</t>
        </is>
      </c>
      <c r="F1805" s="20" t="n">
        <v>122149</v>
      </c>
      <c r="G1805" s="18" t="n"/>
      <c r="H1805" s="18" t="n"/>
      <c r="I1805" s="18" t="n"/>
      <c r="J1805" s="18" t="n"/>
      <c r="K1805" s="18" t="n"/>
      <c r="L1805" s="18" t="inlineStr">
        <is>
          <t>100k +  pop</t>
        </is>
      </c>
      <c r="M1805" s="22" t="n">
        <v>0</v>
      </c>
      <c r="N1805" s="22" t="n">
        <v>0</v>
      </c>
      <c r="O1805" s="18" t="n"/>
      <c r="P1805" s="22">
        <f>IF(O1805="",(About!$B$5*M1805+About!$B$6*N1805)/(About!$B$5+About!$B$6),About!$B$5*M1805+About!$B$6*N1805+About!$B$7*O1805)</f>
        <v/>
      </c>
      <c r="Q1805" s="23" t="n">
        <v>51.5344</v>
      </c>
      <c r="R1805" s="23" t="n">
        <v>9.9323</v>
      </c>
    </row>
    <row r="1806" ht="15" customHeight="1" s="12">
      <c r="A1806" s="18" t="inlineStr">
        <is>
          <t>Zābol</t>
        </is>
      </c>
      <c r="B1806" s="18" t="inlineStr">
        <is>
          <t>Iran</t>
        </is>
      </c>
      <c r="C1806" s="19" t="n">
        <v>87134000</v>
      </c>
      <c r="D1806" s="18" t="inlineStr">
        <is>
          <t>IR</t>
        </is>
      </c>
      <c r="E1806" s="18" t="inlineStr">
        <is>
          <t>04</t>
        </is>
      </c>
      <c r="F1806" s="20" t="n">
        <v>121989</v>
      </c>
      <c r="G1806" s="18" t="n"/>
      <c r="H1806" s="18" t="n"/>
      <c r="I1806" s="18" t="n"/>
      <c r="J1806" s="18" t="n"/>
      <c r="K1806" s="18" t="n"/>
      <c r="L1806" s="18" t="inlineStr">
        <is>
          <t>100k +  pop</t>
        </is>
      </c>
      <c r="M1806" s="22" t="n">
        <v>0</v>
      </c>
      <c r="N1806" s="22" t="n">
        <v>0</v>
      </c>
      <c r="O1806" s="18" t="n"/>
      <c r="P1806" s="22">
        <f>IF(O1806="",(About!$B$5*M1806+About!$B$6*N1806)/(About!$B$5+About!$B$6),About!$B$5*M1806+About!$B$6*N1806+About!$B$7*O1806)</f>
        <v/>
      </c>
      <c r="Q1806" s="23" t="n">
        <v>31.0306</v>
      </c>
      <c r="R1806" s="23" t="n">
        <v>61.4949</v>
      </c>
    </row>
    <row r="1807" ht="15" customHeight="1" s="12">
      <c r="A1807" s="18" t="inlineStr">
        <is>
          <t>Colchester</t>
        </is>
      </c>
      <c r="B1807" s="18" t="inlineStr">
        <is>
          <t>United Kingdom</t>
        </is>
      </c>
      <c r="C1807" s="19" t="n">
        <v>69487000</v>
      </c>
      <c r="D1807" s="18" t="inlineStr">
        <is>
          <t>GB</t>
        </is>
      </c>
      <c r="E1807" s="18" t="inlineStr">
        <is>
          <t>ENG</t>
        </is>
      </c>
      <c r="F1807" s="20" t="n">
        <v>121859</v>
      </c>
      <c r="G1807" s="18" t="n"/>
      <c r="H1807" s="18" t="n"/>
      <c r="I1807" s="18" t="n"/>
      <c r="J1807" s="18" t="n"/>
      <c r="K1807" s="18" t="n"/>
      <c r="L1807" s="18" t="inlineStr">
        <is>
          <t>100k +  pop</t>
        </is>
      </c>
      <c r="M1807" s="22" t="n">
        <v>0</v>
      </c>
      <c r="N1807" s="22" t="n">
        <v>0</v>
      </c>
      <c r="O1807" s="18" t="n"/>
      <c r="P1807" s="22">
        <f>IF(O1807="",(About!$B$5*M1807+About!$B$6*N1807)/(About!$B$5+About!$B$6),About!$B$5*M1807+About!$B$6*N1807+About!$B$7*O1807)</f>
        <v/>
      </c>
      <c r="Q1807" s="23" t="n">
        <v>51.8892</v>
      </c>
      <c r="R1807" s="23" t="n">
        <v>0.9042</v>
      </c>
    </row>
    <row r="1808" ht="15" customHeight="1" s="12">
      <c r="A1808" s="18" t="inlineStr">
        <is>
          <t>Mataró</t>
        </is>
      </c>
      <c r="B1808" s="18" t="inlineStr">
        <is>
          <t>Spain</t>
        </is>
      </c>
      <c r="C1808" s="19" t="n">
        <v>49687120</v>
      </c>
      <c r="D1808" s="18" t="inlineStr">
        <is>
          <t>ES</t>
        </is>
      </c>
      <c r="E1808" s="18" t="inlineStr">
        <is>
          <t>56</t>
        </is>
      </c>
      <c r="F1808" s="20" t="n">
        <v>121722</v>
      </c>
      <c r="G1808" s="18" t="n"/>
      <c r="H1808" s="18" t="n"/>
      <c r="I1808" s="18" t="n"/>
      <c r="J1808" s="18" t="n"/>
      <c r="K1808" s="18" t="n"/>
      <c r="L1808" s="18" t="inlineStr">
        <is>
          <t>100k +  pop</t>
        </is>
      </c>
      <c r="M1808" s="22" t="n">
        <v>0</v>
      </c>
      <c r="N1808" s="22" t="n">
        <v>0</v>
      </c>
      <c r="O1808" s="18" t="n"/>
      <c r="P1808" s="22">
        <f>IF(O1808="",(About!$B$5*M1808+About!$B$6*N1808)/(About!$B$5+About!$B$6),About!$B$5*M1808+About!$B$6*N1808+About!$B$7*O1808)</f>
        <v/>
      </c>
      <c r="Q1808" s="23" t="n">
        <v>41.5421</v>
      </c>
      <c r="R1808" s="23" t="n">
        <v>2.4445</v>
      </c>
    </row>
    <row r="1809" ht="15" customHeight="1" s="12">
      <c r="A1809" s="18" t="inlineStr">
        <is>
          <t>Heilbronn</t>
        </is>
      </c>
      <c r="B1809" s="18" t="inlineStr">
        <is>
          <t>Germany</t>
        </is>
      </c>
      <c r="C1809" s="19" t="n">
        <v>83497147</v>
      </c>
      <c r="D1809" s="18" t="inlineStr">
        <is>
          <t>DE</t>
        </is>
      </c>
      <c r="E1809" s="18" t="inlineStr">
        <is>
          <t>01</t>
        </is>
      </c>
      <c r="F1809" s="20" t="n">
        <v>120733</v>
      </c>
      <c r="G1809" s="18" t="n"/>
      <c r="H1809" s="18" t="n"/>
      <c r="I1809" s="18" t="n"/>
      <c r="J1809" s="18" t="n"/>
      <c r="K1809" s="18" t="n"/>
      <c r="L1809" s="18" t="inlineStr">
        <is>
          <t>100k +  pop</t>
        </is>
      </c>
      <c r="M1809" s="22" t="n">
        <v>0</v>
      </c>
      <c r="N1809" s="22" t="n">
        <v>0</v>
      </c>
      <c r="O1809" s="18" t="n"/>
      <c r="P1809" s="22">
        <f>IF(O1809="",(About!$B$5*M1809+About!$B$6*N1809)/(About!$B$5+About!$B$6),About!$B$5*M1809+About!$B$6*N1809+About!$B$7*O1809)</f>
        <v/>
      </c>
      <c r="Q1809" s="23" t="n">
        <v>49.1399</v>
      </c>
      <c r="R1809" s="23" t="n">
        <v>9.220499999999999</v>
      </c>
    </row>
    <row r="1810" ht="15" customHeight="1" s="12">
      <c r="A1810" s="18" t="inlineStr">
        <is>
          <t>Ingolstadt</t>
        </is>
      </c>
      <c r="B1810" s="18" t="inlineStr">
        <is>
          <t>Germany</t>
        </is>
      </c>
      <c r="C1810" s="19" t="n">
        <v>83497147</v>
      </c>
      <c r="D1810" s="18" t="inlineStr">
        <is>
          <t>DE</t>
        </is>
      </c>
      <c r="E1810" s="18" t="inlineStr">
        <is>
          <t>02</t>
        </is>
      </c>
      <c r="F1810" s="20" t="n">
        <v>120658</v>
      </c>
      <c r="G1810" s="18" t="n"/>
      <c r="H1810" s="18" t="n"/>
      <c r="I1810" s="18" t="n"/>
      <c r="J1810" s="18" t="n"/>
      <c r="K1810" s="18" t="n"/>
      <c r="L1810" s="18" t="inlineStr">
        <is>
          <t>100k +  pop</t>
        </is>
      </c>
      <c r="M1810" s="22" t="n">
        <v>0</v>
      </c>
      <c r="N1810" s="22" t="n">
        <v>0</v>
      </c>
      <c r="O1810" s="18" t="n"/>
      <c r="P1810" s="22">
        <f>IF(O1810="",(About!$B$5*M1810+About!$B$6*N1810)/(About!$B$5+About!$B$6),About!$B$5*M1810+About!$B$6*N1810+About!$B$7*O1810)</f>
        <v/>
      </c>
      <c r="Q1810" s="23" t="n">
        <v>48.7651</v>
      </c>
      <c r="R1810" s="23" t="n">
        <v>11.4237</v>
      </c>
    </row>
    <row r="1811" ht="15" customHeight="1" s="12">
      <c r="A1811" s="18" t="inlineStr">
        <is>
          <t>Ulm</t>
        </is>
      </c>
      <c r="B1811" s="18" t="inlineStr">
        <is>
          <t>Germany</t>
        </is>
      </c>
      <c r="C1811" s="19" t="n">
        <v>83497147</v>
      </c>
      <c r="D1811" s="18" t="inlineStr">
        <is>
          <t>DE</t>
        </is>
      </c>
      <c r="E1811" s="18" t="inlineStr">
        <is>
          <t>01</t>
        </is>
      </c>
      <c r="F1811" s="20" t="n">
        <v>120451</v>
      </c>
      <c r="G1811" s="18" t="n"/>
      <c r="H1811" s="18" t="n"/>
      <c r="I1811" s="18" t="n"/>
      <c r="J1811" s="18" t="n"/>
      <c r="K1811" s="18" t="n"/>
      <c r="L1811" s="18" t="inlineStr">
        <is>
          <t>100k +  pop</t>
        </is>
      </c>
      <c r="M1811" s="22" t="n">
        <v>0</v>
      </c>
      <c r="N1811" s="22" t="n">
        <v>0</v>
      </c>
      <c r="O1811" s="18" t="n"/>
      <c r="P1811" s="22">
        <f>IF(O1811="",(About!$B$5*M1811+About!$B$6*N1811)/(About!$B$5+About!$B$6),About!$B$5*M1811+About!$B$6*N1811+About!$B$7*O1811)</f>
        <v/>
      </c>
      <c r="Q1811" s="23" t="n">
        <v>48.3984</v>
      </c>
      <c r="R1811" s="23" t="n">
        <v>9.9916</v>
      </c>
    </row>
    <row r="1812" ht="15" customHeight="1" s="12">
      <c r="A1812" s="18" t="inlineStr">
        <is>
          <t>Karaman</t>
        </is>
      </c>
      <c r="B1812" s="18" t="inlineStr">
        <is>
          <t>Türkiye</t>
        </is>
      </c>
      <c r="C1812" s="19" t="n">
        <v>86092168</v>
      </c>
      <c r="D1812" s="18" t="inlineStr">
        <is>
          <t>TR</t>
        </is>
      </c>
      <c r="E1812" s="18" t="inlineStr">
        <is>
          <t>78</t>
        </is>
      </c>
      <c r="F1812" s="20" t="n">
        <v>120399</v>
      </c>
      <c r="G1812" s="18" t="n"/>
      <c r="H1812" s="18" t="n"/>
      <c r="I1812" s="18" t="n"/>
      <c r="J1812" s="18" t="n"/>
      <c r="K1812" s="18" t="n"/>
      <c r="L1812" s="18" t="inlineStr">
        <is>
          <t>100k +  pop</t>
        </is>
      </c>
      <c r="M1812" s="22" t="n">
        <v>0</v>
      </c>
      <c r="N1812" s="22" t="n">
        <v>0</v>
      </c>
      <c r="O1812" s="18" t="n"/>
      <c r="P1812" s="22">
        <f>IF(O1812="",(About!$B$5*M1812+About!$B$6*N1812)/(About!$B$5+About!$B$6),About!$B$5*M1812+About!$B$6*N1812+About!$B$7*O1812)</f>
        <v/>
      </c>
      <c r="Q1812" s="23" t="n">
        <v>37.1811</v>
      </c>
      <c r="R1812" s="23" t="n">
        <v>33.215</v>
      </c>
    </row>
    <row r="1813" ht="15" customHeight="1" s="12">
      <c r="A1813" s="18" t="inlineStr">
        <is>
          <t>Abbottabad</t>
        </is>
      </c>
      <c r="B1813" s="18" t="inlineStr">
        <is>
          <t>Pakistan</t>
        </is>
      </c>
      <c r="C1813" s="19" t="n">
        <v>241499431</v>
      </c>
      <c r="D1813" s="18" t="inlineStr">
        <is>
          <t>PK</t>
        </is>
      </c>
      <c r="E1813" s="18" t="inlineStr">
        <is>
          <t>03</t>
        </is>
      </c>
      <c r="F1813" s="20" t="n">
        <v>120000</v>
      </c>
      <c r="G1813" s="18" t="n"/>
      <c r="H1813" s="18" t="n"/>
      <c r="I1813" s="18" t="n"/>
      <c r="J1813" s="18" t="n"/>
      <c r="K1813" s="18" t="n"/>
      <c r="L1813" s="18" t="inlineStr">
        <is>
          <t>100k +  pop</t>
        </is>
      </c>
      <c r="M1813" s="22" t="n">
        <v>0</v>
      </c>
      <c r="N1813" s="22" t="n">
        <v>0</v>
      </c>
      <c r="O1813" s="18" t="n"/>
      <c r="P1813" s="22">
        <f>IF(O1813="",(About!$B$5*M1813+About!$B$6*N1813)/(About!$B$5+About!$B$6),About!$B$5*M1813+About!$B$6*N1813+About!$B$7*O1813)</f>
        <v/>
      </c>
      <c r="Q1813" s="23" t="n">
        <v>34.1463</v>
      </c>
      <c r="R1813" s="23" t="n">
        <v>73.21169999999999</v>
      </c>
    </row>
    <row r="1814" ht="15" customHeight="1" s="12">
      <c r="A1814" s="18" t="inlineStr">
        <is>
          <t>Gereida</t>
        </is>
      </c>
      <c r="B1814" s="18" t="inlineStr">
        <is>
          <t>Sudan</t>
        </is>
      </c>
      <c r="C1814" s="19" t="n">
        <v>51662000</v>
      </c>
      <c r="D1814" s="18" t="inlineStr">
        <is>
          <t>SD</t>
        </is>
      </c>
      <c r="E1814" s="18" t="inlineStr">
        <is>
          <t>49</t>
        </is>
      </c>
      <c r="F1814" s="20" t="n">
        <v>120000</v>
      </c>
      <c r="G1814" s="18" t="n"/>
      <c r="H1814" s="18" t="n"/>
      <c r="I1814" s="18" t="n"/>
      <c r="J1814" s="18" t="n"/>
      <c r="K1814" s="18" t="n"/>
      <c r="L1814" s="18" t="inlineStr">
        <is>
          <t>100k +  pop</t>
        </is>
      </c>
      <c r="M1814" s="22" t="n">
        <v>0</v>
      </c>
      <c r="N1814" s="22" t="n">
        <v>0</v>
      </c>
      <c r="O1814" s="18" t="n"/>
      <c r="P1814" s="22">
        <f>IF(O1814="",(About!$B$5*M1814+About!$B$6*N1814)/(About!$B$5+About!$B$6),About!$B$5*M1814+About!$B$6*N1814+About!$B$7*O1814)</f>
        <v/>
      </c>
      <c r="Q1814" s="23" t="n">
        <v>11.2754</v>
      </c>
      <c r="R1814" s="23" t="n">
        <v>25.1403</v>
      </c>
    </row>
    <row r="1815" ht="15" customHeight="1" s="12">
      <c r="A1815" s="18" t="inlineStr">
        <is>
          <t>Bottrop</t>
        </is>
      </c>
      <c r="B1815" s="18" t="inlineStr">
        <is>
          <t>Germany</t>
        </is>
      </c>
      <c r="C1815" s="19" t="n">
        <v>83497147</v>
      </c>
      <c r="D1815" s="18" t="inlineStr">
        <is>
          <t>DE</t>
        </is>
      </c>
      <c r="E1815" s="18" t="inlineStr">
        <is>
          <t>07</t>
        </is>
      </c>
      <c r="F1815" s="20" t="n">
        <v>119909</v>
      </c>
      <c r="G1815" s="18" t="n"/>
      <c r="H1815" s="18" t="n"/>
      <c r="I1815" s="18" t="n"/>
      <c r="J1815" s="18" t="n"/>
      <c r="K1815" s="18" t="n"/>
      <c r="L1815" s="18" t="inlineStr">
        <is>
          <t>100k +  pop</t>
        </is>
      </c>
      <c r="M1815" s="22" t="n">
        <v>0</v>
      </c>
      <c r="N1815" s="22" t="n">
        <v>0</v>
      </c>
      <c r="O1815" s="18" t="n"/>
      <c r="P1815" s="22">
        <f>IF(O1815="",(About!$B$5*M1815+About!$B$6*N1815)/(About!$B$5+About!$B$6),About!$B$5*M1815+About!$B$6*N1815+About!$B$7*O1815)</f>
        <v/>
      </c>
      <c r="Q1815" s="23" t="n">
        <v>51.5239</v>
      </c>
      <c r="R1815" s="23" t="n">
        <v>6.9285</v>
      </c>
    </row>
    <row r="1816" ht="15" customHeight="1" s="12">
      <c r="A1816" s="18" t="inlineStr">
        <is>
          <t>Kairouan</t>
        </is>
      </c>
      <c r="B1816" s="18" t="inlineStr">
        <is>
          <t>Tunisia</t>
        </is>
      </c>
      <c r="C1816" s="19" t="n">
        <v>11972169</v>
      </c>
      <c r="D1816" s="18" t="inlineStr">
        <is>
          <t>TN</t>
        </is>
      </c>
      <c r="E1816" s="18" t="inlineStr">
        <is>
          <t>03</t>
        </is>
      </c>
      <c r="F1816" s="20" t="n">
        <v>119794</v>
      </c>
      <c r="G1816" s="18" t="n"/>
      <c r="H1816" s="18" t="n"/>
      <c r="I1816" s="18" t="n"/>
      <c r="J1816" s="18" t="n"/>
      <c r="K1816" s="18" t="n"/>
      <c r="L1816" s="18" t="inlineStr">
        <is>
          <t>100k +  pop</t>
        </is>
      </c>
      <c r="M1816" s="22" t="n">
        <v>0</v>
      </c>
      <c r="N1816" s="22" t="n">
        <v>0</v>
      </c>
      <c r="O1816" s="18" t="n"/>
      <c r="P1816" s="22">
        <f>IF(O1816="",(About!$B$5*M1816+About!$B$6*N1816)/(About!$B$5+About!$B$6),About!$B$5*M1816+About!$B$6*N1816+About!$B$7*O1816)</f>
        <v/>
      </c>
      <c r="Q1816" s="23" t="n">
        <v>35.6781</v>
      </c>
      <c r="R1816" s="23" t="n">
        <v>10.0963</v>
      </c>
    </row>
    <row r="1817" ht="15" customHeight="1" s="12">
      <c r="A1817" s="18" t="inlineStr">
        <is>
          <t>Jaranwala</t>
        </is>
      </c>
      <c r="B1817" s="18" t="inlineStr">
        <is>
          <t>Pakistan</t>
        </is>
      </c>
      <c r="C1817" s="19" t="n">
        <v>241499431</v>
      </c>
      <c r="D1817" s="18" t="inlineStr">
        <is>
          <t>PK</t>
        </is>
      </c>
      <c r="E1817" s="18" t="inlineStr">
        <is>
          <t>04</t>
        </is>
      </c>
      <c r="F1817" s="20" t="n">
        <v>119785</v>
      </c>
      <c r="G1817" s="18" t="n"/>
      <c r="H1817" s="18" t="n"/>
      <c r="I1817" s="18" t="n"/>
      <c r="J1817" s="18" t="n"/>
      <c r="K1817" s="18" t="n"/>
      <c r="L1817" s="18" t="inlineStr">
        <is>
          <t>100k +  pop</t>
        </is>
      </c>
      <c r="M1817" s="22" t="n">
        <v>0</v>
      </c>
      <c r="N1817" s="22" t="n">
        <v>0</v>
      </c>
      <c r="O1817" s="18" t="n"/>
      <c r="P1817" s="22">
        <f>IF(O1817="",(About!$B$5*M1817+About!$B$6*N1817)/(About!$B$5+About!$B$6),About!$B$5*M1817+About!$B$6*N1817+About!$B$7*O1817)</f>
        <v/>
      </c>
      <c r="Q1817" s="23" t="n">
        <v>31.3332</v>
      </c>
      <c r="R1817" s="23" t="n">
        <v>73.4187</v>
      </c>
    </row>
    <row r="1818" ht="15" customHeight="1" s="12">
      <c r="A1818" s="18" t="inlineStr">
        <is>
          <t>Trois-Rivières</t>
        </is>
      </c>
      <c r="B1818" s="18" t="inlineStr">
        <is>
          <t>Canada</t>
        </is>
      </c>
      <c r="C1818" s="19" t="n">
        <v>41472081</v>
      </c>
      <c r="D1818" s="18" t="inlineStr">
        <is>
          <t>CA</t>
        </is>
      </c>
      <c r="E1818" s="18" t="inlineStr">
        <is>
          <t>10</t>
        </is>
      </c>
      <c r="F1818" s="20" t="n">
        <v>119693</v>
      </c>
      <c r="G1818" s="18" t="n"/>
      <c r="H1818" s="18" t="n"/>
      <c r="I1818" s="18" t="n"/>
      <c r="J1818" s="18" t="n"/>
      <c r="K1818" s="18" t="n"/>
      <c r="L1818" s="18" t="inlineStr">
        <is>
          <t>100k +  pop</t>
        </is>
      </c>
      <c r="M1818" s="22" t="n">
        <v>0</v>
      </c>
      <c r="N1818" s="22" t="n">
        <v>0</v>
      </c>
      <c r="O1818" s="18" t="n"/>
      <c r="P1818" s="22">
        <f>IF(O1818="",(About!$B$5*M1818+About!$B$6*N1818)/(About!$B$5+About!$B$6),About!$B$5*M1818+About!$B$6*N1818+About!$B$7*O1818)</f>
        <v/>
      </c>
      <c r="Q1818" s="23" t="n">
        <v>46.3451</v>
      </c>
      <c r="R1818" s="23" t="n">
        <v>-72.54770000000001</v>
      </c>
    </row>
    <row r="1819" ht="15" customHeight="1" s="12">
      <c r="A1819" s="18" t="inlineStr">
        <is>
          <t>Silang</t>
        </is>
      </c>
      <c r="B1819" s="18" t="inlineStr">
        <is>
          <t>Philippines</t>
        </is>
      </c>
      <c r="C1819" s="19" t="n">
        <v>114123600</v>
      </c>
      <c r="D1819" s="18" t="inlineStr">
        <is>
          <t>PH</t>
        </is>
      </c>
      <c r="E1819" s="18" t="inlineStr">
        <is>
          <t>40</t>
        </is>
      </c>
      <c r="F1819" s="20" t="n">
        <v>119475</v>
      </c>
      <c r="G1819" s="18" t="n"/>
      <c r="H1819" s="18" t="n"/>
      <c r="I1819" s="18" t="n"/>
      <c r="J1819" s="18" t="n"/>
      <c r="K1819" s="18" t="n"/>
      <c r="L1819" s="18" t="inlineStr">
        <is>
          <t>100k +  pop</t>
        </is>
      </c>
      <c r="M1819" s="22" t="n">
        <v>0</v>
      </c>
      <c r="N1819" s="22" t="n">
        <v>0</v>
      </c>
      <c r="O1819" s="18" t="n"/>
      <c r="P1819" s="22">
        <f>IF(O1819="",(About!$B$5*M1819+About!$B$6*N1819)/(About!$B$5+About!$B$6),About!$B$5*M1819+About!$B$6*N1819+About!$B$7*O1819)</f>
        <v/>
      </c>
      <c r="Q1819" s="23" t="n">
        <v>14.2157</v>
      </c>
      <c r="R1819" s="23" t="n">
        <v>120.9714</v>
      </c>
    </row>
    <row r="1820" ht="15" customHeight="1" s="12">
      <c r="A1820" s="18" t="inlineStr">
        <is>
          <t>Nazilli</t>
        </is>
      </c>
      <c r="B1820" s="18" t="inlineStr">
        <is>
          <t>Türkiye</t>
        </is>
      </c>
      <c r="C1820" s="19" t="n">
        <v>86092168</v>
      </c>
      <c r="D1820" s="18" t="inlineStr">
        <is>
          <t>TR</t>
        </is>
      </c>
      <c r="E1820" s="18" t="inlineStr">
        <is>
          <t>09</t>
        </is>
      </c>
      <c r="F1820" s="20" t="n">
        <v>119370</v>
      </c>
      <c r="G1820" s="18" t="n"/>
      <c r="H1820" s="18" t="n"/>
      <c r="I1820" s="18" t="n"/>
      <c r="J1820" s="18" t="n"/>
      <c r="K1820" s="18" t="n"/>
      <c r="L1820" s="18" t="inlineStr">
        <is>
          <t>100k +  pop</t>
        </is>
      </c>
      <c r="M1820" s="22" t="n">
        <v>0</v>
      </c>
      <c r="N1820" s="22" t="n">
        <v>0</v>
      </c>
      <c r="O1820" s="18" t="n"/>
      <c r="P1820" s="22">
        <f>IF(O1820="",(About!$B$5*M1820+About!$B$6*N1820)/(About!$B$5+About!$B$6),About!$B$5*M1820+About!$B$6*N1820+About!$B$7*O1820)</f>
        <v/>
      </c>
      <c r="Q1820" s="23" t="n">
        <v>37.9163</v>
      </c>
      <c r="R1820" s="23" t="n">
        <v>28.3223</v>
      </c>
    </row>
    <row r="1821" ht="15" customHeight="1" s="12">
      <c r="A1821" s="18" t="inlineStr">
        <is>
          <t>Lira</t>
        </is>
      </c>
      <c r="B1821" s="18" t="inlineStr">
        <is>
          <t>Uganda</t>
        </is>
      </c>
      <c r="C1821" s="19" t="n">
        <v>45905417</v>
      </c>
      <c r="D1821" s="18" t="inlineStr">
        <is>
          <t>UG</t>
        </is>
      </c>
      <c r="E1821" s="18" t="inlineStr">
        <is>
          <t>N</t>
        </is>
      </c>
      <c r="F1821" s="20" t="n">
        <v>119323</v>
      </c>
      <c r="G1821" s="18" t="n"/>
      <c r="H1821" s="18" t="n"/>
      <c r="I1821" s="18" t="n"/>
      <c r="J1821" s="18" t="n"/>
      <c r="K1821" s="18" t="n"/>
      <c r="L1821" s="18" t="inlineStr">
        <is>
          <t>100k +  pop</t>
        </is>
      </c>
      <c r="M1821" s="22" t="n">
        <v>0</v>
      </c>
      <c r="N1821" s="22" t="n">
        <v>0</v>
      </c>
      <c r="O1821" s="18" t="n"/>
      <c r="P1821" s="22">
        <f>IF(O1821="",(About!$B$5*M1821+About!$B$6*N1821)/(About!$B$5+About!$B$6),About!$B$5*M1821+About!$B$6*N1821+About!$B$7*O1821)</f>
        <v/>
      </c>
      <c r="Q1821" s="23" t="n">
        <v>2.2499</v>
      </c>
      <c r="R1821" s="23" t="n">
        <v>32.8999</v>
      </c>
    </row>
    <row r="1822" ht="15" customHeight="1" s="12">
      <c r="A1822" s="18" t="inlineStr">
        <is>
          <t>Pforzheim</t>
        </is>
      </c>
      <c r="B1822" s="18" t="inlineStr">
        <is>
          <t>Germany</t>
        </is>
      </c>
      <c r="C1822" s="19" t="n">
        <v>83497147</v>
      </c>
      <c r="D1822" s="18" t="inlineStr">
        <is>
          <t>DE</t>
        </is>
      </c>
      <c r="E1822" s="18" t="inlineStr">
        <is>
          <t>01</t>
        </is>
      </c>
      <c r="F1822" s="20" t="n">
        <v>119313</v>
      </c>
      <c r="G1822" s="18" t="n"/>
      <c r="H1822" s="18" t="n"/>
      <c r="I1822" s="18" t="n"/>
      <c r="J1822" s="18" t="n"/>
      <c r="K1822" s="18" t="n"/>
      <c r="L1822" s="18" t="inlineStr">
        <is>
          <t>100k +  pop</t>
        </is>
      </c>
      <c r="M1822" s="22" t="n">
        <v>0</v>
      </c>
      <c r="N1822" s="22" t="n">
        <v>0</v>
      </c>
      <c r="O1822" s="18" t="n"/>
      <c r="P1822" s="22">
        <f>IF(O1822="",(About!$B$5*M1822+About!$B$6*N1822)/(About!$B$5+About!$B$6),About!$B$5*M1822+About!$B$6*N1822+About!$B$7*O1822)</f>
        <v/>
      </c>
      <c r="Q1822" s="23" t="n">
        <v>48.8844</v>
      </c>
      <c r="R1822" s="23" t="n">
        <v>8.6989</v>
      </c>
    </row>
    <row r="1823" ht="15" customHeight="1" s="12">
      <c r="A1823" s="18" t="inlineStr">
        <is>
          <t>Lhasa</t>
        </is>
      </c>
      <c r="B1823" s="18" t="inlineStr">
        <is>
          <t>China</t>
        </is>
      </c>
      <c r="C1823" s="19" t="n">
        <v>1404890000</v>
      </c>
      <c r="D1823" s="18" t="inlineStr">
        <is>
          <t>CN</t>
        </is>
      </c>
      <c r="E1823" s="18" t="inlineStr">
        <is>
          <t>14</t>
        </is>
      </c>
      <c r="F1823" s="20" t="n">
        <v>118721</v>
      </c>
      <c r="G1823" s="18" t="n"/>
      <c r="H1823" s="18" t="n"/>
      <c r="I1823" s="18" t="n"/>
      <c r="J1823" s="18" t="n"/>
      <c r="K1823" s="18" t="n"/>
      <c r="L1823" s="18" t="inlineStr">
        <is>
          <t>100k +  pop</t>
        </is>
      </c>
      <c r="M1823" s="22" t="n">
        <v>0</v>
      </c>
      <c r="N1823" s="22" t="n">
        <v>0</v>
      </c>
      <c r="O1823" s="18" t="n"/>
      <c r="P1823" s="22">
        <f>IF(O1823="",(About!$B$5*M1823+About!$B$6*N1823)/(About!$B$5+About!$B$6),About!$B$5*M1823+About!$B$6*N1823+About!$B$7*O1823)</f>
        <v/>
      </c>
      <c r="Q1823" s="23" t="n">
        <v>29.65</v>
      </c>
      <c r="R1823" s="23" t="n">
        <v>91.09999999999999</v>
      </c>
    </row>
    <row r="1824" ht="15" customHeight="1" s="12">
      <c r="A1824" s="18" t="inlineStr">
        <is>
          <t>Aïn Oussera</t>
        </is>
      </c>
      <c r="B1824" s="18" t="inlineStr">
        <is>
          <t>Algeria</t>
        </is>
      </c>
      <c r="C1824" s="19" t="n">
        <v>47400000</v>
      </c>
      <c r="D1824" s="18" t="inlineStr">
        <is>
          <t>DZ</t>
        </is>
      </c>
      <c r="E1824" s="18" t="inlineStr">
        <is>
          <t>22</t>
        </is>
      </c>
      <c r="F1824" s="20" t="n">
        <v>118687</v>
      </c>
      <c r="G1824" s="18" t="n"/>
      <c r="H1824" s="18" t="n"/>
      <c r="I1824" s="18" t="n"/>
      <c r="J1824" s="18" t="n"/>
      <c r="K1824" s="18" t="n"/>
      <c r="L1824" s="18" t="inlineStr">
        <is>
          <t>100k +  pop</t>
        </is>
      </c>
      <c r="M1824" s="22" t="n">
        <v>0</v>
      </c>
      <c r="N1824" s="22" t="n">
        <v>0</v>
      </c>
      <c r="O1824" s="18" t="n"/>
      <c r="P1824" s="22">
        <f>IF(O1824="",(About!$B$5*M1824+About!$B$6*N1824)/(About!$B$5+About!$B$6),About!$B$5*M1824+About!$B$6*N1824+About!$B$7*O1824)</f>
        <v/>
      </c>
      <c r="Q1824" s="23" t="n">
        <v>35.4514</v>
      </c>
      <c r="R1824" s="23" t="n">
        <v>2.9058</v>
      </c>
    </row>
    <row r="1825" ht="15" customHeight="1" s="12">
      <c r="A1825" s="18" t="inlineStr">
        <is>
          <t>Eastbourne</t>
        </is>
      </c>
      <c r="B1825" s="18" t="inlineStr">
        <is>
          <t>United Kingdom</t>
        </is>
      </c>
      <c r="C1825" s="19" t="n">
        <v>69487000</v>
      </c>
      <c r="D1825" s="18" t="inlineStr">
        <is>
          <t>GB</t>
        </is>
      </c>
      <c r="E1825" s="18" t="inlineStr">
        <is>
          <t>ENG</t>
        </is>
      </c>
      <c r="F1825" s="20" t="n">
        <v>118219</v>
      </c>
      <c r="G1825" s="18" t="n"/>
      <c r="H1825" s="18" t="n"/>
      <c r="I1825" s="18" t="n"/>
      <c r="J1825" s="18" t="n"/>
      <c r="K1825" s="18" t="n"/>
      <c r="L1825" s="18" t="inlineStr">
        <is>
          <t>100k +  pop</t>
        </is>
      </c>
      <c r="M1825" s="22" t="n">
        <v>0</v>
      </c>
      <c r="N1825" s="22" t="n">
        <v>0</v>
      </c>
      <c r="O1825" s="18" t="n"/>
      <c r="P1825" s="22">
        <f>IF(O1825="",(About!$B$5*M1825+About!$B$6*N1825)/(About!$B$5+About!$B$6),About!$B$5*M1825+About!$B$6*N1825+About!$B$7*O1825)</f>
        <v/>
      </c>
      <c r="Q1825" s="23" t="n">
        <v>50.7687</v>
      </c>
      <c r="R1825" s="23" t="n">
        <v>0.2845</v>
      </c>
    </row>
    <row r="1826" ht="15" customHeight="1" s="12">
      <c r="A1826" s="18" t="inlineStr">
        <is>
          <t>Bandundu</t>
        </is>
      </c>
      <c r="B1826" s="18" t="inlineStr">
        <is>
          <t>DR Congo</t>
        </is>
      </c>
      <c r="C1826" s="19" t="n">
        <v>112832000</v>
      </c>
      <c r="D1826" s="18" t="inlineStr">
        <is>
          <t>CD</t>
        </is>
      </c>
      <c r="E1826" s="18" t="inlineStr">
        <is>
          <t>20</t>
        </is>
      </c>
      <c r="F1826" s="20" t="n">
        <v>118211</v>
      </c>
      <c r="G1826" s="18" t="n"/>
      <c r="H1826" s="18" t="inlineStr">
        <is>
          <t>FDU</t>
        </is>
      </c>
      <c r="I1826" s="18" t="inlineStr">
        <is>
          <t>Bandundu Airport</t>
        </is>
      </c>
      <c r="J1826" s="21" t="n">
        <v>0.6</v>
      </c>
      <c r="K1826" s="18" t="inlineStr">
        <is>
          <t>FDU</t>
        </is>
      </c>
      <c r="L1826" s="18" t="inlineStr">
        <is>
          <t>100k +  pop + airport</t>
        </is>
      </c>
      <c r="M1826" s="22" t="n">
        <v>0</v>
      </c>
      <c r="N1826" s="22" t="n">
        <v>0</v>
      </c>
      <c r="O1826" s="18" t="n"/>
      <c r="P1826" s="22">
        <f>IF(O1826="",(About!$B$5*M1826+About!$B$6*N1826)/(About!$B$5+About!$B$6),About!$B$5*M1826+About!$B$6*N1826+About!$B$7*O1826)</f>
        <v/>
      </c>
      <c r="Q1826" s="23" t="n">
        <v>-3.3169</v>
      </c>
      <c r="R1826" s="23" t="n">
        <v>17.3806</v>
      </c>
    </row>
    <row r="1827" ht="15" customHeight="1" s="12">
      <c r="A1827" s="18" t="inlineStr">
        <is>
          <t>Guadalajara de Buga</t>
        </is>
      </c>
      <c r="B1827" s="18" t="inlineStr">
        <is>
          <t>Colombia</t>
        </is>
      </c>
      <c r="C1827" s="19" t="n">
        <v>53057212</v>
      </c>
      <c r="D1827" s="18" t="inlineStr">
        <is>
          <t>CO</t>
        </is>
      </c>
      <c r="E1827" s="18" t="inlineStr">
        <is>
          <t>29</t>
        </is>
      </c>
      <c r="F1827" s="20" t="n">
        <v>118004</v>
      </c>
      <c r="G1827" s="18" t="n"/>
      <c r="H1827" s="18" t="n"/>
      <c r="I1827" s="18" t="n"/>
      <c r="J1827" s="18" t="n"/>
      <c r="K1827" s="18" t="n"/>
      <c r="L1827" s="18" t="inlineStr">
        <is>
          <t>100k +  pop</t>
        </is>
      </c>
      <c r="M1827" s="22" t="n">
        <v>0</v>
      </c>
      <c r="N1827" s="22" t="n">
        <v>0</v>
      </c>
      <c r="O1827" s="18" t="n"/>
      <c r="P1827" s="22">
        <f>IF(O1827="",(About!$B$5*M1827+About!$B$6*N1827)/(About!$B$5+About!$B$6),About!$B$5*M1827+About!$B$6*N1827+About!$B$7*O1827)</f>
        <v/>
      </c>
      <c r="Q1827" s="23" t="n">
        <v>3.9009</v>
      </c>
      <c r="R1827" s="23" t="n">
        <v>-76.2978</v>
      </c>
    </row>
    <row r="1828" ht="15" customHeight="1" s="12">
      <c r="A1828" s="18" t="inlineStr">
        <is>
          <t>Nakhon Pathom</t>
        </is>
      </c>
      <c r="B1828" s="18" t="inlineStr">
        <is>
          <t>Thailand</t>
        </is>
      </c>
      <c r="C1828" s="19" t="n">
        <v>65826149</v>
      </c>
      <c r="D1828" s="18" t="inlineStr">
        <is>
          <t>TH</t>
        </is>
      </c>
      <c r="E1828" s="18" t="inlineStr">
        <is>
          <t>53</t>
        </is>
      </c>
      <c r="F1828" s="20" t="n">
        <v>117927</v>
      </c>
      <c r="G1828" s="18" t="n"/>
      <c r="H1828" s="18" t="n"/>
      <c r="I1828" s="18" t="n"/>
      <c r="J1828" s="18" t="n"/>
      <c r="K1828" s="18" t="n"/>
      <c r="L1828" s="18" t="inlineStr">
        <is>
          <t>100k +  pop</t>
        </is>
      </c>
      <c r="M1828" s="22" t="n">
        <v>0</v>
      </c>
      <c r="N1828" s="22" t="n">
        <v>0</v>
      </c>
      <c r="O1828" s="18" t="n"/>
      <c r="P1828" s="22">
        <f>IF(O1828="",(About!$B$5*M1828+About!$B$6*N1828)/(About!$B$5+About!$B$6),About!$B$5*M1828+About!$B$6*N1828+About!$B$7*O1828)</f>
        <v/>
      </c>
      <c r="Q1828" s="23" t="n">
        <v>13.8196</v>
      </c>
      <c r="R1828" s="23" t="n">
        <v>100.0443</v>
      </c>
    </row>
    <row r="1829" ht="15" customHeight="1" s="12">
      <c r="A1829" s="18" t="inlineStr">
        <is>
          <t>Sokodé</t>
        </is>
      </c>
      <c r="B1829" s="18" t="inlineStr">
        <is>
          <t>Togo</t>
        </is>
      </c>
      <c r="C1829" s="19" t="n">
        <v>8095498</v>
      </c>
      <c r="D1829" s="18" t="inlineStr">
        <is>
          <t>TG</t>
        </is>
      </c>
      <c r="E1829" s="18" t="inlineStr">
        <is>
          <t>22</t>
        </is>
      </c>
      <c r="F1829" s="20" t="n">
        <v>117811</v>
      </c>
      <c r="G1829" s="18" t="n"/>
      <c r="H1829" s="18" t="n"/>
      <c r="I1829" s="18" t="n"/>
      <c r="J1829" s="18" t="n"/>
      <c r="K1829" s="18" t="n"/>
      <c r="L1829" s="18" t="inlineStr">
        <is>
          <t>100k +  pop</t>
        </is>
      </c>
      <c r="M1829" s="22" t="n">
        <v>0</v>
      </c>
      <c r="N1829" s="22" t="n">
        <v>0</v>
      </c>
      <c r="O1829" s="18" t="n"/>
      <c r="P1829" s="22">
        <f>IF(O1829="",(About!$B$5*M1829+About!$B$6*N1829)/(About!$B$5+About!$B$6),About!$B$5*M1829+About!$B$6*N1829+About!$B$7*O1829)</f>
        <v/>
      </c>
      <c r="Q1829" s="23" t="n">
        <v>8.9833</v>
      </c>
      <c r="R1829" s="23" t="n">
        <v>1.1333</v>
      </c>
    </row>
    <row r="1830" ht="15" customHeight="1" s="12">
      <c r="A1830" s="18" t="inlineStr">
        <is>
          <t>Rotherham</t>
        </is>
      </c>
      <c r="B1830" s="18" t="inlineStr">
        <is>
          <t>United Kingdom</t>
        </is>
      </c>
      <c r="C1830" s="19" t="n">
        <v>69487000</v>
      </c>
      <c r="D1830" s="18" t="inlineStr">
        <is>
          <t>GB</t>
        </is>
      </c>
      <c r="E1830" s="18" t="inlineStr">
        <is>
          <t>ENG</t>
        </is>
      </c>
      <c r="F1830" s="20" t="n">
        <v>117618</v>
      </c>
      <c r="G1830" s="18" t="n"/>
      <c r="H1830" s="18" t="n"/>
      <c r="I1830" s="18" t="n"/>
      <c r="J1830" s="18" t="n"/>
      <c r="K1830" s="18" t="n"/>
      <c r="L1830" s="18" t="inlineStr">
        <is>
          <t>100k +  pop</t>
        </is>
      </c>
      <c r="M1830" s="22" t="n">
        <v>0</v>
      </c>
      <c r="N1830" s="22" t="n">
        <v>0</v>
      </c>
      <c r="O1830" s="18" t="n"/>
      <c r="P1830" s="22">
        <f>IF(O1830="",(About!$B$5*M1830+About!$B$6*N1830)/(About!$B$5+About!$B$6),About!$B$5*M1830+About!$B$6*N1830+About!$B$7*O1830)</f>
        <v/>
      </c>
      <c r="Q1830" s="23" t="n">
        <v>53.4301</v>
      </c>
      <c r="R1830" s="23" t="n">
        <v>-1.3568</v>
      </c>
    </row>
    <row r="1831" ht="15" customHeight="1" s="12">
      <c r="A1831" s="18" t="inlineStr">
        <is>
          <t>Tunja</t>
        </is>
      </c>
      <c r="B1831" s="18" t="inlineStr">
        <is>
          <t>Colombia</t>
        </is>
      </c>
      <c r="C1831" s="19" t="n">
        <v>53057212</v>
      </c>
      <c r="D1831" s="18" t="inlineStr">
        <is>
          <t>CO</t>
        </is>
      </c>
      <c r="E1831" s="18" t="inlineStr">
        <is>
          <t>36</t>
        </is>
      </c>
      <c r="F1831" s="20" t="n">
        <v>117479</v>
      </c>
      <c r="G1831" s="18" t="n"/>
      <c r="H1831" s="18" t="n"/>
      <c r="I1831" s="18" t="n"/>
      <c r="J1831" s="18" t="n"/>
      <c r="K1831" s="18" t="n"/>
      <c r="L1831" s="18" t="inlineStr">
        <is>
          <t>100k +  pop</t>
        </is>
      </c>
      <c r="M1831" s="22" t="n">
        <v>0</v>
      </c>
      <c r="N1831" s="22" t="n">
        <v>0</v>
      </c>
      <c r="O1831" s="18" t="n"/>
      <c r="P1831" s="22">
        <f>IF(O1831="",(About!$B$5*M1831+About!$B$6*N1831)/(About!$B$5+About!$B$6),About!$B$5*M1831+About!$B$6*N1831+About!$B$7*O1831)</f>
        <v/>
      </c>
      <c r="Q1831" s="23" t="n">
        <v>5.5353</v>
      </c>
      <c r="R1831" s="23" t="n">
        <v>-73.3678</v>
      </c>
    </row>
    <row r="1832" ht="15" customHeight="1" s="12">
      <c r="A1832" s="18" t="inlineStr">
        <is>
          <t>Bremerhaven</t>
        </is>
      </c>
      <c r="B1832" s="18" t="inlineStr">
        <is>
          <t>Germany</t>
        </is>
      </c>
      <c r="C1832" s="19" t="n">
        <v>83497147</v>
      </c>
      <c r="D1832" s="18" t="inlineStr">
        <is>
          <t>DE</t>
        </is>
      </c>
      <c r="E1832" s="18" t="inlineStr">
        <is>
          <t>03</t>
        </is>
      </c>
      <c r="F1832" s="20" t="n">
        <v>117446</v>
      </c>
      <c r="G1832" s="18" t="n"/>
      <c r="H1832" s="18" t="n"/>
      <c r="I1832" s="18" t="n"/>
      <c r="J1832" s="18" t="n"/>
      <c r="K1832" s="18" t="n"/>
      <c r="L1832" s="18" t="inlineStr">
        <is>
          <t>100k +  pop</t>
        </is>
      </c>
      <c r="M1832" s="22" t="n">
        <v>0</v>
      </c>
      <c r="N1832" s="22" t="n">
        <v>0</v>
      </c>
      <c r="O1832" s="18" t="n"/>
      <c r="P1832" s="22">
        <f>IF(O1832="",(About!$B$5*M1832+About!$B$6*N1832)/(About!$B$5+About!$B$6),About!$B$5*M1832+About!$B$6*N1832+About!$B$7*O1832)</f>
        <v/>
      </c>
      <c r="Q1832" s="23" t="n">
        <v>53.5361</v>
      </c>
      <c r="R1832" s="23" t="n">
        <v>8.593</v>
      </c>
    </row>
    <row r="1833" ht="15" customHeight="1" s="12">
      <c r="A1833" s="18" t="inlineStr">
        <is>
          <t>Pyin Oo Lwin</t>
        </is>
      </c>
      <c r="B1833" s="18" t="inlineStr">
        <is>
          <t>Myanmar</t>
        </is>
      </c>
      <c r="C1833" s="19" t="n">
        <v>51375327</v>
      </c>
      <c r="D1833" s="18" t="inlineStr">
        <is>
          <t>MM</t>
        </is>
      </c>
      <c r="E1833" s="18" t="inlineStr">
        <is>
          <t>08</t>
        </is>
      </c>
      <c r="F1833" s="20" t="n">
        <v>117303</v>
      </c>
      <c r="G1833" s="18" t="n"/>
      <c r="H1833" s="18" t="n"/>
      <c r="I1833" s="18" t="n"/>
      <c r="J1833" s="18" t="n"/>
      <c r="K1833" s="18" t="n"/>
      <c r="L1833" s="18" t="inlineStr">
        <is>
          <t>100k +  pop</t>
        </is>
      </c>
      <c r="M1833" s="22" t="n">
        <v>0</v>
      </c>
      <c r="N1833" s="22" t="n">
        <v>0</v>
      </c>
      <c r="O1833" s="18" t="n"/>
      <c r="P1833" s="22">
        <f>IF(O1833="",(About!$B$5*M1833+About!$B$6*N1833)/(About!$B$5+About!$B$6),About!$B$5*M1833+About!$B$6*N1833+About!$B$7*O1833)</f>
        <v/>
      </c>
      <c r="Q1833" s="23" t="n">
        <v>22.035</v>
      </c>
      <c r="R1833" s="23" t="n">
        <v>96.4568</v>
      </c>
    </row>
    <row r="1834" ht="15" customHeight="1" s="12">
      <c r="A1834" s="18" t="inlineStr">
        <is>
          <t>Remscheid</t>
        </is>
      </c>
      <c r="B1834" s="18" t="inlineStr">
        <is>
          <t>Germany</t>
        </is>
      </c>
      <c r="C1834" s="19" t="n">
        <v>83497147</v>
      </c>
      <c r="D1834" s="18" t="inlineStr">
        <is>
          <t>DE</t>
        </is>
      </c>
      <c r="E1834" s="18" t="inlineStr">
        <is>
          <t>07</t>
        </is>
      </c>
      <c r="F1834" s="20" t="n">
        <v>117118</v>
      </c>
      <c r="G1834" s="18" t="n"/>
      <c r="H1834" s="18" t="n"/>
      <c r="I1834" s="18" t="n"/>
      <c r="J1834" s="18" t="n"/>
      <c r="K1834" s="18" t="n"/>
      <c r="L1834" s="18" t="inlineStr">
        <is>
          <t>100k +  pop</t>
        </is>
      </c>
      <c r="M1834" s="22" t="n">
        <v>0</v>
      </c>
      <c r="N1834" s="22" t="n">
        <v>0</v>
      </c>
      <c r="O1834" s="18" t="n"/>
      <c r="P1834" s="22">
        <f>IF(O1834="",(About!$B$5*M1834+About!$B$6*N1834)/(About!$B$5+About!$B$6),About!$B$5*M1834+About!$B$6*N1834+About!$B$7*O1834)</f>
        <v/>
      </c>
      <c r="Q1834" s="23" t="n">
        <v>51.1798</v>
      </c>
      <c r="R1834" s="23" t="n">
        <v>7.1925</v>
      </c>
    </row>
    <row r="1835" ht="15" customHeight="1" s="12">
      <c r="A1835" s="18" t="inlineStr">
        <is>
          <t>Khenchela</t>
        </is>
      </c>
      <c r="B1835" s="18" t="inlineStr">
        <is>
          <t>Algeria</t>
        </is>
      </c>
      <c r="C1835" s="19" t="n">
        <v>47400000</v>
      </c>
      <c r="D1835" s="18" t="inlineStr">
        <is>
          <t>DZ</t>
        </is>
      </c>
      <c r="E1835" s="18" t="inlineStr">
        <is>
          <t>47</t>
        </is>
      </c>
      <c r="F1835" s="20" t="n">
        <v>117000</v>
      </c>
      <c r="G1835" s="18" t="n"/>
      <c r="H1835" s="18" t="n"/>
      <c r="I1835" s="18" t="n"/>
      <c r="J1835" s="18" t="n"/>
      <c r="K1835" s="18" t="n"/>
      <c r="L1835" s="18" t="inlineStr">
        <is>
          <t>100k +  pop</t>
        </is>
      </c>
      <c r="M1835" s="22" t="n">
        <v>0</v>
      </c>
      <c r="N1835" s="22" t="n">
        <v>0</v>
      </c>
      <c r="O1835" s="18" t="n"/>
      <c r="P1835" s="22">
        <f>IF(O1835="",(About!$B$5*M1835+About!$B$6*N1835)/(About!$B$5+About!$B$6),About!$B$5*M1835+About!$B$6*N1835+About!$B$7*O1835)</f>
        <v/>
      </c>
      <c r="Q1835" s="23" t="n">
        <v>35.4358</v>
      </c>
      <c r="R1835" s="23" t="n">
        <v>7.1433</v>
      </c>
    </row>
    <row r="1836" ht="15" customHeight="1" s="12">
      <c r="A1836" s="18" t="inlineStr">
        <is>
          <t>Lausanne</t>
        </is>
      </c>
      <c r="B1836" s="18" t="inlineStr">
        <is>
          <t>Switzerland</t>
        </is>
      </c>
      <c r="C1836" s="19" t="n">
        <v>9124288</v>
      </c>
      <c r="D1836" s="18" t="inlineStr">
        <is>
          <t>CH</t>
        </is>
      </c>
      <c r="E1836" s="18" t="inlineStr">
        <is>
          <t>VD</t>
        </is>
      </c>
      <c r="F1836" s="20" t="n">
        <v>116751</v>
      </c>
      <c r="G1836" s="18" t="n"/>
      <c r="H1836" s="18" t="n"/>
      <c r="I1836" s="18" t="n"/>
      <c r="J1836" s="18" t="n"/>
      <c r="K1836" s="18" t="n"/>
      <c r="L1836" s="18" t="inlineStr">
        <is>
          <t>100k +  pop</t>
        </is>
      </c>
      <c r="M1836" s="22" t="n">
        <v>0</v>
      </c>
      <c r="N1836" s="22" t="n">
        <v>0</v>
      </c>
      <c r="O1836" s="18" t="n"/>
      <c r="P1836" s="22">
        <f>IF(O1836="",(About!$B$5*M1836+About!$B$6*N1836)/(About!$B$5+About!$B$6),About!$B$5*M1836+About!$B$6*N1836+About!$B$7*O1836)</f>
        <v/>
      </c>
      <c r="Q1836" s="23" t="n">
        <v>46.516</v>
      </c>
      <c r="R1836" s="23" t="n">
        <v>6.6328</v>
      </c>
    </row>
    <row r="1837" ht="15" customHeight="1" s="12">
      <c r="A1837" s="18" t="inlineStr">
        <is>
          <t>Ahmadpur East</t>
        </is>
      </c>
      <c r="B1837" s="18" t="inlineStr">
        <is>
          <t>Pakistan</t>
        </is>
      </c>
      <c r="C1837" s="19" t="n">
        <v>241499431</v>
      </c>
      <c r="D1837" s="18" t="inlineStr">
        <is>
          <t>PK</t>
        </is>
      </c>
      <c r="E1837" s="18" t="inlineStr">
        <is>
          <t>04</t>
        </is>
      </c>
      <c r="F1837" s="20" t="n">
        <v>116579</v>
      </c>
      <c r="G1837" s="18" t="n"/>
      <c r="H1837" s="18" t="n"/>
      <c r="I1837" s="18" t="n"/>
      <c r="J1837" s="18" t="n"/>
      <c r="K1837" s="18" t="n"/>
      <c r="L1837" s="18" t="inlineStr">
        <is>
          <t>100k +  pop</t>
        </is>
      </c>
      <c r="M1837" s="22" t="n">
        <v>0</v>
      </c>
      <c r="N1837" s="22" t="n">
        <v>0</v>
      </c>
      <c r="O1837" s="18" t="n"/>
      <c r="P1837" s="22">
        <f>IF(O1837="",(About!$B$5*M1837+About!$B$6*N1837)/(About!$B$5+About!$B$6),About!$B$5*M1837+About!$B$6*N1837+About!$B$7*O1837)</f>
        <v/>
      </c>
      <c r="Q1837" s="23" t="n">
        <v>29.1427</v>
      </c>
      <c r="R1837" s="23" t="n">
        <v>71.2577</v>
      </c>
    </row>
    <row r="1838" ht="15" customHeight="1" s="12">
      <c r="A1838" s="18" t="inlineStr">
        <is>
          <t>Jaén</t>
        </is>
      </c>
      <c r="B1838" s="18" t="inlineStr">
        <is>
          <t>Spain</t>
        </is>
      </c>
      <c r="C1838" s="19" t="n">
        <v>49687120</v>
      </c>
      <c r="D1838" s="18" t="inlineStr">
        <is>
          <t>ES</t>
        </is>
      </c>
      <c r="E1838" s="18" t="inlineStr">
        <is>
          <t>51</t>
        </is>
      </c>
      <c r="F1838" s="20" t="n">
        <v>116557</v>
      </c>
      <c r="G1838" s="18" t="n"/>
      <c r="H1838" s="18" t="n"/>
      <c r="I1838" s="18" t="n"/>
      <c r="J1838" s="18" t="n"/>
      <c r="K1838" s="18" t="n"/>
      <c r="L1838" s="18" t="inlineStr">
        <is>
          <t>100k +  pop</t>
        </is>
      </c>
      <c r="M1838" s="22" t="n">
        <v>0</v>
      </c>
      <c r="N1838" s="22" t="n">
        <v>0</v>
      </c>
      <c r="O1838" s="18" t="n"/>
      <c r="P1838" s="22">
        <f>IF(O1838="",(About!$B$5*M1838+About!$B$6*N1838)/(About!$B$5+About!$B$6),About!$B$5*M1838+About!$B$6*N1838+About!$B$7*O1838)</f>
        <v/>
      </c>
      <c r="Q1838" s="23" t="n">
        <v>37.7692</v>
      </c>
      <c r="R1838" s="23" t="n">
        <v>-3.7903</v>
      </c>
    </row>
    <row r="1839" ht="15" customHeight="1" s="12">
      <c r="A1839" s="18" t="inlineStr">
        <is>
          <t>Puno</t>
        </is>
      </c>
      <c r="B1839" s="18" t="inlineStr">
        <is>
          <t>Peru</t>
        </is>
      </c>
      <c r="C1839" s="19" t="n">
        <v>34350244</v>
      </c>
      <c r="D1839" s="18" t="inlineStr">
        <is>
          <t>PE</t>
        </is>
      </c>
      <c r="E1839" s="18" t="inlineStr">
        <is>
          <t>21</t>
        </is>
      </c>
      <c r="F1839" s="20" t="n">
        <v>116552</v>
      </c>
      <c r="G1839" s="18" t="n"/>
      <c r="H1839" s="18" t="n"/>
      <c r="I1839" s="18" t="n"/>
      <c r="J1839" s="18" t="n"/>
      <c r="K1839" s="18" t="n"/>
      <c r="L1839" s="18" t="inlineStr">
        <is>
          <t>100k +  pop</t>
        </is>
      </c>
      <c r="M1839" s="22" t="n">
        <v>0</v>
      </c>
      <c r="N1839" s="22" t="n">
        <v>0</v>
      </c>
      <c r="O1839" s="18" t="n"/>
      <c r="P1839" s="22">
        <f>IF(O1839="",(About!$B$5*M1839+About!$B$6*N1839)/(About!$B$5+About!$B$6),About!$B$5*M1839+About!$B$6*N1839+About!$B$7*O1839)</f>
        <v/>
      </c>
      <c r="Q1839" s="23" t="n">
        <v>-15.8422</v>
      </c>
      <c r="R1839" s="23" t="n">
        <v>-70.01990000000001</v>
      </c>
    </row>
    <row r="1840" ht="15" customHeight="1" s="12">
      <c r="A1840" s="18" t="inlineStr">
        <is>
          <t>Cheltenham</t>
        </is>
      </c>
      <c r="B1840" s="18" t="inlineStr">
        <is>
          <t>United Kingdom</t>
        </is>
      </c>
      <c r="C1840" s="19" t="n">
        <v>69487000</v>
      </c>
      <c r="D1840" s="18" t="inlineStr">
        <is>
          <t>GB</t>
        </is>
      </c>
      <c r="E1840" s="18" t="inlineStr">
        <is>
          <t>ENG</t>
        </is>
      </c>
      <c r="F1840" s="20" t="n">
        <v>116447</v>
      </c>
      <c r="G1840" s="18" t="n"/>
      <c r="H1840" s="18" t="n"/>
      <c r="I1840" s="18" t="n"/>
      <c r="J1840" s="18" t="n"/>
      <c r="K1840" s="18" t="n"/>
      <c r="L1840" s="18" t="inlineStr">
        <is>
          <t>100k +  pop</t>
        </is>
      </c>
      <c r="M1840" s="22" t="n">
        <v>0</v>
      </c>
      <c r="N1840" s="22" t="n">
        <v>0</v>
      </c>
      <c r="O1840" s="18" t="n"/>
      <c r="P1840" s="22">
        <f>IF(O1840="",(About!$B$5*M1840+About!$B$6*N1840)/(About!$B$5+About!$B$6),About!$B$5*M1840+About!$B$6*N1840+About!$B$7*O1840)</f>
        <v/>
      </c>
      <c r="Q1840" s="23" t="n">
        <v>51.9001</v>
      </c>
      <c r="R1840" s="23" t="n">
        <v>-2.0797</v>
      </c>
    </row>
    <row r="1841" ht="15" customHeight="1" s="12">
      <c r="A1841" s="18" t="inlineStr">
        <is>
          <t>Digos</t>
        </is>
      </c>
      <c r="B1841" s="18" t="inlineStr">
        <is>
          <t>Philippines</t>
        </is>
      </c>
      <c r="C1841" s="19" t="n">
        <v>114123600</v>
      </c>
      <c r="D1841" s="18" t="inlineStr">
        <is>
          <t>PH</t>
        </is>
      </c>
      <c r="E1841" s="18" t="inlineStr">
        <is>
          <t>11</t>
        </is>
      </c>
      <c r="F1841" s="20" t="n">
        <v>116122</v>
      </c>
      <c r="G1841" s="18" t="n"/>
      <c r="H1841" s="18" t="n"/>
      <c r="I1841" s="18" t="n"/>
      <c r="J1841" s="18" t="n"/>
      <c r="K1841" s="18" t="n"/>
      <c r="L1841" s="18" t="inlineStr">
        <is>
          <t>100k +  pop</t>
        </is>
      </c>
      <c r="M1841" s="22" t="n">
        <v>0</v>
      </c>
      <c r="N1841" s="22" t="n">
        <v>0</v>
      </c>
      <c r="O1841" s="18" t="n"/>
      <c r="P1841" s="22">
        <f>IF(O1841="",(About!$B$5*M1841+About!$B$6*N1841)/(About!$B$5+About!$B$6),About!$B$5*M1841+About!$B$6*N1841+About!$B$7*O1841)</f>
        <v/>
      </c>
      <c r="Q1841" s="23" t="n">
        <v>6.7497</v>
      </c>
      <c r="R1841" s="23" t="n">
        <v>125.3572</v>
      </c>
    </row>
    <row r="1842" ht="15" customHeight="1" s="12">
      <c r="A1842" s="18" t="inlineStr">
        <is>
          <t>Wenchang</t>
        </is>
      </c>
      <c r="B1842" s="18" t="inlineStr">
        <is>
          <t>China</t>
        </is>
      </c>
      <c r="C1842" s="19" t="n">
        <v>1404890000</v>
      </c>
      <c r="D1842" s="18" t="inlineStr">
        <is>
          <t>CN</t>
        </is>
      </c>
      <c r="E1842" s="18" t="inlineStr">
        <is>
          <t>31</t>
        </is>
      </c>
      <c r="F1842" s="20" t="n">
        <v>115000</v>
      </c>
      <c r="G1842" s="18" t="n"/>
      <c r="H1842" s="18" t="n"/>
      <c r="I1842" s="18" t="n"/>
      <c r="J1842" s="18" t="n"/>
      <c r="K1842" s="18" t="n"/>
      <c r="L1842" s="18" t="inlineStr">
        <is>
          <t>100k +  pop</t>
        </is>
      </c>
      <c r="M1842" s="22" t="n">
        <v>0</v>
      </c>
      <c r="N1842" s="22" t="n">
        <v>0</v>
      </c>
      <c r="O1842" s="18" t="n"/>
      <c r="P1842" s="22">
        <f>IF(O1842="",(About!$B$5*M1842+About!$B$6*N1842)/(About!$B$5+About!$B$6),About!$B$5*M1842+About!$B$6*N1842+About!$B$7*O1842)</f>
        <v/>
      </c>
      <c r="Q1842" s="23" t="n">
        <v>19.6157</v>
      </c>
      <c r="R1842" s="23" t="n">
        <v>110.7489</v>
      </c>
    </row>
    <row r="1843" ht="15" customHeight="1" s="12">
      <c r="A1843" s="18" t="inlineStr">
        <is>
          <t>Balkh</t>
        </is>
      </c>
      <c r="B1843" s="18" t="inlineStr">
        <is>
          <t>Afghanistan</t>
        </is>
      </c>
      <c r="C1843" s="19" t="n">
        <v>43844000</v>
      </c>
      <c r="D1843" s="18" t="inlineStr">
        <is>
          <t>AF</t>
        </is>
      </c>
      <c r="E1843" s="18" t="inlineStr">
        <is>
          <t>30</t>
        </is>
      </c>
      <c r="F1843" s="20" t="n">
        <v>114883</v>
      </c>
      <c r="G1843" s="18" t="n"/>
      <c r="H1843" s="18" t="n"/>
      <c r="I1843" s="18" t="n"/>
      <c r="J1843" s="18" t="n"/>
      <c r="K1843" s="18" t="n"/>
      <c r="L1843" s="18" t="inlineStr">
        <is>
          <t>100k +  pop</t>
        </is>
      </c>
      <c r="M1843" s="22" t="n">
        <v>0</v>
      </c>
      <c r="N1843" s="22" t="n">
        <v>0</v>
      </c>
      <c r="O1843" s="18" t="n"/>
      <c r="P1843" s="22">
        <f>IF(O1843="",(About!$B$5*M1843+About!$B$6*N1843)/(About!$B$5+About!$B$6),About!$B$5*M1843+About!$B$6*N1843+About!$B$7*O1843)</f>
        <v/>
      </c>
      <c r="Q1843" s="23" t="n">
        <v>36.7563</v>
      </c>
      <c r="R1843" s="23" t="n">
        <v>66.8972</v>
      </c>
    </row>
    <row r="1844" ht="15" customHeight="1" s="12">
      <c r="A1844" s="18" t="inlineStr">
        <is>
          <t>Lincoln</t>
        </is>
      </c>
      <c r="B1844" s="18" t="inlineStr">
        <is>
          <t>United Kingdom</t>
        </is>
      </c>
      <c r="C1844" s="19" t="n">
        <v>69487000</v>
      </c>
      <c r="D1844" s="18" t="inlineStr">
        <is>
          <t>GB</t>
        </is>
      </c>
      <c r="E1844" s="18" t="inlineStr">
        <is>
          <t>ENG</t>
        </is>
      </c>
      <c r="F1844" s="20" t="n">
        <v>114879</v>
      </c>
      <c r="G1844" s="18" t="n"/>
      <c r="H1844" s="18" t="n"/>
      <c r="I1844" s="18" t="n"/>
      <c r="J1844" s="18" t="n"/>
      <c r="K1844" s="18" t="n"/>
      <c r="L1844" s="18" t="inlineStr">
        <is>
          <t>100k +  pop</t>
        </is>
      </c>
      <c r="M1844" s="22" t="n">
        <v>0</v>
      </c>
      <c r="N1844" s="22" t="n">
        <v>0</v>
      </c>
      <c r="O1844" s="18" t="n"/>
      <c r="P1844" s="22">
        <f>IF(O1844="",(About!$B$5*M1844+About!$B$6*N1844)/(About!$B$5+About!$B$6),About!$B$5*M1844+About!$B$6*N1844+About!$B$7*O1844)</f>
        <v/>
      </c>
      <c r="Q1844" s="23" t="n">
        <v>53.2268</v>
      </c>
      <c r="R1844" s="23" t="n">
        <v>-0.5379</v>
      </c>
    </row>
    <row r="1845" ht="15" customHeight="1" s="12">
      <c r="A1845" s="18" t="inlineStr">
        <is>
          <t>Sóc Trăng</t>
        </is>
      </c>
      <c r="B1845" s="18" t="inlineStr">
        <is>
          <t>Vietnam</t>
        </is>
      </c>
      <c r="C1845" s="19" t="n">
        <v>102300000</v>
      </c>
      <c r="D1845" s="18" t="inlineStr">
        <is>
          <t>VN</t>
        </is>
      </c>
      <c r="E1845" s="18" t="inlineStr">
        <is>
          <t>65</t>
        </is>
      </c>
      <c r="F1845" s="20" t="n">
        <v>114453</v>
      </c>
      <c r="G1845" s="18" t="n"/>
      <c r="H1845" s="18" t="n"/>
      <c r="I1845" s="18" t="n"/>
      <c r="J1845" s="18" t="n"/>
      <c r="K1845" s="18" t="n"/>
      <c r="L1845" s="18" t="inlineStr">
        <is>
          <t>100k +  pop</t>
        </is>
      </c>
      <c r="M1845" s="22" t="n">
        <v>0</v>
      </c>
      <c r="N1845" s="22" t="n">
        <v>0</v>
      </c>
      <c r="O1845" s="18" t="n"/>
      <c r="P1845" s="22">
        <f>IF(O1845="",(About!$B$5*M1845+About!$B$6*N1845)/(About!$B$5+About!$B$6),About!$B$5*M1845+About!$B$6*N1845+About!$B$7*O1845)</f>
        <v/>
      </c>
      <c r="Q1845" s="23" t="n">
        <v>9.5999</v>
      </c>
      <c r="R1845" s="23" t="n">
        <v>105.9719</v>
      </c>
    </row>
    <row r="1846" ht="15" customHeight="1" s="12">
      <c r="A1846" s="18" t="inlineStr">
        <is>
          <t>Kingston</t>
        </is>
      </c>
      <c r="B1846" s="18" t="inlineStr">
        <is>
          <t>Canada</t>
        </is>
      </c>
      <c r="C1846" s="19" t="n">
        <v>41472081</v>
      </c>
      <c r="D1846" s="18" t="inlineStr">
        <is>
          <t>CA</t>
        </is>
      </c>
      <c r="E1846" s="18" t="inlineStr">
        <is>
          <t>08</t>
        </is>
      </c>
      <c r="F1846" s="20" t="n">
        <v>114195</v>
      </c>
      <c r="G1846" s="18" t="n"/>
      <c r="H1846" s="18" t="n"/>
      <c r="I1846" s="18" t="n"/>
      <c r="J1846" s="18" t="n"/>
      <c r="K1846" s="18" t="n"/>
      <c r="L1846" s="18" t="inlineStr">
        <is>
          <t>100k +  pop</t>
        </is>
      </c>
      <c r="M1846" s="22" t="n">
        <v>0</v>
      </c>
      <c r="N1846" s="22" t="n">
        <v>0</v>
      </c>
      <c r="O1846" s="18" t="n"/>
      <c r="P1846" s="22">
        <f>IF(O1846="",(About!$B$5*M1846+About!$B$6*N1846)/(About!$B$5+About!$B$6),About!$B$5*M1846+About!$B$6*N1846+About!$B$7*O1846)</f>
        <v/>
      </c>
      <c r="Q1846" s="23" t="n">
        <v>44.2298</v>
      </c>
      <c r="R1846" s="23" t="n">
        <v>-76.48099999999999</v>
      </c>
    </row>
    <row r="1847" ht="15" customHeight="1" s="12">
      <c r="A1847" s="18" t="inlineStr">
        <is>
          <t>Siirt</t>
        </is>
      </c>
      <c r="B1847" s="18" t="inlineStr">
        <is>
          <t>Türkiye</t>
        </is>
      </c>
      <c r="C1847" s="19" t="n">
        <v>86092168</v>
      </c>
      <c r="D1847" s="18" t="inlineStr">
        <is>
          <t>TR</t>
        </is>
      </c>
      <c r="E1847" s="18" t="inlineStr">
        <is>
          <t>74</t>
        </is>
      </c>
      <c r="F1847" s="20" t="n">
        <v>114034</v>
      </c>
      <c r="G1847" s="18" t="n"/>
      <c r="H1847" s="18" t="n"/>
      <c r="I1847" s="18" t="n"/>
      <c r="J1847" s="18" t="n"/>
      <c r="K1847" s="18" t="n"/>
      <c r="L1847" s="18" t="inlineStr">
        <is>
          <t>100k +  pop</t>
        </is>
      </c>
      <c r="M1847" s="22" t="n">
        <v>0</v>
      </c>
      <c r="N1847" s="22" t="n">
        <v>0</v>
      </c>
      <c r="O1847" s="18" t="n"/>
      <c r="P1847" s="22">
        <f>IF(O1847="",(About!$B$5*M1847+About!$B$6*N1847)/(About!$B$5+About!$B$6),About!$B$5*M1847+About!$B$6*N1847+About!$B$7*O1847)</f>
        <v/>
      </c>
      <c r="Q1847" s="23" t="n">
        <v>37.9293</v>
      </c>
      <c r="R1847" s="23" t="n">
        <v>41.9413</v>
      </c>
    </row>
    <row r="1848" ht="15" customHeight="1" s="12">
      <c r="A1848" s="18" t="inlineStr">
        <is>
          <t>Laghouat</t>
        </is>
      </c>
      <c r="B1848" s="18" t="inlineStr">
        <is>
          <t>Algeria</t>
        </is>
      </c>
      <c r="C1848" s="19" t="n">
        <v>47400000</v>
      </c>
      <c r="D1848" s="18" t="inlineStr">
        <is>
          <t>DZ</t>
        </is>
      </c>
      <c r="E1848" s="18" t="inlineStr">
        <is>
          <t>25</t>
        </is>
      </c>
      <c r="F1848" s="20" t="n">
        <v>113872</v>
      </c>
      <c r="G1848" s="18" t="n"/>
      <c r="H1848" s="18" t="n"/>
      <c r="I1848" s="18" t="n"/>
      <c r="J1848" s="18" t="n"/>
      <c r="K1848" s="18" t="n"/>
      <c r="L1848" s="18" t="inlineStr">
        <is>
          <t>100k +  pop</t>
        </is>
      </c>
      <c r="M1848" s="22" t="n">
        <v>0</v>
      </c>
      <c r="N1848" s="22" t="n">
        <v>0</v>
      </c>
      <c r="O1848" s="18" t="n"/>
      <c r="P1848" s="22">
        <f>IF(O1848="",(About!$B$5*M1848+About!$B$6*N1848)/(About!$B$5+About!$B$6),About!$B$5*M1848+About!$B$6*N1848+About!$B$7*O1848)</f>
        <v/>
      </c>
      <c r="Q1848" s="23" t="n">
        <v>33.8</v>
      </c>
      <c r="R1848" s="23" t="n">
        <v>2.8651</v>
      </c>
    </row>
    <row r="1849" ht="15" customHeight="1" s="12">
      <c r="A1849" s="18" t="inlineStr">
        <is>
          <t>Chesterfield</t>
        </is>
      </c>
      <c r="B1849" s="18" t="inlineStr">
        <is>
          <t>United Kingdom</t>
        </is>
      </c>
      <c r="C1849" s="19" t="n">
        <v>69487000</v>
      </c>
      <c r="D1849" s="18" t="inlineStr">
        <is>
          <t>GB</t>
        </is>
      </c>
      <c r="E1849" s="18" t="inlineStr">
        <is>
          <t>ENG</t>
        </is>
      </c>
      <c r="F1849" s="20" t="n">
        <v>113057</v>
      </c>
      <c r="G1849" s="18" t="n"/>
      <c r="H1849" s="18" t="n"/>
      <c r="I1849" s="18" t="n"/>
      <c r="J1849" s="18" t="n"/>
      <c r="K1849" s="18" t="n"/>
      <c r="L1849" s="18" t="inlineStr">
        <is>
          <t>100k +  pop</t>
        </is>
      </c>
      <c r="M1849" s="22" t="n">
        <v>0</v>
      </c>
      <c r="N1849" s="22" t="n">
        <v>0</v>
      </c>
      <c r="O1849" s="18" t="n"/>
      <c r="P1849" s="22">
        <f>IF(O1849="",(About!$B$5*M1849+About!$B$6*N1849)/(About!$B$5+About!$B$6),About!$B$5*M1849+About!$B$6*N1849+About!$B$7*O1849)</f>
        <v/>
      </c>
      <c r="Q1849" s="23" t="n">
        <v>53.25</v>
      </c>
      <c r="R1849" s="23" t="n">
        <v>-1.4167</v>
      </c>
    </row>
    <row r="1850" ht="15" customHeight="1" s="12">
      <c r="A1850" s="18" t="inlineStr">
        <is>
          <t>Alanya</t>
        </is>
      </c>
      <c r="B1850" s="18" t="inlineStr">
        <is>
          <t>Türkiye</t>
        </is>
      </c>
      <c r="C1850" s="19" t="n">
        <v>86092168</v>
      </c>
      <c r="D1850" s="18" t="inlineStr">
        <is>
          <t>TR</t>
        </is>
      </c>
      <c r="E1850" s="18" t="inlineStr">
        <is>
          <t>07</t>
        </is>
      </c>
      <c r="F1850" s="20" t="n">
        <v>112969</v>
      </c>
      <c r="G1850" s="18" t="n"/>
      <c r="H1850" s="18" t="n"/>
      <c r="I1850" s="18" t="n"/>
      <c r="J1850" s="18" t="n"/>
      <c r="K1850" s="18" t="n"/>
      <c r="L1850" s="18" t="inlineStr">
        <is>
          <t>100k +  pop</t>
        </is>
      </c>
      <c r="M1850" s="22" t="n">
        <v>0</v>
      </c>
      <c r="N1850" s="22" t="n">
        <v>0</v>
      </c>
      <c r="O1850" s="18" t="n"/>
      <c r="P1850" s="22">
        <f>IF(O1850="",(About!$B$5*M1850+About!$B$6*N1850)/(About!$B$5+About!$B$6),About!$B$5*M1850+About!$B$6*N1850+About!$B$7*O1850)</f>
        <v/>
      </c>
      <c r="Q1850" s="23" t="n">
        <v>36.5438</v>
      </c>
      <c r="R1850" s="23" t="n">
        <v>31.9998</v>
      </c>
    </row>
    <row r="1851" ht="15" customHeight="1" s="12">
      <c r="A1851" s="18" t="inlineStr">
        <is>
          <t>Vihari</t>
        </is>
      </c>
      <c r="B1851" s="18" t="inlineStr">
        <is>
          <t>Pakistan</t>
        </is>
      </c>
      <c r="C1851" s="19" t="n">
        <v>241499431</v>
      </c>
      <c r="D1851" s="18" t="inlineStr">
        <is>
          <t>PK</t>
        </is>
      </c>
      <c r="E1851" s="18" t="inlineStr">
        <is>
          <t>04</t>
        </is>
      </c>
      <c r="F1851" s="20" t="n">
        <v>112840</v>
      </c>
      <c r="G1851" s="18" t="n"/>
      <c r="H1851" s="18" t="n"/>
      <c r="I1851" s="18" t="n"/>
      <c r="J1851" s="18" t="n"/>
      <c r="K1851" s="18" t="n"/>
      <c r="L1851" s="18" t="inlineStr">
        <is>
          <t>100k +  pop</t>
        </is>
      </c>
      <c r="M1851" s="22" t="n">
        <v>0</v>
      </c>
      <c r="N1851" s="22" t="n">
        <v>0</v>
      </c>
      <c r="O1851" s="18" t="n"/>
      <c r="P1851" s="22">
        <f>IF(O1851="",(About!$B$5*M1851+About!$B$6*N1851)/(About!$B$5+About!$B$6),About!$B$5*M1851+About!$B$6*N1851+About!$B$7*O1851)</f>
        <v/>
      </c>
      <c r="Q1851" s="23" t="n">
        <v>30.0445</v>
      </c>
      <c r="R1851" s="23" t="n">
        <v>72.3556</v>
      </c>
    </row>
    <row r="1852" ht="15" customHeight="1" s="12">
      <c r="A1852" s="18" t="inlineStr">
        <is>
          <t>Rouen</t>
        </is>
      </c>
      <c r="B1852" s="18" t="inlineStr">
        <is>
          <t>France</t>
        </is>
      </c>
      <c r="C1852" s="19" t="n">
        <v>69081996</v>
      </c>
      <c r="D1852" s="18" t="inlineStr">
        <is>
          <t>FR</t>
        </is>
      </c>
      <c r="E1852" s="18" t="inlineStr">
        <is>
          <t>28</t>
        </is>
      </c>
      <c r="F1852" s="20" t="n">
        <v>112787</v>
      </c>
      <c r="G1852" s="18" t="n"/>
      <c r="H1852" s="18" t="n"/>
      <c r="I1852" s="18" t="n"/>
      <c r="J1852" s="18" t="n"/>
      <c r="K1852" s="18" t="n"/>
      <c r="L1852" s="18" t="inlineStr">
        <is>
          <t>100k +  pop</t>
        </is>
      </c>
      <c r="M1852" s="22" t="n">
        <v>0</v>
      </c>
      <c r="N1852" s="22" t="n">
        <v>0</v>
      </c>
      <c r="O1852" s="18" t="n"/>
      <c r="P1852" s="22">
        <f>IF(O1852="",(About!$B$5*M1852+About!$B$6*N1852)/(About!$B$5+About!$B$6),About!$B$5*M1852+About!$B$6*N1852+About!$B$7*O1852)</f>
        <v/>
      </c>
      <c r="Q1852" s="23" t="n">
        <v>49.4431</v>
      </c>
      <c r="R1852" s="23" t="n">
        <v>1.0993</v>
      </c>
    </row>
    <row r="1853" ht="15" customHeight="1" s="12">
      <c r="A1853" s="18" t="inlineStr">
        <is>
          <t>Kamalia</t>
        </is>
      </c>
      <c r="B1853" s="18" t="inlineStr">
        <is>
          <t>Pakistan</t>
        </is>
      </c>
      <c r="C1853" s="19" t="n">
        <v>241499431</v>
      </c>
      <c r="D1853" s="18" t="inlineStr">
        <is>
          <t>PK</t>
        </is>
      </c>
      <c r="E1853" s="18" t="inlineStr">
        <is>
          <t>04</t>
        </is>
      </c>
      <c r="F1853" s="20" t="n">
        <v>112426</v>
      </c>
      <c r="G1853" s="18" t="n"/>
      <c r="H1853" s="18" t="n"/>
      <c r="I1853" s="18" t="n"/>
      <c r="J1853" s="18" t="n"/>
      <c r="K1853" s="18" t="n"/>
      <c r="L1853" s="18" t="inlineStr">
        <is>
          <t>100k +  pop</t>
        </is>
      </c>
      <c r="M1853" s="22" t="n">
        <v>0</v>
      </c>
      <c r="N1853" s="22" t="n">
        <v>0</v>
      </c>
      <c r="O1853" s="18" t="n"/>
      <c r="P1853" s="22">
        <f>IF(O1853="",(About!$B$5*M1853+About!$B$6*N1853)/(About!$B$5+About!$B$6),About!$B$5*M1853+About!$B$6*N1853+About!$B$7*O1853)</f>
        <v/>
      </c>
      <c r="Q1853" s="23" t="n">
        <v>30.7271</v>
      </c>
      <c r="R1853" s="23" t="n">
        <v>72.6461</v>
      </c>
    </row>
    <row r="1854" ht="15" customHeight="1" s="12">
      <c r="A1854" s="18" t="inlineStr">
        <is>
          <t>Farīdpur</t>
        </is>
      </c>
      <c r="B1854" s="18" t="inlineStr">
        <is>
          <t>Bangladesh</t>
        </is>
      </c>
      <c r="C1854" s="19" t="n">
        <v>169828911</v>
      </c>
      <c r="D1854" s="18" t="inlineStr">
        <is>
          <t>BD</t>
        </is>
      </c>
      <c r="E1854" s="18" t="inlineStr">
        <is>
          <t>81</t>
        </is>
      </c>
      <c r="F1854" s="20" t="n">
        <v>112187</v>
      </c>
      <c r="G1854" s="18" t="n"/>
      <c r="H1854" s="18" t="n"/>
      <c r="I1854" s="18" t="n"/>
      <c r="J1854" s="18" t="n"/>
      <c r="K1854" s="18" t="n"/>
      <c r="L1854" s="18" t="inlineStr">
        <is>
          <t>100k +  pop</t>
        </is>
      </c>
      <c r="M1854" s="22" t="n">
        <v>0</v>
      </c>
      <c r="N1854" s="22" t="n">
        <v>0</v>
      </c>
      <c r="O1854" s="18" t="n"/>
      <c r="P1854" s="22">
        <f>IF(O1854="",(About!$B$5*M1854+About!$B$6*N1854)/(About!$B$5+About!$B$6),About!$B$5*M1854+About!$B$6*N1854+About!$B$7*O1854)</f>
        <v/>
      </c>
      <c r="Q1854" s="23" t="n">
        <v>23.6061</v>
      </c>
      <c r="R1854" s="23" t="n">
        <v>89.84059999999999</v>
      </c>
    </row>
    <row r="1855" ht="15" customHeight="1" s="12">
      <c r="A1855" s="18" t="inlineStr">
        <is>
          <t>Iringa</t>
        </is>
      </c>
      <c r="B1855" s="18" t="inlineStr">
        <is>
          <t>Tanzania</t>
        </is>
      </c>
      <c r="C1855" s="19" t="n">
        <v>68153004</v>
      </c>
      <c r="D1855" s="18" t="inlineStr">
        <is>
          <t>TZ</t>
        </is>
      </c>
      <c r="E1855" s="18" t="inlineStr">
        <is>
          <t>04</t>
        </is>
      </c>
      <c r="F1855" s="20" t="n">
        <v>111820</v>
      </c>
      <c r="G1855" s="18" t="n"/>
      <c r="H1855" s="18" t="n"/>
      <c r="I1855" s="18" t="n"/>
      <c r="J1855" s="18" t="n"/>
      <c r="K1855" s="18" t="n"/>
      <c r="L1855" s="18" t="inlineStr">
        <is>
          <t>100k +  pop</t>
        </is>
      </c>
      <c r="M1855" s="22" t="n">
        <v>0</v>
      </c>
      <c r="N1855" s="22" t="n">
        <v>0</v>
      </c>
      <c r="O1855" s="18" t="n"/>
      <c r="P1855" s="22">
        <f>IF(O1855="",(About!$B$5*M1855+About!$B$6*N1855)/(About!$B$5+About!$B$6),About!$B$5*M1855+About!$B$6*N1855+About!$B$7*O1855)</f>
        <v/>
      </c>
      <c r="Q1855" s="23" t="n">
        <v>-7.7667</v>
      </c>
      <c r="R1855" s="23" t="n">
        <v>35.7</v>
      </c>
    </row>
    <row r="1856" ht="15" customHeight="1" s="12">
      <c r="A1856" s="18" t="inlineStr">
        <is>
          <t>Qūchān</t>
        </is>
      </c>
      <c r="B1856" s="18" t="inlineStr">
        <is>
          <t>Iran</t>
        </is>
      </c>
      <c r="C1856" s="19" t="n">
        <v>87134000</v>
      </c>
      <c r="D1856" s="18" t="inlineStr">
        <is>
          <t>IR</t>
        </is>
      </c>
      <c r="E1856" s="18" t="inlineStr">
        <is>
          <t>42</t>
        </is>
      </c>
      <c r="F1856" s="20" t="n">
        <v>111752</v>
      </c>
      <c r="G1856" s="18" t="n"/>
      <c r="H1856" s="18" t="n"/>
      <c r="I1856" s="18" t="n"/>
      <c r="J1856" s="18" t="n"/>
      <c r="K1856" s="18" t="n"/>
      <c r="L1856" s="18" t="inlineStr">
        <is>
          <t>100k +  pop</t>
        </is>
      </c>
      <c r="M1856" s="22" t="n">
        <v>0</v>
      </c>
      <c r="N1856" s="22" t="n">
        <v>0</v>
      </c>
      <c r="O1856" s="18" t="n"/>
      <c r="P1856" s="22">
        <f>IF(O1856="",(About!$B$5*M1856+About!$B$6*N1856)/(About!$B$5+About!$B$6),About!$B$5*M1856+About!$B$6*N1856+About!$B$7*O1856)</f>
        <v/>
      </c>
      <c r="Q1856" s="23" t="n">
        <v>37.106</v>
      </c>
      <c r="R1856" s="23" t="n">
        <v>58.5095</v>
      </c>
    </row>
    <row r="1857" ht="15" customHeight="1" s="12">
      <c r="A1857" s="18" t="inlineStr">
        <is>
          <t>Kandy</t>
        </is>
      </c>
      <c r="B1857" s="18" t="inlineStr">
        <is>
          <t>Sri Lanka</t>
        </is>
      </c>
      <c r="C1857" s="19" t="n">
        <v>21781800</v>
      </c>
      <c r="D1857" s="18" t="inlineStr">
        <is>
          <t>LK</t>
        </is>
      </c>
      <c r="E1857" s="18" t="inlineStr">
        <is>
          <t>29</t>
        </is>
      </c>
      <c r="F1857" s="20" t="n">
        <v>111701</v>
      </c>
      <c r="G1857" s="18" t="n"/>
      <c r="H1857" s="18" t="inlineStr">
        <is>
          <t>KDZ</t>
        </is>
      </c>
      <c r="I1857" s="18" t="inlineStr">
        <is>
          <t>Polgolla Reservoir Seaplane Base</t>
        </is>
      </c>
      <c r="J1857" s="21" t="n">
        <v>4</v>
      </c>
      <c r="K1857" s="18" t="inlineStr">
        <is>
          <t>KDZ</t>
        </is>
      </c>
      <c r="L1857" s="18" t="inlineStr">
        <is>
          <t>100k +  pop + airport</t>
        </is>
      </c>
      <c r="M1857" s="22" t="n">
        <v>0</v>
      </c>
      <c r="N1857" s="22" t="n">
        <v>0</v>
      </c>
      <c r="O1857" s="18" t="n"/>
      <c r="P1857" s="22">
        <f>IF(O1857="",(About!$B$5*M1857+About!$B$6*N1857)/(About!$B$5+About!$B$6),About!$B$5*M1857+About!$B$6*N1857+About!$B$7*O1857)</f>
        <v/>
      </c>
      <c r="Q1857" s="23" t="n">
        <v>7.2906</v>
      </c>
      <c r="R1857" s="23" t="n">
        <v>80.6336</v>
      </c>
    </row>
    <row r="1858" ht="15" customHeight="1" s="12">
      <c r="A1858" s="18" t="inlineStr">
        <is>
          <t>Daugavpils</t>
        </is>
      </c>
      <c r="B1858" s="18" t="inlineStr">
        <is>
          <t>Latvia</t>
        </is>
      </c>
      <c r="C1858" s="19" t="n">
        <v>1815900</v>
      </c>
      <c r="D1858" s="18" t="inlineStr">
        <is>
          <t>LV</t>
        </is>
      </c>
      <c r="E1858" s="18" t="inlineStr">
        <is>
          <t>07</t>
        </is>
      </c>
      <c r="F1858" s="20" t="n">
        <v>111564</v>
      </c>
      <c r="G1858" s="18" t="n"/>
      <c r="H1858" s="18" t="n"/>
      <c r="I1858" s="18" t="n"/>
      <c r="J1858" s="18" t="n"/>
      <c r="K1858" s="18" t="n"/>
      <c r="L1858" s="18" t="inlineStr">
        <is>
          <t>100k +  pop</t>
        </is>
      </c>
      <c r="M1858" s="22" t="n">
        <v>0</v>
      </c>
      <c r="N1858" s="22" t="n">
        <v>0</v>
      </c>
      <c r="O1858" s="18" t="n"/>
      <c r="P1858" s="22">
        <f>IF(O1858="",(About!$B$5*M1858+About!$B$6*N1858)/(About!$B$5+About!$B$6),About!$B$5*M1858+About!$B$6*N1858+About!$B$7*O1858)</f>
        <v/>
      </c>
      <c r="Q1858" s="23" t="n">
        <v>55.8833</v>
      </c>
      <c r="R1858" s="23" t="n">
        <v>26.5333</v>
      </c>
    </row>
    <row r="1859" ht="15" customHeight="1" s="12">
      <c r="A1859" s="18" t="inlineStr">
        <is>
          <t>Masjed Soleymān</t>
        </is>
      </c>
      <c r="B1859" s="18" t="inlineStr">
        <is>
          <t>Iran</t>
        </is>
      </c>
      <c r="C1859" s="19" t="n">
        <v>87134000</v>
      </c>
      <c r="D1859" s="18" t="inlineStr">
        <is>
          <t>IR</t>
        </is>
      </c>
      <c r="E1859" s="18" t="inlineStr">
        <is>
          <t>15</t>
        </is>
      </c>
      <c r="F1859" s="20" t="n">
        <v>111510</v>
      </c>
      <c r="G1859" s="18" t="n"/>
      <c r="H1859" s="18" t="n"/>
      <c r="I1859" s="18" t="n"/>
      <c r="J1859" s="18" t="n"/>
      <c r="K1859" s="18" t="n"/>
      <c r="L1859" s="18" t="inlineStr">
        <is>
          <t>100k +  pop</t>
        </is>
      </c>
      <c r="M1859" s="22" t="n">
        <v>0</v>
      </c>
      <c r="N1859" s="22" t="n">
        <v>0</v>
      </c>
      <c r="O1859" s="18" t="n"/>
      <c r="P1859" s="22">
        <f>IF(O1859="",(About!$B$5*M1859+About!$B$6*N1859)/(About!$B$5+About!$B$6),About!$B$5*M1859+About!$B$6*N1859+About!$B$7*O1859)</f>
        <v/>
      </c>
      <c r="Q1859" s="23" t="n">
        <v>31.9364</v>
      </c>
      <c r="R1859" s="23" t="n">
        <v>49.3039</v>
      </c>
    </row>
    <row r="1860" ht="15" customHeight="1" s="12">
      <c r="A1860" s="18" t="inlineStr">
        <is>
          <t>Magelang</t>
        </is>
      </c>
      <c r="B1860" s="18" t="inlineStr">
        <is>
          <t>Indonesia</t>
        </is>
      </c>
      <c r="C1860" s="19" t="n">
        <v>288315089</v>
      </c>
      <c r="D1860" s="18" t="inlineStr">
        <is>
          <t>ID</t>
        </is>
      </c>
      <c r="E1860" s="18" t="inlineStr">
        <is>
          <t>07</t>
        </is>
      </c>
      <c r="F1860" s="20" t="n">
        <v>111461</v>
      </c>
      <c r="G1860" s="18" t="n"/>
      <c r="H1860" s="18" t="n"/>
      <c r="I1860" s="18" t="n"/>
      <c r="J1860" s="18" t="n"/>
      <c r="K1860" s="18" t="n"/>
      <c r="L1860" s="18" t="inlineStr">
        <is>
          <t>100k +  pop</t>
        </is>
      </c>
      <c r="M1860" s="22" t="n">
        <v>0</v>
      </c>
      <c r="N1860" s="22" t="n">
        <v>0</v>
      </c>
      <c r="O1860" s="18" t="n"/>
      <c r="P1860" s="22">
        <f>IF(O1860="",(About!$B$5*M1860+About!$B$6*N1860)/(About!$B$5+About!$B$6),About!$B$5*M1860+About!$B$6*N1860+About!$B$7*O1860)</f>
        <v/>
      </c>
      <c r="Q1860" s="23" t="n">
        <v>-7.4706</v>
      </c>
      <c r="R1860" s="23" t="n">
        <v>110.2178</v>
      </c>
    </row>
    <row r="1861" ht="15" customHeight="1" s="12">
      <c r="A1861" s="18" t="inlineStr">
        <is>
          <t>Beau Bassin-Rose Hill</t>
        </is>
      </c>
      <c r="B1861" s="18" t="inlineStr">
        <is>
          <t>Mauritius</t>
        </is>
      </c>
      <c r="C1861" s="19" t="n">
        <v>1241856</v>
      </c>
      <c r="D1861" s="18" t="inlineStr">
        <is>
          <t>MU</t>
        </is>
      </c>
      <c r="E1861" s="18" t="inlineStr">
        <is>
          <t>17</t>
        </is>
      </c>
      <c r="F1861" s="20" t="n">
        <v>111355</v>
      </c>
      <c r="G1861" s="18" t="n"/>
      <c r="H1861" s="18" t="n"/>
      <c r="I1861" s="18" t="n"/>
      <c r="J1861" s="18" t="n"/>
      <c r="K1861" s="18" t="n"/>
      <c r="L1861" s="18" t="inlineStr">
        <is>
          <t>100k +  pop</t>
        </is>
      </c>
      <c r="M1861" s="22" t="n">
        <v>0</v>
      </c>
      <c r="N1861" s="22" t="n">
        <v>0</v>
      </c>
      <c r="O1861" s="18" t="n"/>
      <c r="P1861" s="22">
        <f>IF(O1861="",(About!$B$5*M1861+About!$B$6*N1861)/(About!$B$5+About!$B$6),About!$B$5*M1861+About!$B$6*N1861+About!$B$7*O1861)</f>
        <v/>
      </c>
      <c r="Q1861" s="23" t="n">
        <v>-20.2333</v>
      </c>
      <c r="R1861" s="23" t="n">
        <v>57.4661</v>
      </c>
    </row>
    <row r="1862" ht="15" customHeight="1" s="12">
      <c r="A1862" s="18" t="inlineStr">
        <is>
          <t>Hikone</t>
        </is>
      </c>
      <c r="B1862" s="18" t="inlineStr">
        <is>
          <t>Japan</t>
        </is>
      </c>
      <c r="C1862" s="19" t="n">
        <v>122810000</v>
      </c>
      <c r="D1862" s="18" t="inlineStr">
        <is>
          <t>JP</t>
        </is>
      </c>
      <c r="E1862" s="18" t="inlineStr">
        <is>
          <t>35</t>
        </is>
      </c>
      <c r="F1862" s="20" t="n">
        <v>110925</v>
      </c>
      <c r="G1862" s="18" t="n"/>
      <c r="H1862" s="18" t="n"/>
      <c r="I1862" s="18" t="n"/>
      <c r="J1862" s="18" t="n"/>
      <c r="K1862" s="18" t="n"/>
      <c r="L1862" s="18" t="inlineStr">
        <is>
          <t>100k +  pop</t>
        </is>
      </c>
      <c r="M1862" s="22" t="n">
        <v>0</v>
      </c>
      <c r="N1862" s="22" t="n">
        <v>0</v>
      </c>
      <c r="O1862" s="18" t="n"/>
      <c r="P1862" s="22">
        <f>IF(O1862="",(About!$B$5*M1862+About!$B$6*N1862)/(About!$B$5+About!$B$6),About!$B$5*M1862+About!$B$6*N1862+About!$B$7*O1862)</f>
        <v/>
      </c>
      <c r="Q1862" s="23" t="n">
        <v>35.25</v>
      </c>
      <c r="R1862" s="23" t="n">
        <v>136.25</v>
      </c>
    </row>
    <row r="1863" ht="15" customHeight="1" s="12">
      <c r="A1863" s="18" t="inlineStr">
        <is>
          <t>Turhal</t>
        </is>
      </c>
      <c r="B1863" s="18" t="inlineStr">
        <is>
          <t>Türkiye</t>
        </is>
      </c>
      <c r="C1863" s="19" t="n">
        <v>86092168</v>
      </c>
      <c r="D1863" s="18" t="inlineStr">
        <is>
          <t>TR</t>
        </is>
      </c>
      <c r="E1863" s="18" t="inlineStr">
        <is>
          <t>60</t>
        </is>
      </c>
      <c r="F1863" s="20" t="n">
        <v>110884</v>
      </c>
      <c r="G1863" s="18" t="n"/>
      <c r="H1863" s="18" t="n"/>
      <c r="I1863" s="18" t="n"/>
      <c r="J1863" s="18" t="n"/>
      <c r="K1863" s="18" t="n"/>
      <c r="L1863" s="18" t="inlineStr">
        <is>
          <t>100k +  pop</t>
        </is>
      </c>
      <c r="M1863" s="22" t="n">
        <v>0</v>
      </c>
      <c r="N1863" s="22" t="n">
        <v>0</v>
      </c>
      <c r="O1863" s="18" t="n"/>
      <c r="P1863" s="22">
        <f>IF(O1863="",(About!$B$5*M1863+About!$B$6*N1863)/(About!$B$5+About!$B$6),About!$B$5*M1863+About!$B$6*N1863+About!$B$7*O1863)</f>
        <v/>
      </c>
      <c r="Q1863" s="23" t="n">
        <v>40.3875</v>
      </c>
      <c r="R1863" s="23" t="n">
        <v>36.0811</v>
      </c>
    </row>
    <row r="1864" ht="15" customHeight="1" s="12">
      <c r="A1864" s="18" t="inlineStr">
        <is>
          <t>Yenangyaung</t>
        </is>
      </c>
      <c r="B1864" s="18" t="inlineStr">
        <is>
          <t>Myanmar</t>
        </is>
      </c>
      <c r="C1864" s="19" t="n">
        <v>51375327</v>
      </c>
      <c r="D1864" s="18" t="inlineStr">
        <is>
          <t>MM</t>
        </is>
      </c>
      <c r="E1864" s="18" t="inlineStr">
        <is>
          <t>15</t>
        </is>
      </c>
      <c r="F1864" s="20" t="n">
        <v>110553</v>
      </c>
      <c r="G1864" s="18" t="n"/>
      <c r="H1864" s="18" t="n"/>
      <c r="I1864" s="18" t="n"/>
      <c r="J1864" s="18" t="n"/>
      <c r="K1864" s="18" t="n"/>
      <c r="L1864" s="18" t="inlineStr">
        <is>
          <t>100k +  pop</t>
        </is>
      </c>
      <c r="M1864" s="22" t="n">
        <v>0</v>
      </c>
      <c r="N1864" s="22" t="n">
        <v>0</v>
      </c>
      <c r="O1864" s="18" t="n"/>
      <c r="P1864" s="22">
        <f>IF(O1864="",(About!$B$5*M1864+About!$B$6*N1864)/(About!$B$5+About!$B$6),About!$B$5*M1864+About!$B$6*N1864+About!$B$7*O1864)</f>
        <v/>
      </c>
      <c r="Q1864" s="23" t="n">
        <v>20.465</v>
      </c>
      <c r="R1864" s="23" t="n">
        <v>94.8712</v>
      </c>
    </row>
    <row r="1865" ht="15" customHeight="1" s="12">
      <c r="A1865" s="18" t="inlineStr">
        <is>
          <t>Manzini</t>
        </is>
      </c>
      <c r="B1865" s="18" t="inlineStr">
        <is>
          <t>Eswatini</t>
        </is>
      </c>
      <c r="C1865" s="19" t="n">
        <v>1235549</v>
      </c>
      <c r="D1865" s="18" t="inlineStr">
        <is>
          <t>SZ</t>
        </is>
      </c>
      <c r="E1865" s="18" t="inlineStr">
        <is>
          <t>03</t>
        </is>
      </c>
      <c r="F1865" s="20" t="n">
        <v>110537</v>
      </c>
      <c r="G1865" s="18" t="n"/>
      <c r="H1865" s="18" t="n"/>
      <c r="I1865" s="18" t="n"/>
      <c r="J1865" s="18" t="n"/>
      <c r="K1865" s="18" t="n"/>
      <c r="L1865" s="18" t="inlineStr">
        <is>
          <t>100k +  pop</t>
        </is>
      </c>
      <c r="M1865" s="22" t="n">
        <v>0</v>
      </c>
      <c r="N1865" s="22" t="n">
        <v>0</v>
      </c>
      <c r="O1865" s="18" t="n"/>
      <c r="P1865" s="22">
        <f>IF(O1865="",(About!$B$5*M1865+About!$B$6*N1865)/(About!$B$5+About!$B$6),About!$B$5*M1865+About!$B$6*N1865+About!$B$7*O1865)</f>
        <v/>
      </c>
      <c r="Q1865" s="23" t="n">
        <v>-26.4988</v>
      </c>
      <c r="R1865" s="23" t="n">
        <v>31.38</v>
      </c>
    </row>
    <row r="1866" ht="15" customHeight="1" s="12">
      <c r="A1866" s="18" t="inlineStr">
        <is>
          <t>Vacoas</t>
        </is>
      </c>
      <c r="B1866" s="18" t="inlineStr">
        <is>
          <t>Mauritius</t>
        </is>
      </c>
      <c r="C1866" s="19" t="n">
        <v>1241856</v>
      </c>
      <c r="D1866" s="18" t="inlineStr">
        <is>
          <t>MU</t>
        </is>
      </c>
      <c r="E1866" s="18" t="inlineStr">
        <is>
          <t>17</t>
        </is>
      </c>
      <c r="F1866" s="20" t="n">
        <v>110000</v>
      </c>
      <c r="G1866" s="18" t="n"/>
      <c r="H1866" s="18" t="n"/>
      <c r="I1866" s="18" t="n"/>
      <c r="J1866" s="18" t="n"/>
      <c r="K1866" s="18" t="n"/>
      <c r="L1866" s="18" t="inlineStr">
        <is>
          <t>100k +  pop</t>
        </is>
      </c>
      <c r="M1866" s="22" t="n">
        <v>0</v>
      </c>
      <c r="N1866" s="22" t="n">
        <v>0</v>
      </c>
      <c r="O1866" s="18" t="n"/>
      <c r="P1866" s="22">
        <f>IF(O1866="",(About!$B$5*M1866+About!$B$6*N1866)/(About!$B$5+About!$B$6),About!$B$5*M1866+About!$B$6*N1866+About!$B$7*O1866)</f>
        <v/>
      </c>
      <c r="Q1866" s="23" t="n">
        <v>-20.2981</v>
      </c>
      <c r="R1866" s="23" t="n">
        <v>57.4783</v>
      </c>
    </row>
    <row r="1867" ht="15" customHeight="1" s="12">
      <c r="A1867" s="18" t="inlineStr">
        <is>
          <t>Phalaborwa</t>
        </is>
      </c>
      <c r="B1867" s="18" t="inlineStr">
        <is>
          <t>South Africa</t>
        </is>
      </c>
      <c r="C1867" s="19" t="n">
        <v>63100945</v>
      </c>
      <c r="D1867" s="18" t="inlineStr">
        <is>
          <t>ZA</t>
        </is>
      </c>
      <c r="E1867" s="18" t="inlineStr">
        <is>
          <t>09</t>
        </is>
      </c>
      <c r="F1867" s="20" t="n">
        <v>109468</v>
      </c>
      <c r="G1867" s="18" t="n"/>
      <c r="H1867" s="18" t="inlineStr">
        <is>
          <t>PHW</t>
        </is>
      </c>
      <c r="I1867" s="18" t="inlineStr">
        <is>
          <t>Hendrik Van Eck Airport</t>
        </is>
      </c>
      <c r="J1867" s="21" t="n">
        <v>1.6</v>
      </c>
      <c r="K1867" s="18" t="inlineStr">
        <is>
          <t>PHW</t>
        </is>
      </c>
      <c r="L1867" s="18" t="inlineStr">
        <is>
          <t>100k +  pop + airport</t>
        </is>
      </c>
      <c r="M1867" s="22" t="n">
        <v>0</v>
      </c>
      <c r="N1867" s="22" t="n">
        <v>0</v>
      </c>
      <c r="O1867" s="18" t="n"/>
      <c r="P1867" s="22">
        <f>IF(O1867="",(About!$B$5*M1867+About!$B$6*N1867)/(About!$B$5+About!$B$6),About!$B$5*M1867+About!$B$6*N1867+About!$B$7*O1867)</f>
        <v/>
      </c>
      <c r="Q1867" s="23" t="n">
        <v>-23.943</v>
      </c>
      <c r="R1867" s="23" t="n">
        <v>31.1411</v>
      </c>
    </row>
    <row r="1868" ht="15" customHeight="1" s="12">
      <c r="A1868" s="18" t="inlineStr">
        <is>
          <t>Sergiyev Posad</t>
        </is>
      </c>
      <c r="B1868" s="18" t="inlineStr">
        <is>
          <t>Russia</t>
        </is>
      </c>
      <c r="C1868" s="19" t="n">
        <v>146028325</v>
      </c>
      <c r="D1868" s="18" t="inlineStr">
        <is>
          <t>RU</t>
        </is>
      </c>
      <c r="E1868" s="18" t="inlineStr">
        <is>
          <t>47</t>
        </is>
      </c>
      <c r="F1868" s="20" t="n">
        <v>109252</v>
      </c>
      <c r="G1868" s="18" t="n"/>
      <c r="H1868" s="18" t="n"/>
      <c r="I1868" s="18" t="n"/>
      <c r="J1868" s="18" t="n"/>
      <c r="K1868" s="18" t="n"/>
      <c r="L1868" s="18" t="inlineStr">
        <is>
          <t>100k +  pop</t>
        </is>
      </c>
      <c r="M1868" s="22" t="n">
        <v>0</v>
      </c>
      <c r="N1868" s="22" t="n">
        <v>0</v>
      </c>
      <c r="O1868" s="18" t="n"/>
      <c r="P1868" s="22">
        <f>IF(O1868="",(About!$B$5*M1868+About!$B$6*N1868)/(About!$B$5+About!$B$6),About!$B$5*M1868+About!$B$6*N1868+About!$B$7*O1868)</f>
        <v/>
      </c>
      <c r="Q1868" s="23" t="n">
        <v>56.3</v>
      </c>
      <c r="R1868" s="23" t="n">
        <v>38.1333</v>
      </c>
    </row>
    <row r="1869" ht="15" customHeight="1" s="12">
      <c r="A1869" s="18" t="inlineStr">
        <is>
          <t>Katumba</t>
        </is>
      </c>
      <c r="B1869" s="18" t="inlineStr">
        <is>
          <t>Tanzania</t>
        </is>
      </c>
      <c r="C1869" s="19" t="n">
        <v>68153004</v>
      </c>
      <c r="D1869" s="18" t="inlineStr">
        <is>
          <t>TZ</t>
        </is>
      </c>
      <c r="E1869" s="18" t="inlineStr">
        <is>
          <t>09</t>
        </is>
      </c>
      <c r="F1869" s="20" t="n">
        <v>108558</v>
      </c>
      <c r="G1869" s="18" t="n"/>
      <c r="H1869" s="18" t="n"/>
      <c r="I1869" s="18" t="n"/>
      <c r="J1869" s="18" t="n"/>
      <c r="K1869" s="18" t="n"/>
      <c r="L1869" s="18" t="inlineStr">
        <is>
          <t>100k +  pop</t>
        </is>
      </c>
      <c r="M1869" s="22" t="n">
        <v>0</v>
      </c>
      <c r="N1869" s="22" t="n">
        <v>0</v>
      </c>
      <c r="O1869" s="18" t="n"/>
      <c r="P1869" s="22">
        <f>IF(O1869="",(About!$B$5*M1869+About!$B$6*N1869)/(About!$B$5+About!$B$6),About!$B$5*M1869+About!$B$6*N1869+About!$B$7*O1869)</f>
        <v/>
      </c>
      <c r="Q1869" s="23" t="n">
        <v>-9.2333</v>
      </c>
      <c r="R1869" s="23" t="n">
        <v>33.6167</v>
      </c>
    </row>
    <row r="1870" ht="15" customHeight="1" s="12">
      <c r="A1870" s="18" t="inlineStr">
        <is>
          <t>Mopti</t>
        </is>
      </c>
      <c r="B1870" s="18" t="inlineStr">
        <is>
          <t>Mali</t>
        </is>
      </c>
      <c r="C1870" s="19" t="n">
        <v>22395489</v>
      </c>
      <c r="D1870" s="18" t="inlineStr">
        <is>
          <t>ML</t>
        </is>
      </c>
      <c r="E1870" s="18" t="inlineStr">
        <is>
          <t>04</t>
        </is>
      </c>
      <c r="F1870" s="20" t="n">
        <v>108456</v>
      </c>
      <c r="G1870" s="18" t="n"/>
      <c r="H1870" s="18" t="inlineStr">
        <is>
          <t>MZI</t>
        </is>
      </c>
      <c r="I1870" s="18" t="inlineStr">
        <is>
          <t>Mopti Airport</t>
        </is>
      </c>
      <c r="J1870" s="21" t="n">
        <v>11.6</v>
      </c>
      <c r="K1870" s="18" t="inlineStr">
        <is>
          <t>MZI</t>
        </is>
      </c>
      <c r="L1870" s="18" t="inlineStr">
        <is>
          <t>100k +  pop</t>
        </is>
      </c>
      <c r="M1870" s="22" t="n">
        <v>0</v>
      </c>
      <c r="N1870" s="22" t="n">
        <v>0</v>
      </c>
      <c r="O1870" s="18" t="n"/>
      <c r="P1870" s="22">
        <f>IF(O1870="",(About!$B$5*M1870+About!$B$6*N1870)/(About!$B$5+About!$B$6),About!$B$5*M1870+About!$B$6*N1870+About!$B$7*O1870)</f>
        <v/>
      </c>
      <c r="Q1870" s="23" t="n">
        <v>14.4843</v>
      </c>
      <c r="R1870" s="23" t="n">
        <v>-4.183</v>
      </c>
    </row>
    <row r="1871" ht="15" customHeight="1" s="12">
      <c r="A1871" s="18" t="inlineStr">
        <is>
          <t>Baghlān</t>
        </is>
      </c>
      <c r="B1871" s="18" t="inlineStr">
        <is>
          <t>Afghanistan</t>
        </is>
      </c>
      <c r="C1871" s="19" t="n">
        <v>43844000</v>
      </c>
      <c r="D1871" s="18" t="inlineStr">
        <is>
          <t>AF</t>
        </is>
      </c>
      <c r="E1871" s="18" t="inlineStr">
        <is>
          <t>03</t>
        </is>
      </c>
      <c r="F1871" s="20" t="n">
        <v>108449</v>
      </c>
      <c r="G1871" s="18" t="n"/>
      <c r="H1871" s="18" t="n"/>
      <c r="I1871" s="18" t="n"/>
      <c r="J1871" s="18" t="n"/>
      <c r="K1871" s="18" t="n"/>
      <c r="L1871" s="18" t="inlineStr">
        <is>
          <t>100k +  pop</t>
        </is>
      </c>
      <c r="M1871" s="22" t="n">
        <v>0</v>
      </c>
      <c r="N1871" s="22" t="n">
        <v>0</v>
      </c>
      <c r="O1871" s="18" t="n"/>
      <c r="P1871" s="22">
        <f>IF(O1871="",(About!$B$5*M1871+About!$B$6*N1871)/(About!$B$5+About!$B$6),About!$B$5*M1871+About!$B$6*N1871+About!$B$7*O1871)</f>
        <v/>
      </c>
      <c r="Q1871" s="23" t="n">
        <v>36.1307</v>
      </c>
      <c r="R1871" s="23" t="n">
        <v>68.70829999999999</v>
      </c>
    </row>
    <row r="1872" ht="15" customHeight="1" s="12">
      <c r="A1872" s="18" t="inlineStr">
        <is>
          <t>Santiago</t>
        </is>
      </c>
      <c r="B1872" s="18" t="inlineStr">
        <is>
          <t>Philippines</t>
        </is>
      </c>
      <c r="C1872" s="19" t="n">
        <v>114123600</v>
      </c>
      <c r="D1872" s="18" t="inlineStr">
        <is>
          <t>PH</t>
        </is>
      </c>
      <c r="E1872" s="18" t="inlineStr">
        <is>
          <t>02</t>
        </is>
      </c>
      <c r="F1872" s="20" t="n">
        <v>108414</v>
      </c>
      <c r="G1872" s="18" t="n"/>
      <c r="H1872" s="18" t="n"/>
      <c r="I1872" s="18" t="n"/>
      <c r="J1872" s="18" t="n"/>
      <c r="K1872" s="18" t="n"/>
      <c r="L1872" s="18" t="inlineStr">
        <is>
          <t>100k +  pop</t>
        </is>
      </c>
      <c r="M1872" s="22" t="n">
        <v>0</v>
      </c>
      <c r="N1872" s="22" t="n">
        <v>0</v>
      </c>
      <c r="O1872" s="18" t="n"/>
      <c r="P1872" s="22">
        <f>IF(O1872="",(About!$B$5*M1872+About!$B$6*N1872)/(About!$B$5+About!$B$6),About!$B$5*M1872+About!$B$6*N1872+About!$B$7*O1872)</f>
        <v/>
      </c>
      <c r="Q1872" s="23" t="n">
        <v>16.6881</v>
      </c>
      <c r="R1872" s="23" t="n">
        <v>121.5487</v>
      </c>
    </row>
    <row r="1873" ht="15" customHeight="1" s="12">
      <c r="A1873" s="18" t="inlineStr">
        <is>
          <t>Santa Cruz</t>
        </is>
      </c>
      <c r="B1873" s="18" t="inlineStr">
        <is>
          <t>Philippines</t>
        </is>
      </c>
      <c r="C1873" s="19" t="n">
        <v>114123600</v>
      </c>
      <c r="D1873" s="18" t="inlineStr">
        <is>
          <t>PH</t>
        </is>
      </c>
      <c r="E1873" s="18" t="inlineStr">
        <is>
          <t>40</t>
        </is>
      </c>
      <c r="F1873" s="20" t="n">
        <v>108145</v>
      </c>
      <c r="G1873" s="18" t="n"/>
      <c r="H1873" s="18" t="n"/>
      <c r="I1873" s="18" t="n"/>
      <c r="J1873" s="18" t="n"/>
      <c r="K1873" s="18" t="n"/>
      <c r="L1873" s="18" t="inlineStr">
        <is>
          <t>100k +  pop</t>
        </is>
      </c>
      <c r="M1873" s="22" t="n">
        <v>0</v>
      </c>
      <c r="N1873" s="22" t="n">
        <v>0</v>
      </c>
      <c r="O1873" s="18" t="n"/>
      <c r="P1873" s="22">
        <f>IF(O1873="",(About!$B$5*M1873+About!$B$6*N1873)/(About!$B$5+About!$B$6),About!$B$5*M1873+About!$B$6*N1873+About!$B$7*O1873)</f>
        <v/>
      </c>
      <c r="Q1873" s="23" t="n">
        <v>14.2814</v>
      </c>
      <c r="R1873" s="23" t="n">
        <v>121.4161</v>
      </c>
    </row>
    <row r="1874" ht="15" customHeight="1" s="12">
      <c r="A1874" s="18" t="inlineStr">
        <is>
          <t>An Nuhūd</t>
        </is>
      </c>
      <c r="B1874" s="18" t="inlineStr">
        <is>
          <t>Sudan</t>
        </is>
      </c>
      <c r="C1874" s="19" t="n">
        <v>51662000</v>
      </c>
      <c r="D1874" s="18" t="inlineStr">
        <is>
          <t>SD</t>
        </is>
      </c>
      <c r="E1874" s="18" t="inlineStr">
        <is>
          <t>62</t>
        </is>
      </c>
      <c r="F1874" s="20" t="n">
        <v>108008</v>
      </c>
      <c r="G1874" s="18" t="n"/>
      <c r="H1874" s="18" t="n"/>
      <c r="I1874" s="18" t="n"/>
      <c r="J1874" s="18" t="n"/>
      <c r="K1874" s="18" t="n"/>
      <c r="L1874" s="18" t="inlineStr">
        <is>
          <t>100k +  pop</t>
        </is>
      </c>
      <c r="M1874" s="22" t="n">
        <v>0</v>
      </c>
      <c r="N1874" s="22" t="n">
        <v>0</v>
      </c>
      <c r="O1874" s="18" t="n"/>
      <c r="P1874" s="22">
        <f>IF(O1874="",(About!$B$5*M1874+About!$B$6*N1874)/(About!$B$5+About!$B$6),About!$B$5*M1874+About!$B$6*N1874+About!$B$7*O1874)</f>
        <v/>
      </c>
      <c r="Q1874" s="23" t="n">
        <v>12.7</v>
      </c>
      <c r="R1874" s="23" t="n">
        <v>28.4333</v>
      </c>
    </row>
    <row r="1875" ht="15" customHeight="1" s="12">
      <c r="A1875" s="18" t="inlineStr">
        <is>
          <t>Atbara</t>
        </is>
      </c>
      <c r="B1875" s="18" t="inlineStr">
        <is>
          <t>Sudan</t>
        </is>
      </c>
      <c r="C1875" s="19" t="n">
        <v>51662000</v>
      </c>
      <c r="D1875" s="18" t="inlineStr">
        <is>
          <t>SD</t>
        </is>
      </c>
      <c r="E1875" s="18" t="inlineStr">
        <is>
          <t>53</t>
        </is>
      </c>
      <c r="F1875" s="20" t="n">
        <v>107930</v>
      </c>
      <c r="G1875" s="18" t="n"/>
      <c r="H1875" s="18" t="n"/>
      <c r="I1875" s="18" t="n"/>
      <c r="J1875" s="18" t="n"/>
      <c r="K1875" s="18" t="n"/>
      <c r="L1875" s="18" t="inlineStr">
        <is>
          <t>100k +  pop</t>
        </is>
      </c>
      <c r="M1875" s="22" t="n">
        <v>0</v>
      </c>
      <c r="N1875" s="22" t="n">
        <v>0</v>
      </c>
      <c r="O1875" s="18" t="n"/>
      <c r="P1875" s="22">
        <f>IF(O1875="",(About!$B$5*M1875+About!$B$6*N1875)/(About!$B$5+About!$B$6),About!$B$5*M1875+About!$B$6*N1875+About!$B$7*O1875)</f>
        <v/>
      </c>
      <c r="Q1875" s="23" t="n">
        <v>17.7022</v>
      </c>
      <c r="R1875" s="23" t="n">
        <v>33.9864</v>
      </c>
    </row>
    <row r="1876" ht="15" customHeight="1" s="12">
      <c r="A1876" s="18" t="inlineStr">
        <is>
          <t>Bạc Liêu</t>
        </is>
      </c>
      <c r="B1876" s="18" t="inlineStr">
        <is>
          <t>Vietnam</t>
        </is>
      </c>
      <c r="C1876" s="19" t="n">
        <v>102300000</v>
      </c>
      <c r="D1876" s="18" t="inlineStr">
        <is>
          <t>VN</t>
        </is>
      </c>
      <c r="E1876" s="18" t="inlineStr">
        <is>
          <t>73</t>
        </is>
      </c>
      <c r="F1876" s="20" t="n">
        <v>107911</v>
      </c>
      <c r="G1876" s="18" t="n"/>
      <c r="H1876" s="18" t="n"/>
      <c r="I1876" s="18" t="n"/>
      <c r="J1876" s="18" t="n"/>
      <c r="K1876" s="18" t="n"/>
      <c r="L1876" s="18" t="inlineStr">
        <is>
          <t>100k +  pop</t>
        </is>
      </c>
      <c r="M1876" s="22" t="n">
        <v>0</v>
      </c>
      <c r="N1876" s="22" t="n">
        <v>0</v>
      </c>
      <c r="O1876" s="18" t="n"/>
      <c r="P1876" s="22">
        <f>IF(O1876="",(About!$B$5*M1876+About!$B$6*N1876)/(About!$B$5+About!$B$6),About!$B$5*M1876+About!$B$6*N1876+About!$B$7*O1876)</f>
        <v/>
      </c>
      <c r="Q1876" s="23" t="n">
        <v>9.2941</v>
      </c>
      <c r="R1876" s="23" t="n">
        <v>105.7278</v>
      </c>
    </row>
    <row r="1877" ht="15" customHeight="1" s="12">
      <c r="A1877" s="18" t="inlineStr">
        <is>
          <t>Ourense</t>
        </is>
      </c>
      <c r="B1877" s="18" t="inlineStr">
        <is>
          <t>Spain</t>
        </is>
      </c>
      <c r="C1877" s="19" t="n">
        <v>49687120</v>
      </c>
      <c r="D1877" s="18" t="inlineStr">
        <is>
          <t>ES</t>
        </is>
      </c>
      <c r="E1877" s="18" t="inlineStr">
        <is>
          <t>58</t>
        </is>
      </c>
      <c r="F1877" s="20" t="n">
        <v>107742</v>
      </c>
      <c r="G1877" s="18" t="n"/>
      <c r="H1877" s="18" t="n"/>
      <c r="I1877" s="18" t="n"/>
      <c r="J1877" s="18" t="n"/>
      <c r="K1877" s="18" t="n"/>
      <c r="L1877" s="18" t="inlineStr">
        <is>
          <t>100k +  pop</t>
        </is>
      </c>
      <c r="M1877" s="22" t="n">
        <v>0</v>
      </c>
      <c r="N1877" s="22" t="n">
        <v>0</v>
      </c>
      <c r="O1877" s="18" t="n"/>
      <c r="P1877" s="22">
        <f>IF(O1877="",(About!$B$5*M1877+About!$B$6*N1877)/(About!$B$5+About!$B$6),About!$B$5*M1877+About!$B$6*N1877+About!$B$7*O1877)</f>
        <v/>
      </c>
      <c r="Q1877" s="23" t="n">
        <v>42.3367</v>
      </c>
      <c r="R1877" s="23" t="n">
        <v>-7.8641</v>
      </c>
    </row>
    <row r="1878" ht="15" customHeight="1" s="12">
      <c r="A1878" s="18" t="inlineStr">
        <is>
          <t>Basingstoke</t>
        </is>
      </c>
      <c r="B1878" s="18" t="inlineStr">
        <is>
          <t>United Kingdom</t>
        </is>
      </c>
      <c r="C1878" s="19" t="n">
        <v>69487000</v>
      </c>
      <c r="D1878" s="18" t="inlineStr">
        <is>
          <t>GB</t>
        </is>
      </c>
      <c r="E1878" s="18" t="inlineStr">
        <is>
          <t>ENG</t>
        </is>
      </c>
      <c r="F1878" s="20" t="n">
        <v>107642</v>
      </c>
      <c r="G1878" s="18" t="n"/>
      <c r="H1878" s="18" t="n"/>
      <c r="I1878" s="18" t="n"/>
      <c r="J1878" s="18" t="n"/>
      <c r="K1878" s="18" t="n"/>
      <c r="L1878" s="18" t="inlineStr">
        <is>
          <t>100k +  pop</t>
        </is>
      </c>
      <c r="M1878" s="22" t="n">
        <v>0</v>
      </c>
      <c r="N1878" s="22" t="n">
        <v>0</v>
      </c>
      <c r="O1878" s="18" t="n"/>
      <c r="P1878" s="22">
        <f>IF(O1878="",(About!$B$5*M1878+About!$B$6*N1878)/(About!$B$5+About!$B$6),About!$B$5*M1878+About!$B$6*N1878+About!$B$7*O1878)</f>
        <v/>
      </c>
      <c r="Q1878" s="23" t="n">
        <v>51.2625</v>
      </c>
      <c r="R1878" s="23" t="n">
        <v>-1.0871</v>
      </c>
    </row>
    <row r="1879" ht="15" customHeight="1" s="12">
      <c r="A1879" s="18" t="inlineStr">
        <is>
          <t>Bandırma</t>
        </is>
      </c>
      <c r="B1879" s="18" t="inlineStr">
        <is>
          <t>Türkiye</t>
        </is>
      </c>
      <c r="C1879" s="19" t="n">
        <v>86092168</v>
      </c>
      <c r="D1879" s="18" t="inlineStr">
        <is>
          <t>TR</t>
        </is>
      </c>
      <c r="E1879" s="18" t="inlineStr">
        <is>
          <t>10</t>
        </is>
      </c>
      <c r="F1879" s="20" t="n">
        <v>107631</v>
      </c>
      <c r="G1879" s="18" t="n"/>
      <c r="H1879" s="18" t="n"/>
      <c r="I1879" s="18" t="n"/>
      <c r="J1879" s="18" t="n"/>
      <c r="K1879" s="18" t="n"/>
      <c r="L1879" s="18" t="inlineStr">
        <is>
          <t>100k +  pop</t>
        </is>
      </c>
      <c r="M1879" s="22" t="n">
        <v>0</v>
      </c>
      <c r="N1879" s="22" t="n">
        <v>0</v>
      </c>
      <c r="O1879" s="18" t="n"/>
      <c r="P1879" s="22">
        <f>IF(O1879="",(About!$B$5*M1879+About!$B$6*N1879)/(About!$B$5+About!$B$6),About!$B$5*M1879+About!$B$6*N1879+About!$B$7*O1879)</f>
        <v/>
      </c>
      <c r="Q1879" s="23" t="n">
        <v>40.3522</v>
      </c>
      <c r="R1879" s="23" t="n">
        <v>27.9767</v>
      </c>
    </row>
    <row r="1880" ht="15" customHeight="1" s="12">
      <c r="A1880" s="18" t="inlineStr">
        <is>
          <t>Maidstone</t>
        </is>
      </c>
      <c r="B1880" s="18" t="inlineStr">
        <is>
          <t>United Kingdom</t>
        </is>
      </c>
      <c r="C1880" s="19" t="n">
        <v>69487000</v>
      </c>
      <c r="D1880" s="18" t="inlineStr">
        <is>
          <t>GB</t>
        </is>
      </c>
      <c r="E1880" s="18" t="inlineStr">
        <is>
          <t>ENG</t>
        </is>
      </c>
      <c r="F1880" s="20" t="n">
        <v>107627</v>
      </c>
      <c r="G1880" s="18" t="n"/>
      <c r="H1880" s="18" t="n"/>
      <c r="I1880" s="18" t="n"/>
      <c r="J1880" s="18" t="n"/>
      <c r="K1880" s="18" t="n"/>
      <c r="L1880" s="18" t="inlineStr">
        <is>
          <t>100k +  pop</t>
        </is>
      </c>
      <c r="M1880" s="22" t="n">
        <v>0</v>
      </c>
      <c r="N1880" s="22" t="n">
        <v>0</v>
      </c>
      <c r="O1880" s="18" t="n"/>
      <c r="P1880" s="22">
        <f>IF(O1880="",(About!$B$5*M1880+About!$B$6*N1880)/(About!$B$5+About!$B$6),About!$B$5*M1880+About!$B$6*N1880+About!$B$7*O1880)</f>
        <v/>
      </c>
      <c r="Q1880" s="23" t="n">
        <v>51.2667</v>
      </c>
      <c r="R1880" s="23" t="n">
        <v>0.5167</v>
      </c>
    </row>
    <row r="1881" ht="15" customHeight="1" s="12">
      <c r="A1881" s="18" t="inlineStr">
        <is>
          <t>Umm Qaşr</t>
        </is>
      </c>
      <c r="B1881" s="18" t="inlineStr">
        <is>
          <t>Iraq</t>
        </is>
      </c>
      <c r="C1881" s="19" t="n">
        <v>46118793</v>
      </c>
      <c r="D1881" s="18" t="inlineStr">
        <is>
          <t>IQ</t>
        </is>
      </c>
      <c r="E1881" s="18" t="inlineStr">
        <is>
          <t>02</t>
        </is>
      </c>
      <c r="F1881" s="20" t="n">
        <v>107620</v>
      </c>
      <c r="G1881" s="18" t="n"/>
      <c r="H1881" s="18" t="n"/>
      <c r="I1881" s="18" t="n"/>
      <c r="J1881" s="18" t="n"/>
      <c r="K1881" s="18" t="n"/>
      <c r="L1881" s="18" t="inlineStr">
        <is>
          <t>100k +  pop</t>
        </is>
      </c>
      <c r="M1881" s="22" t="n">
        <v>0</v>
      </c>
      <c r="N1881" s="22" t="n">
        <v>0</v>
      </c>
      <c r="O1881" s="18" t="n"/>
      <c r="P1881" s="22">
        <f>IF(O1881="",(About!$B$5*M1881+About!$B$6*N1881)/(About!$B$5+About!$B$6),About!$B$5*M1881+About!$B$6*N1881+About!$B$7*O1881)</f>
        <v/>
      </c>
      <c r="Q1881" s="23" t="n">
        <v>30.0362</v>
      </c>
      <c r="R1881" s="23" t="n">
        <v>47.9195</v>
      </c>
    </row>
    <row r="1882" ht="15" customHeight="1" s="12">
      <c r="A1882" s="18" t="inlineStr">
        <is>
          <t>Sherpur</t>
        </is>
      </c>
      <c r="B1882" s="18" t="inlineStr">
        <is>
          <t>Bangladesh</t>
        </is>
      </c>
      <c r="C1882" s="19" t="n">
        <v>169828911</v>
      </c>
      <c r="D1882" s="18" t="inlineStr">
        <is>
          <t>BD</t>
        </is>
      </c>
      <c r="E1882" s="18" t="inlineStr">
        <is>
          <t>H</t>
        </is>
      </c>
      <c r="F1882" s="20" t="n">
        <v>107419</v>
      </c>
      <c r="G1882" s="18" t="n"/>
      <c r="H1882" s="18" t="n"/>
      <c r="I1882" s="18" t="n"/>
      <c r="J1882" s="18" t="n"/>
      <c r="K1882" s="18" t="n"/>
      <c r="L1882" s="18" t="inlineStr">
        <is>
          <t>100k +  pop</t>
        </is>
      </c>
      <c r="M1882" s="22" t="n">
        <v>0</v>
      </c>
      <c r="N1882" s="22" t="n">
        <v>0</v>
      </c>
      <c r="O1882" s="18" t="n"/>
      <c r="P1882" s="22">
        <f>IF(O1882="",(About!$B$5*M1882+About!$B$6*N1882)/(About!$B$5+About!$B$6),About!$B$5*M1882+About!$B$6*N1882+About!$B$7*O1882)</f>
        <v/>
      </c>
      <c r="Q1882" s="23" t="n">
        <v>25.0188</v>
      </c>
      <c r="R1882" s="23" t="n">
        <v>90.0175</v>
      </c>
    </row>
    <row r="1883" ht="15" customHeight="1" s="12">
      <c r="A1883" s="18" t="inlineStr">
        <is>
          <t>Shinyanga</t>
        </is>
      </c>
      <c r="B1883" s="18" t="inlineStr">
        <is>
          <t>Tanzania</t>
        </is>
      </c>
      <c r="C1883" s="19" t="n">
        <v>68153004</v>
      </c>
      <c r="D1883" s="18" t="inlineStr">
        <is>
          <t>TZ</t>
        </is>
      </c>
      <c r="E1883" s="18" t="inlineStr">
        <is>
          <t>15</t>
        </is>
      </c>
      <c r="F1883" s="20" t="n">
        <v>107362</v>
      </c>
      <c r="G1883" s="18" t="n"/>
      <c r="H1883" s="18" t="inlineStr">
        <is>
          <t>SHY</t>
        </is>
      </c>
      <c r="I1883" s="18" t="inlineStr">
        <is>
          <t>Shinyanga Airport</t>
        </is>
      </c>
      <c r="J1883" s="21" t="n">
        <v>11</v>
      </c>
      <c r="K1883" s="18" t="inlineStr">
        <is>
          <t>SHY</t>
        </is>
      </c>
      <c r="L1883" s="18" t="inlineStr">
        <is>
          <t>100k +  pop + airport</t>
        </is>
      </c>
      <c r="M1883" s="22" t="n">
        <v>0</v>
      </c>
      <c r="N1883" s="22" t="n">
        <v>0</v>
      </c>
      <c r="O1883" s="18" t="n"/>
      <c r="P1883" s="22">
        <f>IF(O1883="",(About!$B$5*M1883+About!$B$6*N1883)/(About!$B$5+About!$B$6),About!$B$5*M1883+About!$B$6*N1883+About!$B$7*O1883)</f>
        <v/>
      </c>
      <c r="Q1883" s="23" t="n">
        <v>-3.6639</v>
      </c>
      <c r="R1883" s="23" t="n">
        <v>33.4212</v>
      </c>
    </row>
    <row r="1884" ht="15" customHeight="1" s="12">
      <c r="A1884" s="18" t="inlineStr">
        <is>
          <t>Koblenz</t>
        </is>
      </c>
      <c r="B1884" s="18" t="inlineStr">
        <is>
          <t>Germany</t>
        </is>
      </c>
      <c r="C1884" s="19" t="n">
        <v>83497147</v>
      </c>
      <c r="D1884" s="18" t="inlineStr">
        <is>
          <t>DE</t>
        </is>
      </c>
      <c r="E1884" s="18" t="inlineStr">
        <is>
          <t>08</t>
        </is>
      </c>
      <c r="F1884" s="20" t="n">
        <v>107319</v>
      </c>
      <c r="G1884" s="18" t="n"/>
      <c r="H1884" s="18" t="n"/>
      <c r="I1884" s="18" t="n"/>
      <c r="J1884" s="18" t="n"/>
      <c r="K1884" s="18" t="n"/>
      <c r="L1884" s="18" t="inlineStr">
        <is>
          <t>100k +  pop</t>
        </is>
      </c>
      <c r="M1884" s="22" t="n">
        <v>0</v>
      </c>
      <c r="N1884" s="22" t="n">
        <v>0</v>
      </c>
      <c r="O1884" s="18" t="n"/>
      <c r="P1884" s="22">
        <f>IF(O1884="",(About!$B$5*M1884+About!$B$6*N1884)/(About!$B$5+About!$B$6),About!$B$5*M1884+About!$B$6*N1884+About!$B$7*O1884)</f>
        <v/>
      </c>
      <c r="Q1884" s="23" t="n">
        <v>50.3536</v>
      </c>
      <c r="R1884" s="23" t="n">
        <v>7.5788</v>
      </c>
    </row>
    <row r="1885" ht="15" customHeight="1" s="12">
      <c r="A1885" s="18" t="inlineStr">
        <is>
          <t>Siegen</t>
        </is>
      </c>
      <c r="B1885" s="18" t="inlineStr">
        <is>
          <t>Germany</t>
        </is>
      </c>
      <c r="C1885" s="19" t="n">
        <v>83497147</v>
      </c>
      <c r="D1885" s="18" t="inlineStr">
        <is>
          <t>DE</t>
        </is>
      </c>
      <c r="E1885" s="18" t="inlineStr">
        <is>
          <t>07</t>
        </is>
      </c>
      <c r="F1885" s="20" t="n">
        <v>107242</v>
      </c>
      <c r="G1885" s="18" t="n"/>
      <c r="H1885" s="18" t="n"/>
      <c r="I1885" s="18" t="n"/>
      <c r="J1885" s="18" t="n"/>
      <c r="K1885" s="18" t="n"/>
      <c r="L1885" s="18" t="inlineStr">
        <is>
          <t>100k +  pop</t>
        </is>
      </c>
      <c r="M1885" s="22" t="n">
        <v>0</v>
      </c>
      <c r="N1885" s="22" t="n">
        <v>0</v>
      </c>
      <c r="O1885" s="18" t="n"/>
      <c r="P1885" s="22">
        <f>IF(O1885="",(About!$B$5*M1885+About!$B$6*N1885)/(About!$B$5+About!$B$6),About!$B$5*M1885+About!$B$6*N1885+About!$B$7*O1885)</f>
        <v/>
      </c>
      <c r="Q1885" s="23" t="n">
        <v>50.8748</v>
      </c>
      <c r="R1885" s="23" t="n">
        <v>8.0243</v>
      </c>
    </row>
    <row r="1886" ht="15" customHeight="1" s="12">
      <c r="A1886" s="18" t="inlineStr">
        <is>
          <t>Vicenza</t>
        </is>
      </c>
      <c r="B1886" s="18" t="inlineStr">
        <is>
          <t>Italy</t>
        </is>
      </c>
      <c r="C1886" s="19" t="n">
        <v>58932330</v>
      </c>
      <c r="D1886" s="18" t="inlineStr">
        <is>
          <t>IT</t>
        </is>
      </c>
      <c r="E1886" s="18" t="inlineStr">
        <is>
          <t>20</t>
        </is>
      </c>
      <c r="F1886" s="20" t="n">
        <v>107129</v>
      </c>
      <c r="G1886" s="18" t="n"/>
      <c r="H1886" s="18" t="n"/>
      <c r="I1886" s="18" t="n"/>
      <c r="J1886" s="18" t="n"/>
      <c r="K1886" s="18" t="n"/>
      <c r="L1886" s="18" t="inlineStr">
        <is>
          <t>100k +  pop</t>
        </is>
      </c>
      <c r="M1886" s="22" t="n">
        <v>0</v>
      </c>
      <c r="N1886" s="22" t="n">
        <v>0</v>
      </c>
      <c r="O1886" s="18" t="n"/>
      <c r="P1886" s="22">
        <f>IF(O1886="",(About!$B$5*M1886+About!$B$6*N1886)/(About!$B$5+About!$B$6),About!$B$5*M1886+About!$B$6*N1886+About!$B$7*O1886)</f>
        <v/>
      </c>
      <c r="Q1886" s="23" t="n">
        <v>45.5467</v>
      </c>
      <c r="R1886" s="23" t="n">
        <v>11.5475</v>
      </c>
    </row>
    <row r="1887" ht="15" customHeight="1" s="12">
      <c r="A1887" s="18" t="inlineStr">
        <is>
          <t>Ilebo</t>
        </is>
      </c>
      <c r="B1887" s="18" t="inlineStr">
        <is>
          <t>DR Congo</t>
        </is>
      </c>
      <c r="C1887" s="19" t="n">
        <v>112832000</v>
      </c>
      <c r="D1887" s="18" t="inlineStr">
        <is>
          <t>CD</t>
        </is>
      </c>
      <c r="E1887" s="18" t="inlineStr">
        <is>
          <t>18</t>
        </is>
      </c>
      <c r="F1887" s="20" t="n">
        <v>107093</v>
      </c>
      <c r="G1887" s="18" t="n"/>
      <c r="H1887" s="18" t="inlineStr">
        <is>
          <t>PFR</t>
        </is>
      </c>
      <c r="I1887" s="18" t="inlineStr">
        <is>
          <t>Ilebo Airport</t>
        </is>
      </c>
      <c r="J1887" s="21" t="n">
        <v>0.4</v>
      </c>
      <c r="K1887" s="18" t="inlineStr">
        <is>
          <t>PFR</t>
        </is>
      </c>
      <c r="L1887" s="18" t="inlineStr">
        <is>
          <t>100k +  pop + airport</t>
        </is>
      </c>
      <c r="M1887" s="22" t="n">
        <v>0</v>
      </c>
      <c r="N1887" s="22" t="n">
        <v>0</v>
      </c>
      <c r="O1887" s="18" t="n"/>
      <c r="P1887" s="22">
        <f>IF(O1887="",(About!$B$5*M1887+About!$B$6*N1887)/(About!$B$5+About!$B$6),About!$B$5*M1887+About!$B$6*N1887+About!$B$7*O1887)</f>
        <v/>
      </c>
      <c r="Q1887" s="23" t="n">
        <v>-4.3311</v>
      </c>
      <c r="R1887" s="23" t="n">
        <v>20.5864</v>
      </c>
    </row>
    <row r="1888" ht="15" customHeight="1" s="12">
      <c r="A1888" s="18" t="inlineStr">
        <is>
          <t>Mitrovicë</t>
        </is>
      </c>
      <c r="B1888" s="18" t="inlineStr">
        <is>
          <t>Kosovo</t>
        </is>
      </c>
      <c r="C1888" s="19" t="n">
        <v>1585566</v>
      </c>
      <c r="D1888" s="18" t="inlineStr">
        <is>
          <t>XK</t>
        </is>
      </c>
      <c r="E1888" s="18" t="inlineStr">
        <is>
          <t>10097358</t>
        </is>
      </c>
      <c r="F1888" s="20" t="n">
        <v>107045</v>
      </c>
      <c r="G1888" s="18" t="n"/>
      <c r="H1888" s="18" t="n"/>
      <c r="I1888" s="18" t="n"/>
      <c r="J1888" s="18" t="n"/>
      <c r="K1888" s="18" t="n"/>
      <c r="L1888" s="18" t="inlineStr">
        <is>
          <t>100k +  pop</t>
        </is>
      </c>
      <c r="M1888" s="22" t="n">
        <v>0</v>
      </c>
      <c r="N1888" s="22" t="n">
        <v>0</v>
      </c>
      <c r="O1888" s="18" t="n"/>
      <c r="P1888" s="22">
        <f>IF(O1888="",(About!$B$5*M1888+About!$B$6*N1888)/(About!$B$5+About!$B$6),About!$B$5*M1888+About!$B$6*N1888+About!$B$7*O1888)</f>
        <v/>
      </c>
      <c r="Q1888" s="23" t="n">
        <v>42.8833</v>
      </c>
      <c r="R1888" s="23" t="n">
        <v>20.8667</v>
      </c>
    </row>
    <row r="1889" ht="15" customHeight="1" s="12">
      <c r="A1889" s="18" t="inlineStr">
        <is>
          <t>Taungoo</t>
        </is>
      </c>
      <c r="B1889" s="18" t="inlineStr">
        <is>
          <t>Myanmar</t>
        </is>
      </c>
      <c r="C1889" s="19" t="n">
        <v>51375327</v>
      </c>
      <c r="D1889" s="18" t="inlineStr">
        <is>
          <t>MM</t>
        </is>
      </c>
      <c r="E1889" s="18" t="inlineStr">
        <is>
          <t>16</t>
        </is>
      </c>
      <c r="F1889" s="20" t="n">
        <v>106945</v>
      </c>
      <c r="G1889" s="18" t="n"/>
      <c r="H1889" s="18" t="n"/>
      <c r="I1889" s="18" t="n"/>
      <c r="J1889" s="18" t="n"/>
      <c r="K1889" s="18" t="n"/>
      <c r="L1889" s="18" t="inlineStr">
        <is>
          <t>100k +  pop</t>
        </is>
      </c>
      <c r="M1889" s="22" t="n">
        <v>0</v>
      </c>
      <c r="N1889" s="22" t="n">
        <v>0</v>
      </c>
      <c r="O1889" s="18" t="n"/>
      <c r="P1889" s="22">
        <f>IF(O1889="",(About!$B$5*M1889+About!$B$6*N1889)/(About!$B$5+About!$B$6),About!$B$5*M1889+About!$B$6*N1889+About!$B$7*O1889)</f>
        <v/>
      </c>
      <c r="Q1889" s="23" t="n">
        <v>18.9429</v>
      </c>
      <c r="R1889" s="23" t="n">
        <v>96.4341</v>
      </c>
    </row>
    <row r="1890" ht="15" customHeight="1" s="12">
      <c r="A1890" s="18" t="inlineStr">
        <is>
          <t>Bedford</t>
        </is>
      </c>
      <c r="B1890" s="18" t="inlineStr">
        <is>
          <t>United Kingdom</t>
        </is>
      </c>
      <c r="C1890" s="19" t="n">
        <v>69487000</v>
      </c>
      <c r="D1890" s="18" t="inlineStr">
        <is>
          <t>GB</t>
        </is>
      </c>
      <c r="E1890" s="18" t="inlineStr">
        <is>
          <t>ENG</t>
        </is>
      </c>
      <c r="F1890" s="20" t="n">
        <v>106940</v>
      </c>
      <c r="G1890" s="18" t="n"/>
      <c r="H1890" s="18" t="n"/>
      <c r="I1890" s="18" t="n"/>
      <c r="J1890" s="18" t="n"/>
      <c r="K1890" s="18" t="n"/>
      <c r="L1890" s="18" t="inlineStr">
        <is>
          <t>100k +  pop</t>
        </is>
      </c>
      <c r="M1890" s="22" t="n">
        <v>0</v>
      </c>
      <c r="N1890" s="22" t="n">
        <v>0</v>
      </c>
      <c r="O1890" s="18" t="n"/>
      <c r="P1890" s="22">
        <f>IF(O1890="",(About!$B$5*M1890+About!$B$6*N1890)/(About!$B$5+About!$B$6),About!$B$5*M1890+About!$B$6*N1890+About!$B$7*O1890)</f>
        <v/>
      </c>
      <c r="Q1890" s="23" t="n">
        <v>52.1346</v>
      </c>
      <c r="R1890" s="23" t="n">
        <v>-0.4663</v>
      </c>
    </row>
    <row r="1891" ht="15" customHeight="1" s="12">
      <c r="A1891" s="18" t="inlineStr">
        <is>
          <t>Al Ḩawāmidīyah</t>
        </is>
      </c>
      <c r="B1891" s="18" t="inlineStr">
        <is>
          <t>Egypt</t>
        </is>
      </c>
      <c r="C1891" s="19" t="n">
        <v>108613296</v>
      </c>
      <c r="D1891" s="18" t="inlineStr">
        <is>
          <t>EG</t>
        </is>
      </c>
      <c r="E1891" s="18" t="inlineStr">
        <is>
          <t>08</t>
        </is>
      </c>
      <c r="F1891" s="20" t="n">
        <v>106841</v>
      </c>
      <c r="G1891" s="18" t="n"/>
      <c r="H1891" s="18" t="n"/>
      <c r="I1891" s="18" t="n"/>
      <c r="J1891" s="18" t="n"/>
      <c r="K1891" s="18" t="n"/>
      <c r="L1891" s="18" t="inlineStr">
        <is>
          <t>100k +  pop</t>
        </is>
      </c>
      <c r="M1891" s="22" t="n">
        <v>0</v>
      </c>
      <c r="N1891" s="22" t="n">
        <v>0</v>
      </c>
      <c r="O1891" s="18" t="n"/>
      <c r="P1891" s="22">
        <f>IF(O1891="",(About!$B$5*M1891+About!$B$6*N1891)/(About!$B$5+About!$B$6),About!$B$5*M1891+About!$B$6*N1891+About!$B$7*O1891)</f>
        <v/>
      </c>
      <c r="Q1891" s="23" t="n">
        <v>29.9</v>
      </c>
      <c r="R1891" s="23" t="n">
        <v>31.25</v>
      </c>
    </row>
    <row r="1892" ht="15" customHeight="1" s="12">
      <c r="A1892" s="18" t="inlineStr">
        <is>
          <t>Coimbra</t>
        </is>
      </c>
      <c r="B1892" s="18" t="inlineStr">
        <is>
          <t>Portugal</t>
        </is>
      </c>
      <c r="C1892" s="19" t="n">
        <v>10749635</v>
      </c>
      <c r="D1892" s="18" t="inlineStr">
        <is>
          <t>PT</t>
        </is>
      </c>
      <c r="E1892" s="18" t="inlineStr">
        <is>
          <t>07</t>
        </is>
      </c>
      <c r="F1892" s="20" t="n">
        <v>106582</v>
      </c>
      <c r="G1892" s="18" t="n"/>
      <c r="H1892" s="18" t="n"/>
      <c r="I1892" s="18" t="n"/>
      <c r="J1892" s="18" t="n"/>
      <c r="K1892" s="18" t="n"/>
      <c r="L1892" s="18" t="inlineStr">
        <is>
          <t>100k +  pop</t>
        </is>
      </c>
      <c r="M1892" s="22" t="n">
        <v>0</v>
      </c>
      <c r="N1892" s="22" t="n">
        <v>0</v>
      </c>
      <c r="O1892" s="18" t="n"/>
      <c r="P1892" s="22">
        <f>IF(O1892="",(About!$B$5*M1892+About!$B$6*N1892)/(About!$B$5+About!$B$6),About!$B$5*M1892+About!$B$6*N1892+About!$B$7*O1892)</f>
        <v/>
      </c>
      <c r="Q1892" s="23" t="n">
        <v>40.2056</v>
      </c>
      <c r="R1892" s="23" t="n">
        <v>-8.419499999999999</v>
      </c>
    </row>
    <row r="1893" ht="15" customHeight="1" s="12">
      <c r="A1893" s="18" t="inlineStr">
        <is>
          <t>Hwado</t>
        </is>
      </c>
      <c r="B1893" s="18" t="inlineStr">
        <is>
          <t>South Korea</t>
        </is>
      </c>
      <c r="C1893" s="19" t="n">
        <v>51111158</v>
      </c>
      <c r="D1893" s="18" t="inlineStr">
        <is>
          <t>KR</t>
        </is>
      </c>
      <c r="E1893" s="18" t="inlineStr">
        <is>
          <t>13</t>
        </is>
      </c>
      <c r="F1893" s="20" t="n">
        <v>106358</v>
      </c>
      <c r="G1893" s="18" t="n"/>
      <c r="H1893" s="18" t="n"/>
      <c r="I1893" s="18" t="n"/>
      <c r="J1893" s="18" t="n"/>
      <c r="K1893" s="18" t="n"/>
      <c r="L1893" s="18" t="inlineStr">
        <is>
          <t>100k +  pop</t>
        </is>
      </c>
      <c r="M1893" s="22" t="n">
        <v>0</v>
      </c>
      <c r="N1893" s="22" t="n">
        <v>0</v>
      </c>
      <c r="O1893" s="18" t="n"/>
      <c r="P1893" s="22">
        <f>IF(O1893="",(About!$B$5*M1893+About!$B$6*N1893)/(About!$B$5+About!$B$6),About!$B$5*M1893+About!$B$6*N1893+About!$B$7*O1893)</f>
        <v/>
      </c>
      <c r="Q1893" s="23" t="n">
        <v>37.6525</v>
      </c>
      <c r="R1893" s="23" t="n">
        <v>127.3075</v>
      </c>
    </row>
    <row r="1894" ht="15" customHeight="1" s="12">
      <c r="A1894" s="18" t="inlineStr">
        <is>
          <t>Mati</t>
        </is>
      </c>
      <c r="B1894" s="18" t="inlineStr">
        <is>
          <t>Philippines</t>
        </is>
      </c>
      <c r="C1894" s="19" t="n">
        <v>114123600</v>
      </c>
      <c r="D1894" s="18" t="inlineStr">
        <is>
          <t>PH</t>
        </is>
      </c>
      <c r="E1894" s="18" t="inlineStr">
        <is>
          <t>11</t>
        </is>
      </c>
      <c r="F1894" s="20" t="n">
        <v>105908</v>
      </c>
      <c r="G1894" s="18" t="n"/>
      <c r="H1894" s="18" t="n"/>
      <c r="I1894" s="18" t="n"/>
      <c r="J1894" s="18" t="n"/>
      <c r="K1894" s="18" t="n"/>
      <c r="L1894" s="18" t="inlineStr">
        <is>
          <t>100k +  pop</t>
        </is>
      </c>
      <c r="M1894" s="22" t="n">
        <v>0</v>
      </c>
      <c r="N1894" s="22" t="n">
        <v>0</v>
      </c>
      <c r="O1894" s="18" t="n"/>
      <c r="P1894" s="22">
        <f>IF(O1894="",(About!$B$5*M1894+About!$B$6*N1894)/(About!$B$5+About!$B$6),About!$B$5*M1894+About!$B$6*N1894+About!$B$7*O1894)</f>
        <v/>
      </c>
      <c r="Q1894" s="23" t="n">
        <v>6.9551</v>
      </c>
      <c r="R1894" s="23" t="n">
        <v>126.2165</v>
      </c>
    </row>
    <row r="1895" ht="15" customHeight="1" s="12">
      <c r="A1895" s="18" t="inlineStr">
        <is>
          <t>Aïn Beïda</t>
        </is>
      </c>
      <c r="B1895" s="18" t="inlineStr">
        <is>
          <t>Algeria</t>
        </is>
      </c>
      <c r="C1895" s="19" t="n">
        <v>47400000</v>
      </c>
      <c r="D1895" s="18" t="inlineStr">
        <is>
          <t>DZ</t>
        </is>
      </c>
      <c r="E1895" s="18" t="inlineStr">
        <is>
          <t>29</t>
        </is>
      </c>
      <c r="F1895" s="20" t="n">
        <v>105765</v>
      </c>
      <c r="G1895" s="18" t="n"/>
      <c r="H1895" s="18" t="n"/>
      <c r="I1895" s="18" t="n"/>
      <c r="J1895" s="18" t="n"/>
      <c r="K1895" s="18" t="n"/>
      <c r="L1895" s="18" t="inlineStr">
        <is>
          <t>100k +  pop</t>
        </is>
      </c>
      <c r="M1895" s="22" t="n">
        <v>0</v>
      </c>
      <c r="N1895" s="22" t="n">
        <v>0</v>
      </c>
      <c r="O1895" s="18" t="n"/>
      <c r="P1895" s="22">
        <f>IF(O1895="",(About!$B$5*M1895+About!$B$6*N1895)/(About!$B$5+About!$B$6),About!$B$5*M1895+About!$B$6*N1895+About!$B$7*O1895)</f>
        <v/>
      </c>
      <c r="Q1895" s="23" t="n">
        <v>35.7964</v>
      </c>
      <c r="R1895" s="23" t="n">
        <v>7.3928</v>
      </c>
    </row>
    <row r="1896" ht="15" customHeight="1" s="12">
      <c r="A1896" s="18" t="inlineStr">
        <is>
          <t>Bhairab Bāzār</t>
        </is>
      </c>
      <c r="B1896" s="18" t="inlineStr">
        <is>
          <t>Bangladesh</t>
        </is>
      </c>
      <c r="C1896" s="19" t="n">
        <v>169828911</v>
      </c>
      <c r="D1896" s="18" t="inlineStr">
        <is>
          <t>BD</t>
        </is>
      </c>
      <c r="E1896" s="18" t="inlineStr">
        <is>
          <t>81</t>
        </is>
      </c>
      <c r="F1896" s="20" t="n">
        <v>105457</v>
      </c>
      <c r="G1896" s="18" t="n"/>
      <c r="H1896" s="18" t="n"/>
      <c r="I1896" s="18" t="n"/>
      <c r="J1896" s="18" t="n"/>
      <c r="K1896" s="18" t="n"/>
      <c r="L1896" s="18" t="inlineStr">
        <is>
          <t>100k +  pop</t>
        </is>
      </c>
      <c r="M1896" s="22" t="n">
        <v>0</v>
      </c>
      <c r="N1896" s="22" t="n">
        <v>0</v>
      </c>
      <c r="O1896" s="18" t="n"/>
      <c r="P1896" s="22">
        <f>IF(O1896="",(About!$B$5*M1896+About!$B$6*N1896)/(About!$B$5+About!$B$6),About!$B$5*M1896+About!$B$6*N1896+About!$B$7*O1896)</f>
        <v/>
      </c>
      <c r="Q1896" s="23" t="n">
        <v>24.0524</v>
      </c>
      <c r="R1896" s="23" t="n">
        <v>90.9764</v>
      </c>
    </row>
    <row r="1897" ht="15" customHeight="1" s="12">
      <c r="A1897" s="18" t="inlineStr">
        <is>
          <t>Nancy</t>
        </is>
      </c>
      <c r="B1897" s="18" t="inlineStr">
        <is>
          <t>France</t>
        </is>
      </c>
      <c r="C1897" s="19" t="n">
        <v>69081996</v>
      </c>
      <c r="D1897" s="18" t="inlineStr">
        <is>
          <t>FR</t>
        </is>
      </c>
      <c r="E1897" s="18" t="inlineStr">
        <is>
          <t>44</t>
        </is>
      </c>
      <c r="F1897" s="20" t="n">
        <v>105334</v>
      </c>
      <c r="G1897" s="18" t="n"/>
      <c r="H1897" s="18" t="n"/>
      <c r="I1897" s="18" t="n"/>
      <c r="J1897" s="18" t="n"/>
      <c r="K1897" s="18" t="n"/>
      <c r="L1897" s="18" t="inlineStr">
        <is>
          <t>100k +  pop</t>
        </is>
      </c>
      <c r="M1897" s="22" t="n">
        <v>0</v>
      </c>
      <c r="N1897" s="22" t="n">
        <v>0</v>
      </c>
      <c r="O1897" s="18" t="n"/>
      <c r="P1897" s="22">
        <f>IF(O1897="",(About!$B$5*M1897+About!$B$6*N1897)/(About!$B$5+About!$B$6),About!$B$5*M1897+About!$B$6*N1897+About!$B$7*O1897)</f>
        <v/>
      </c>
      <c r="Q1897" s="23" t="n">
        <v>48.6844</v>
      </c>
      <c r="R1897" s="23" t="n">
        <v>6.185</v>
      </c>
    </row>
    <row r="1898" ht="15" customHeight="1" s="12">
      <c r="A1898" s="18" t="inlineStr">
        <is>
          <t>Queenstown</t>
        </is>
      </c>
      <c r="B1898" s="18" t="inlineStr">
        <is>
          <t>South Africa</t>
        </is>
      </c>
      <c r="C1898" s="19" t="n">
        <v>63100945</v>
      </c>
      <c r="D1898" s="18" t="inlineStr">
        <is>
          <t>ZA</t>
        </is>
      </c>
      <c r="E1898" s="18" t="inlineStr">
        <is>
          <t>05</t>
        </is>
      </c>
      <c r="F1898" s="20" t="n">
        <v>105309</v>
      </c>
      <c r="G1898" s="18" t="n"/>
      <c r="H1898" s="18" t="n"/>
      <c r="I1898" s="18" t="n"/>
      <c r="J1898" s="18" t="n"/>
      <c r="K1898" s="18" t="n"/>
      <c r="L1898" s="18" t="inlineStr">
        <is>
          <t>100k +  pop</t>
        </is>
      </c>
      <c r="M1898" s="22" t="n">
        <v>0</v>
      </c>
      <c r="N1898" s="22" t="n">
        <v>0</v>
      </c>
      <c r="O1898" s="18" t="n"/>
      <c r="P1898" s="22">
        <f>IF(O1898="",(About!$B$5*M1898+About!$B$6*N1898)/(About!$B$5+About!$B$6),About!$B$5*M1898+About!$B$6*N1898+About!$B$7*O1898)</f>
        <v/>
      </c>
      <c r="Q1898" s="23" t="n">
        <v>-31.8976</v>
      </c>
      <c r="R1898" s="23" t="n">
        <v>26.8753</v>
      </c>
    </row>
    <row r="1899" ht="15" customHeight="1" s="12">
      <c r="A1899" s="18" t="inlineStr">
        <is>
          <t>Hòa Bình</t>
        </is>
      </c>
      <c r="B1899" s="18" t="inlineStr">
        <is>
          <t>Vietnam</t>
        </is>
      </c>
      <c r="C1899" s="19" t="n">
        <v>102300000</v>
      </c>
      <c r="D1899" s="18" t="inlineStr">
        <is>
          <t>VN</t>
        </is>
      </c>
      <c r="E1899" s="18" t="inlineStr">
        <is>
          <t>53</t>
        </is>
      </c>
      <c r="F1899" s="20" t="n">
        <v>105260</v>
      </c>
      <c r="G1899" s="18" t="n"/>
      <c r="H1899" s="18" t="n"/>
      <c r="I1899" s="18" t="n"/>
      <c r="J1899" s="18" t="n"/>
      <c r="K1899" s="18" t="n"/>
      <c r="L1899" s="18" t="inlineStr">
        <is>
          <t>100k +  pop</t>
        </is>
      </c>
      <c r="M1899" s="22" t="n">
        <v>0</v>
      </c>
      <c r="N1899" s="22" t="n">
        <v>0</v>
      </c>
      <c r="O1899" s="18" t="n"/>
      <c r="P1899" s="22">
        <f>IF(O1899="",(About!$B$5*M1899+About!$B$6*N1899)/(About!$B$5+About!$B$6),About!$B$5*M1899+About!$B$6*N1899+About!$B$7*O1899)</f>
        <v/>
      </c>
      <c r="Q1899" s="23" t="n">
        <v>20.8172</v>
      </c>
      <c r="R1899" s="23" t="n">
        <v>105.3376</v>
      </c>
    </row>
    <row r="1900" ht="15" customHeight="1" s="12">
      <c r="A1900" s="18" t="inlineStr">
        <is>
          <t>Bāneh</t>
        </is>
      </c>
      <c r="B1900" s="18" t="inlineStr">
        <is>
          <t>Iran</t>
        </is>
      </c>
      <c r="C1900" s="19" t="n">
        <v>87134000</v>
      </c>
      <c r="D1900" s="18" t="inlineStr">
        <is>
          <t>IR</t>
        </is>
      </c>
      <c r="E1900" s="18" t="inlineStr">
        <is>
          <t>16</t>
        </is>
      </c>
      <c r="F1900" s="20" t="n">
        <v>104799</v>
      </c>
      <c r="G1900" s="18" t="n"/>
      <c r="H1900" s="18" t="n"/>
      <c r="I1900" s="18" t="n"/>
      <c r="J1900" s="18" t="n"/>
      <c r="K1900" s="18" t="n"/>
      <c r="L1900" s="18" t="inlineStr">
        <is>
          <t>100k +  pop</t>
        </is>
      </c>
      <c r="M1900" s="22" t="n">
        <v>0</v>
      </c>
      <c r="N1900" s="22" t="n">
        <v>0</v>
      </c>
      <c r="O1900" s="18" t="n"/>
      <c r="P1900" s="22">
        <f>IF(O1900="",(About!$B$5*M1900+About!$B$6*N1900)/(About!$B$5+About!$B$6),About!$B$5*M1900+About!$B$6*N1900+About!$B$7*O1900)</f>
        <v/>
      </c>
      <c r="Q1900" s="23" t="n">
        <v>35.9975</v>
      </c>
      <c r="R1900" s="23" t="n">
        <v>45.8853</v>
      </c>
    </row>
    <row r="1901" ht="15" customHeight="1" s="12">
      <c r="A1901" s="18" t="inlineStr">
        <is>
          <t>Jena</t>
        </is>
      </c>
      <c r="B1901" s="18" t="inlineStr">
        <is>
          <t>Germany</t>
        </is>
      </c>
      <c r="C1901" s="19" t="n">
        <v>83497147</v>
      </c>
      <c r="D1901" s="18" t="inlineStr">
        <is>
          <t>DE</t>
        </is>
      </c>
      <c r="E1901" s="18" t="inlineStr">
        <is>
          <t>15</t>
        </is>
      </c>
      <c r="F1901" s="20" t="n">
        <v>104712</v>
      </c>
      <c r="G1901" s="18" t="n"/>
      <c r="H1901" s="18" t="n"/>
      <c r="I1901" s="18" t="n"/>
      <c r="J1901" s="18" t="n"/>
      <c r="K1901" s="18" t="n"/>
      <c r="L1901" s="18" t="inlineStr">
        <is>
          <t>100k +  pop</t>
        </is>
      </c>
      <c r="M1901" s="22" t="n">
        <v>0</v>
      </c>
      <c r="N1901" s="22" t="n">
        <v>0</v>
      </c>
      <c r="O1901" s="18" t="n"/>
      <c r="P1901" s="22">
        <f>IF(O1901="",(About!$B$5*M1901+About!$B$6*N1901)/(About!$B$5+About!$B$6),About!$B$5*M1901+About!$B$6*N1901+About!$B$7*O1901)</f>
        <v/>
      </c>
      <c r="Q1901" s="23" t="n">
        <v>50.9288</v>
      </c>
      <c r="R1901" s="23" t="n">
        <v>11.5899</v>
      </c>
    </row>
    <row r="1902" ht="15" customHeight="1" s="12">
      <c r="A1902" s="18" t="inlineStr">
        <is>
          <t>Gera</t>
        </is>
      </c>
      <c r="B1902" s="18" t="inlineStr">
        <is>
          <t>Germany</t>
        </is>
      </c>
      <c r="C1902" s="19" t="n">
        <v>83497147</v>
      </c>
      <c r="D1902" s="18" t="inlineStr">
        <is>
          <t>DE</t>
        </is>
      </c>
      <c r="E1902" s="18" t="inlineStr">
        <is>
          <t>15</t>
        </is>
      </c>
      <c r="F1902" s="20" t="n">
        <v>104659</v>
      </c>
      <c r="G1902" s="18" t="n"/>
      <c r="H1902" s="18" t="n"/>
      <c r="I1902" s="18" t="n"/>
      <c r="J1902" s="18" t="n"/>
      <c r="K1902" s="18" t="n"/>
      <c r="L1902" s="18" t="inlineStr">
        <is>
          <t>100k +  pop</t>
        </is>
      </c>
      <c r="M1902" s="22" t="n">
        <v>0</v>
      </c>
      <c r="N1902" s="22" t="n">
        <v>0</v>
      </c>
      <c r="O1902" s="18" t="n"/>
      <c r="P1902" s="22">
        <f>IF(O1902="",(About!$B$5*M1902+About!$B$6*N1902)/(About!$B$5+About!$B$6),About!$B$5*M1902+About!$B$6*N1902+About!$B$7*O1902)</f>
        <v/>
      </c>
      <c r="Q1902" s="23" t="n">
        <v>50.8803</v>
      </c>
      <c r="R1902" s="23" t="n">
        <v>12.0819</v>
      </c>
    </row>
    <row r="1903" ht="15" customHeight="1" s="12">
      <c r="A1903" s="18" t="inlineStr">
        <is>
          <t>Al Fāw</t>
        </is>
      </c>
      <c r="B1903" s="18" t="inlineStr">
        <is>
          <t>Iraq</t>
        </is>
      </c>
      <c r="C1903" s="19" t="n">
        <v>46118793</v>
      </c>
      <c r="D1903" s="18" t="inlineStr">
        <is>
          <t>IQ</t>
        </is>
      </c>
      <c r="E1903" s="18" t="inlineStr">
        <is>
          <t>02</t>
        </is>
      </c>
      <c r="F1903" s="20" t="n">
        <v>104569</v>
      </c>
      <c r="G1903" s="18" t="n"/>
      <c r="H1903" s="18" t="n"/>
      <c r="I1903" s="18" t="n"/>
      <c r="J1903" s="18" t="n"/>
      <c r="K1903" s="18" t="n"/>
      <c r="L1903" s="18" t="inlineStr">
        <is>
          <t>100k +  pop</t>
        </is>
      </c>
      <c r="M1903" s="22" t="n">
        <v>0</v>
      </c>
      <c r="N1903" s="22" t="n">
        <v>0</v>
      </c>
      <c r="O1903" s="18" t="n"/>
      <c r="P1903" s="22">
        <f>IF(O1903="",(About!$B$5*M1903+About!$B$6*N1903)/(About!$B$5+About!$B$6),About!$B$5*M1903+About!$B$6*N1903+About!$B$7*O1903)</f>
        <v/>
      </c>
      <c r="Q1903" s="23" t="n">
        <v>29.9742</v>
      </c>
      <c r="R1903" s="23" t="n">
        <v>48.4731</v>
      </c>
    </row>
    <row r="1904" ht="15" customHeight="1" s="12">
      <c r="A1904" s="18" t="inlineStr">
        <is>
          <t>Tandil</t>
        </is>
      </c>
      <c r="B1904" s="18" t="inlineStr">
        <is>
          <t>Argentina</t>
        </is>
      </c>
      <c r="C1904" s="19" t="n">
        <v>46387098</v>
      </c>
      <c r="D1904" s="18" t="inlineStr">
        <is>
          <t>AR</t>
        </is>
      </c>
      <c r="E1904" s="18" t="inlineStr">
        <is>
          <t>01</t>
        </is>
      </c>
      <c r="F1904" s="20" t="n">
        <v>104325</v>
      </c>
      <c r="G1904" s="18" t="n"/>
      <c r="H1904" s="18" t="n"/>
      <c r="I1904" s="18" t="n"/>
      <c r="J1904" s="18" t="n"/>
      <c r="K1904" s="18" t="n"/>
      <c r="L1904" s="18" t="inlineStr">
        <is>
          <t>100k +  pop</t>
        </is>
      </c>
      <c r="M1904" s="22" t="n">
        <v>0</v>
      </c>
      <c r="N1904" s="22" t="n">
        <v>0</v>
      </c>
      <c r="O1904" s="18" t="n"/>
      <c r="P1904" s="22">
        <f>IF(O1904="",(About!$B$5*M1904+About!$B$6*N1904)/(About!$B$5+About!$B$6),About!$B$5*M1904+About!$B$6*N1904+About!$B$7*O1904)</f>
        <v/>
      </c>
      <c r="Q1904" s="23" t="n">
        <v>-37.3217</v>
      </c>
      <c r="R1904" s="23" t="n">
        <v>-59.1332</v>
      </c>
    </row>
    <row r="1905" ht="15" customHeight="1" s="12">
      <c r="A1905" s="18" t="inlineStr">
        <is>
          <t>Kot Addu</t>
        </is>
      </c>
      <c r="B1905" s="18" t="inlineStr">
        <is>
          <t>Pakistan</t>
        </is>
      </c>
      <c r="C1905" s="19" t="n">
        <v>241499431</v>
      </c>
      <c r="D1905" s="18" t="inlineStr">
        <is>
          <t>PK</t>
        </is>
      </c>
      <c r="E1905" s="18" t="inlineStr">
        <is>
          <t>04</t>
        </is>
      </c>
      <c r="F1905" s="20" t="n">
        <v>104217</v>
      </c>
      <c r="G1905" s="18" t="n"/>
      <c r="H1905" s="18" t="n"/>
      <c r="I1905" s="18" t="n"/>
      <c r="J1905" s="18" t="n"/>
      <c r="K1905" s="18" t="n"/>
      <c r="L1905" s="18" t="inlineStr">
        <is>
          <t>100k +  pop</t>
        </is>
      </c>
      <c r="M1905" s="22" t="n">
        <v>0</v>
      </c>
      <c r="N1905" s="22" t="n">
        <v>0</v>
      </c>
      <c r="O1905" s="18" t="n"/>
      <c r="P1905" s="22">
        <f>IF(O1905="",(About!$B$5*M1905+About!$B$6*N1905)/(About!$B$5+About!$B$6),About!$B$5*M1905+About!$B$6*N1905+About!$B$7*O1905)</f>
        <v/>
      </c>
      <c r="Q1905" s="23" t="n">
        <v>30.4691</v>
      </c>
      <c r="R1905" s="23" t="n">
        <v>70.967</v>
      </c>
    </row>
    <row r="1906" ht="15" customHeight="1" s="12">
      <c r="A1906" s="18" t="inlineStr">
        <is>
          <t>Bishoftu</t>
        </is>
      </c>
      <c r="B1906" s="18" t="inlineStr">
        <is>
          <t>Ethiopia</t>
        </is>
      </c>
      <c r="C1906" s="19" t="n">
        <v>111652998</v>
      </c>
      <c r="D1906" s="18" t="inlineStr">
        <is>
          <t>ET</t>
        </is>
      </c>
      <c r="E1906" s="18" t="inlineStr">
        <is>
          <t>51</t>
        </is>
      </c>
      <c r="F1906" s="20" t="n">
        <v>104215</v>
      </c>
      <c r="G1906" s="18" t="n"/>
      <c r="H1906" s="18" t="n"/>
      <c r="I1906" s="18" t="n"/>
      <c r="J1906" s="18" t="n"/>
      <c r="K1906" s="18" t="n"/>
      <c r="L1906" s="18" t="inlineStr">
        <is>
          <t>100k +  pop</t>
        </is>
      </c>
      <c r="M1906" s="22" t="n">
        <v>0</v>
      </c>
      <c r="N1906" s="22" t="n">
        <v>0</v>
      </c>
      <c r="O1906" s="18" t="n"/>
      <c r="P1906" s="22">
        <f>IF(O1906="",(About!$B$5*M1906+About!$B$6*N1906)/(About!$B$5+About!$B$6),About!$B$5*M1906+About!$B$6*N1906+About!$B$7*O1906)</f>
        <v/>
      </c>
      <c r="Q1906" s="23" t="n">
        <v>8.7523</v>
      </c>
      <c r="R1906" s="23" t="n">
        <v>38.9785</v>
      </c>
    </row>
    <row r="1907" ht="15" customHeight="1" s="12">
      <c r="A1907" s="18" t="inlineStr">
        <is>
          <t>Kara</t>
        </is>
      </c>
      <c r="B1907" s="18" t="inlineStr">
        <is>
          <t>Togo</t>
        </is>
      </c>
      <c r="C1907" s="19" t="n">
        <v>8095498</v>
      </c>
      <c r="D1907" s="18" t="inlineStr">
        <is>
          <t>TG</t>
        </is>
      </c>
      <c r="E1907" s="18" t="inlineStr">
        <is>
          <t>23</t>
        </is>
      </c>
      <c r="F1907" s="20" t="n">
        <v>104207</v>
      </c>
      <c r="G1907" s="18" t="n"/>
      <c r="H1907" s="18" t="n"/>
      <c r="I1907" s="18" t="n"/>
      <c r="J1907" s="18" t="n"/>
      <c r="K1907" s="18" t="n"/>
      <c r="L1907" s="18" t="inlineStr">
        <is>
          <t>100k +  pop</t>
        </is>
      </c>
      <c r="M1907" s="22" t="n">
        <v>0</v>
      </c>
      <c r="N1907" s="22" t="n">
        <v>0</v>
      </c>
      <c r="O1907" s="18" t="n"/>
      <c r="P1907" s="22">
        <f>IF(O1907="",(About!$B$5*M1907+About!$B$6*N1907)/(About!$B$5+About!$B$6),About!$B$5*M1907+About!$B$6*N1907+About!$B$7*O1907)</f>
        <v/>
      </c>
      <c r="Q1907" s="23" t="n">
        <v>9.5511</v>
      </c>
      <c r="R1907" s="23" t="n">
        <v>1.1861</v>
      </c>
    </row>
    <row r="1908" ht="15" customHeight="1" s="12">
      <c r="A1908" s="18" t="inlineStr">
        <is>
          <t>Kroonstad</t>
        </is>
      </c>
      <c r="B1908" s="18" t="inlineStr">
        <is>
          <t>South Africa</t>
        </is>
      </c>
      <c r="C1908" s="19" t="n">
        <v>63100945</v>
      </c>
      <c r="D1908" s="18" t="inlineStr">
        <is>
          <t>ZA</t>
        </is>
      </c>
      <c r="E1908" s="18" t="inlineStr">
        <is>
          <t>03</t>
        </is>
      </c>
      <c r="F1908" s="20" t="n">
        <v>103992</v>
      </c>
      <c r="G1908" s="18" t="n"/>
      <c r="H1908" s="18" t="n"/>
      <c r="I1908" s="18" t="n"/>
      <c r="J1908" s="18" t="n"/>
      <c r="K1908" s="18" t="n"/>
      <c r="L1908" s="18" t="inlineStr">
        <is>
          <t>100k +  pop</t>
        </is>
      </c>
      <c r="M1908" s="22" t="n">
        <v>0</v>
      </c>
      <c r="N1908" s="22" t="n">
        <v>0</v>
      </c>
      <c r="O1908" s="18" t="n"/>
      <c r="P1908" s="22">
        <f>IF(O1908="",(About!$B$5*M1908+About!$B$6*N1908)/(About!$B$5+About!$B$6),About!$B$5*M1908+About!$B$6*N1908+About!$B$7*O1908)</f>
        <v/>
      </c>
      <c r="Q1908" s="23" t="n">
        <v>-27.6504</v>
      </c>
      <c r="R1908" s="23" t="n">
        <v>27.2349</v>
      </c>
    </row>
    <row r="1909" ht="15" customHeight="1" s="12">
      <c r="A1909" s="18" t="inlineStr">
        <is>
          <t>Ed Damer</t>
        </is>
      </c>
      <c r="B1909" s="18" t="inlineStr">
        <is>
          <t>Sudan</t>
        </is>
      </c>
      <c r="C1909" s="19" t="n">
        <v>51662000</v>
      </c>
      <c r="D1909" s="18" t="inlineStr">
        <is>
          <t>SD</t>
        </is>
      </c>
      <c r="E1909" s="18" t="inlineStr">
        <is>
          <t>53</t>
        </is>
      </c>
      <c r="F1909" s="20" t="n">
        <v>103941</v>
      </c>
      <c r="G1909" s="18" t="n"/>
      <c r="H1909" s="18" t="n"/>
      <c r="I1909" s="18" t="n"/>
      <c r="J1909" s="18" t="n"/>
      <c r="K1909" s="18" t="n"/>
      <c r="L1909" s="18" t="inlineStr">
        <is>
          <t>100k +  pop</t>
        </is>
      </c>
      <c r="M1909" s="22" t="n">
        <v>0</v>
      </c>
      <c r="N1909" s="22" t="n">
        <v>0</v>
      </c>
      <c r="O1909" s="18" t="n"/>
      <c r="P1909" s="22">
        <f>IF(O1909="",(About!$B$5*M1909+About!$B$6*N1909)/(About!$B$5+About!$B$6),About!$B$5*M1909+About!$B$6*N1909+About!$B$7*O1909)</f>
        <v/>
      </c>
      <c r="Q1909" s="23" t="n">
        <v>17.599</v>
      </c>
      <c r="R1909" s="23" t="n">
        <v>33.9721</v>
      </c>
    </row>
    <row r="1910" ht="15" customHeight="1" s="12">
      <c r="A1910" s="18" t="inlineStr">
        <is>
          <t>Dolisie</t>
        </is>
      </c>
      <c r="B1910" s="18" t="inlineStr">
        <is>
          <t>Congo</t>
        </is>
      </c>
      <c r="C1910" s="19" t="n">
        <v>6142180</v>
      </c>
      <c r="D1910" s="18" t="inlineStr">
        <is>
          <t>CG</t>
        </is>
      </c>
      <c r="E1910" s="18" t="inlineStr">
        <is>
          <t>07</t>
        </is>
      </c>
      <c r="F1910" s="20" t="n">
        <v>103894</v>
      </c>
      <c r="G1910" s="18" t="n"/>
      <c r="H1910" s="18" t="n"/>
      <c r="I1910" s="18" t="n"/>
      <c r="J1910" s="18" t="n"/>
      <c r="K1910" s="18" t="n"/>
      <c r="L1910" s="18" t="inlineStr">
        <is>
          <t>100k +  pop</t>
        </is>
      </c>
      <c r="M1910" s="22" t="n">
        <v>0</v>
      </c>
      <c r="N1910" s="22" t="n">
        <v>0</v>
      </c>
      <c r="O1910" s="18" t="n"/>
      <c r="P1910" s="22">
        <f>IF(O1910="",(About!$B$5*M1910+About!$B$6*N1910)/(About!$B$5+About!$B$6),About!$B$5*M1910+About!$B$6*N1910+About!$B$7*O1910)</f>
        <v/>
      </c>
      <c r="Q1910" s="23" t="n">
        <v>-4.1983</v>
      </c>
      <c r="R1910" s="23" t="n">
        <v>12.6666</v>
      </c>
    </row>
    <row r="1911" ht="15" customHeight="1" s="12">
      <c r="A1911" s="18" t="inlineStr">
        <is>
          <t>Gardez</t>
        </is>
      </c>
      <c r="B1911" s="18" t="inlineStr">
        <is>
          <t>Afghanistan</t>
        </is>
      </c>
      <c r="C1911" s="19" t="n">
        <v>43844000</v>
      </c>
      <c r="D1911" s="18" t="inlineStr">
        <is>
          <t>AF</t>
        </is>
      </c>
      <c r="E1911" s="18" t="inlineStr">
        <is>
          <t>36</t>
        </is>
      </c>
      <c r="F1911" s="20" t="n">
        <v>103601</v>
      </c>
      <c r="G1911" s="18" t="n"/>
      <c r="H1911" s="18" t="n"/>
      <c r="I1911" s="18" t="n"/>
      <c r="J1911" s="18" t="n"/>
      <c r="K1911" s="18" t="n"/>
      <c r="L1911" s="18" t="inlineStr">
        <is>
          <t>100k +  pop</t>
        </is>
      </c>
      <c r="M1911" s="22" t="n">
        <v>0</v>
      </c>
      <c r="N1911" s="22" t="n">
        <v>0</v>
      </c>
      <c r="O1911" s="18" t="n"/>
      <c r="P1911" s="22">
        <f>IF(O1911="",(About!$B$5*M1911+About!$B$6*N1911)/(About!$B$5+About!$B$6),About!$B$5*M1911+About!$B$6*N1911+About!$B$7*O1911)</f>
        <v/>
      </c>
      <c r="Q1911" s="23" t="n">
        <v>33.5974</v>
      </c>
      <c r="R1911" s="23" t="n">
        <v>69.2259</v>
      </c>
    </row>
    <row r="1912" ht="15" customHeight="1" s="12">
      <c r="A1912" s="18" t="inlineStr">
        <is>
          <t>Bilqās</t>
        </is>
      </c>
      <c r="B1912" s="18" t="inlineStr">
        <is>
          <t>Egypt</t>
        </is>
      </c>
      <c r="C1912" s="19" t="n">
        <v>108613296</v>
      </c>
      <c r="D1912" s="18" t="inlineStr">
        <is>
          <t>EG</t>
        </is>
      </c>
      <c r="E1912" s="18" t="inlineStr">
        <is>
          <t>01</t>
        </is>
      </c>
      <c r="F1912" s="20" t="n">
        <v>103596</v>
      </c>
      <c r="G1912" s="18" t="n"/>
      <c r="H1912" s="18" t="n"/>
      <c r="I1912" s="18" t="n"/>
      <c r="J1912" s="18" t="n"/>
      <c r="K1912" s="18" t="n"/>
      <c r="L1912" s="18" t="inlineStr">
        <is>
          <t>100k +  pop</t>
        </is>
      </c>
      <c r="M1912" s="22" t="n">
        <v>0</v>
      </c>
      <c r="N1912" s="22" t="n">
        <v>0</v>
      </c>
      <c r="O1912" s="18" t="n"/>
      <c r="P1912" s="22">
        <f>IF(O1912="",(About!$B$5*M1912+About!$B$6*N1912)/(About!$B$5+About!$B$6),About!$B$5*M1912+About!$B$6*N1912+About!$B$7*O1912)</f>
        <v/>
      </c>
      <c r="Q1912" s="23" t="n">
        <v>31.2145</v>
      </c>
      <c r="R1912" s="23" t="n">
        <v>31.358</v>
      </c>
    </row>
    <row r="1913" ht="15" customHeight="1" s="12">
      <c r="A1913" s="18" t="inlineStr">
        <is>
          <t>Vĩnh Long</t>
        </is>
      </c>
      <c r="B1913" s="18" t="inlineStr">
        <is>
          <t>Vietnam</t>
        </is>
      </c>
      <c r="C1913" s="19" t="n">
        <v>102300000</v>
      </c>
      <c r="D1913" s="18" t="inlineStr">
        <is>
          <t>VN</t>
        </is>
      </c>
      <c r="E1913" s="18" t="inlineStr">
        <is>
          <t>69</t>
        </is>
      </c>
      <c r="F1913" s="20" t="n">
        <v>103314</v>
      </c>
      <c r="G1913" s="18" t="n"/>
      <c r="H1913" s="18" t="n"/>
      <c r="I1913" s="18" t="n"/>
      <c r="J1913" s="18" t="n"/>
      <c r="K1913" s="18" t="n"/>
      <c r="L1913" s="18" t="inlineStr">
        <is>
          <t>100k +  pop</t>
        </is>
      </c>
      <c r="M1913" s="22" t="n">
        <v>0</v>
      </c>
      <c r="N1913" s="22" t="n">
        <v>0</v>
      </c>
      <c r="O1913" s="18" t="n"/>
      <c r="P1913" s="22">
        <f>IF(O1913="",(About!$B$5*M1913+About!$B$6*N1913)/(About!$B$5+About!$B$6),About!$B$5*M1913+About!$B$6*N1913+About!$B$7*O1913)</f>
        <v/>
      </c>
      <c r="Q1913" s="23" t="n">
        <v>10.2537</v>
      </c>
      <c r="R1913" s="23" t="n">
        <v>105.9722</v>
      </c>
    </row>
    <row r="1914" ht="15" customHeight="1" s="12">
      <c r="A1914" s="18" t="inlineStr">
        <is>
          <t>Turgutlu</t>
        </is>
      </c>
      <c r="B1914" s="18" t="inlineStr">
        <is>
          <t>Türkiye</t>
        </is>
      </c>
      <c r="C1914" s="19" t="n">
        <v>86092168</v>
      </c>
      <c r="D1914" s="18" t="inlineStr">
        <is>
          <t>TR</t>
        </is>
      </c>
      <c r="E1914" s="18" t="inlineStr">
        <is>
          <t>45</t>
        </is>
      </c>
      <c r="F1914" s="20" t="n">
        <v>103292</v>
      </c>
      <c r="G1914" s="18" t="n"/>
      <c r="H1914" s="18" t="n"/>
      <c r="I1914" s="18" t="n"/>
      <c r="J1914" s="18" t="n"/>
      <c r="K1914" s="18" t="n"/>
      <c r="L1914" s="18" t="inlineStr">
        <is>
          <t>100k +  pop</t>
        </is>
      </c>
      <c r="M1914" s="22" t="n">
        <v>0</v>
      </c>
      <c r="N1914" s="22" t="n">
        <v>0</v>
      </c>
      <c r="O1914" s="18" t="n"/>
      <c r="P1914" s="22">
        <f>IF(O1914="",(About!$B$5*M1914+About!$B$6*N1914)/(About!$B$5+About!$B$6),About!$B$5*M1914+About!$B$6*N1914+About!$B$7*O1914)</f>
        <v/>
      </c>
      <c r="Q1914" s="23" t="n">
        <v>38.4953</v>
      </c>
      <c r="R1914" s="23" t="n">
        <v>27.6997</v>
      </c>
    </row>
    <row r="1915" ht="15" customHeight="1" s="12">
      <c r="A1915" s="18" t="inlineStr">
        <is>
          <t>Hildesheim</t>
        </is>
      </c>
      <c r="B1915" s="18" t="inlineStr">
        <is>
          <t>Germany</t>
        </is>
      </c>
      <c r="C1915" s="19" t="n">
        <v>83497147</v>
      </c>
      <c r="D1915" s="18" t="inlineStr">
        <is>
          <t>DE</t>
        </is>
      </c>
      <c r="E1915" s="18" t="inlineStr">
        <is>
          <t>06</t>
        </is>
      </c>
      <c r="F1915" s="20" t="n">
        <v>103052</v>
      </c>
      <c r="G1915" s="18" t="n"/>
      <c r="H1915" s="18" t="n"/>
      <c r="I1915" s="18" t="n"/>
      <c r="J1915" s="18" t="n"/>
      <c r="K1915" s="18" t="n"/>
      <c r="L1915" s="18" t="inlineStr">
        <is>
          <t>100k +  pop</t>
        </is>
      </c>
      <c r="M1915" s="22" t="n">
        <v>0</v>
      </c>
      <c r="N1915" s="22" t="n">
        <v>0</v>
      </c>
      <c r="O1915" s="18" t="n"/>
      <c r="P1915" s="22">
        <f>IF(O1915="",(About!$B$5*M1915+About!$B$6*N1915)/(About!$B$5+About!$B$6),About!$B$5*M1915+About!$B$6*N1915+About!$B$7*O1915)</f>
        <v/>
      </c>
      <c r="Q1915" s="23" t="n">
        <v>52.1508</v>
      </c>
      <c r="R1915" s="23" t="n">
        <v>9.9511</v>
      </c>
    </row>
    <row r="1916" ht="15" customHeight="1" s="12">
      <c r="A1916" s="18" t="inlineStr">
        <is>
          <t>Khushāb</t>
        </is>
      </c>
      <c r="B1916" s="18" t="inlineStr">
        <is>
          <t>Pakistan</t>
        </is>
      </c>
      <c r="C1916" s="19" t="n">
        <v>241499431</v>
      </c>
      <c r="D1916" s="18" t="inlineStr">
        <is>
          <t>PK</t>
        </is>
      </c>
      <c r="E1916" s="18" t="inlineStr">
        <is>
          <t>04</t>
        </is>
      </c>
      <c r="F1916" s="20" t="n">
        <v>102793</v>
      </c>
      <c r="G1916" s="18" t="n"/>
      <c r="H1916" s="18" t="n"/>
      <c r="I1916" s="18" t="n"/>
      <c r="J1916" s="18" t="n"/>
      <c r="K1916" s="18" t="n"/>
      <c r="L1916" s="18" t="inlineStr">
        <is>
          <t>100k +  pop</t>
        </is>
      </c>
      <c r="M1916" s="22" t="n">
        <v>0</v>
      </c>
      <c r="N1916" s="22" t="n">
        <v>0</v>
      </c>
      <c r="O1916" s="18" t="n"/>
      <c r="P1916" s="22">
        <f>IF(O1916="",(About!$B$5*M1916+About!$B$6*N1916)/(About!$B$5+About!$B$6),About!$B$5*M1916+About!$B$6*N1916+About!$B$7*O1916)</f>
        <v/>
      </c>
      <c r="Q1916" s="23" t="n">
        <v>32.2967</v>
      </c>
      <c r="R1916" s="23" t="n">
        <v>72.35250000000001</v>
      </c>
    </row>
    <row r="1917" ht="15" customHeight="1" s="12">
      <c r="A1917" s="18" t="inlineStr">
        <is>
          <t>Sarh</t>
        </is>
      </c>
      <c r="B1917" s="18" t="inlineStr">
        <is>
          <t>Chad</t>
        </is>
      </c>
      <c r="C1917" s="19" t="n">
        <v>19340757</v>
      </c>
      <c r="D1917" s="18" t="inlineStr">
        <is>
          <t>TD</t>
        </is>
      </c>
      <c r="E1917" s="18" t="inlineStr">
        <is>
          <t>17</t>
        </is>
      </c>
      <c r="F1917" s="20" t="n">
        <v>102528</v>
      </c>
      <c r="G1917" s="18" t="n"/>
      <c r="H1917" s="18" t="n"/>
      <c r="I1917" s="18" t="n"/>
      <c r="J1917" s="18" t="n"/>
      <c r="K1917" s="18" t="n"/>
      <c r="L1917" s="18" t="inlineStr">
        <is>
          <t>100k +  pop</t>
        </is>
      </c>
      <c r="M1917" s="22" t="n">
        <v>0</v>
      </c>
      <c r="N1917" s="22" t="n">
        <v>0</v>
      </c>
      <c r="O1917" s="18" t="n"/>
      <c r="P1917" s="22">
        <f>IF(O1917="",(About!$B$5*M1917+About!$B$6*N1917)/(About!$B$5+About!$B$6),About!$B$5*M1917+About!$B$6*N1917+About!$B$7*O1917)</f>
        <v/>
      </c>
      <c r="Q1917" s="23" t="n">
        <v>9.142899999999999</v>
      </c>
      <c r="R1917" s="23" t="n">
        <v>18.3923</v>
      </c>
    </row>
    <row r="1918" ht="15" customHeight="1" s="12">
      <c r="A1918" s="18" t="inlineStr">
        <is>
          <t>Wazirabad</t>
        </is>
      </c>
      <c r="B1918" s="18" t="inlineStr">
        <is>
          <t>Pakistan</t>
        </is>
      </c>
      <c r="C1918" s="19" t="n">
        <v>241499431</v>
      </c>
      <c r="D1918" s="18" t="inlineStr">
        <is>
          <t>PK</t>
        </is>
      </c>
      <c r="E1918" s="18" t="inlineStr">
        <is>
          <t>04</t>
        </is>
      </c>
      <c r="F1918" s="20" t="n">
        <v>102444</v>
      </c>
      <c r="G1918" s="18" t="n"/>
      <c r="H1918" s="18" t="n"/>
      <c r="I1918" s="18" t="n"/>
      <c r="J1918" s="18" t="n"/>
      <c r="K1918" s="18" t="n"/>
      <c r="L1918" s="18" t="inlineStr">
        <is>
          <t>100k +  pop</t>
        </is>
      </c>
      <c r="M1918" s="22" t="n">
        <v>0</v>
      </c>
      <c r="N1918" s="22" t="n">
        <v>0</v>
      </c>
      <c r="O1918" s="18" t="n"/>
      <c r="P1918" s="22">
        <f>IF(O1918="",(About!$B$5*M1918+About!$B$6*N1918)/(About!$B$5+About!$B$6),About!$B$5*M1918+About!$B$6*N1918+About!$B$7*O1918)</f>
        <v/>
      </c>
      <c r="Q1918" s="23" t="n">
        <v>32.4432</v>
      </c>
      <c r="R1918" s="23" t="n">
        <v>74.12</v>
      </c>
    </row>
    <row r="1919" ht="15" customHeight="1" s="12">
      <c r="A1919" s="18" t="inlineStr">
        <is>
          <t>Shāhzādpur</t>
        </is>
      </c>
      <c r="B1919" s="18" t="inlineStr">
        <is>
          <t>Bangladesh</t>
        </is>
      </c>
      <c r="C1919" s="19" t="n">
        <v>169828911</v>
      </c>
      <c r="D1919" s="18" t="inlineStr">
        <is>
          <t>BD</t>
        </is>
      </c>
      <c r="E1919" s="18" t="inlineStr">
        <is>
          <t>83</t>
        </is>
      </c>
      <c r="F1919" s="20" t="n">
        <v>102420</v>
      </c>
      <c r="G1919" s="18" t="n"/>
      <c r="H1919" s="18" t="n"/>
      <c r="I1919" s="18" t="n"/>
      <c r="J1919" s="18" t="n"/>
      <c r="K1919" s="18" t="n"/>
      <c r="L1919" s="18" t="inlineStr">
        <is>
          <t>100k +  pop</t>
        </is>
      </c>
      <c r="M1919" s="22" t="n">
        <v>0</v>
      </c>
      <c r="N1919" s="22" t="n">
        <v>0</v>
      </c>
      <c r="O1919" s="18" t="n"/>
      <c r="P1919" s="22">
        <f>IF(O1919="",(About!$B$5*M1919+About!$B$6*N1919)/(About!$B$5+About!$B$6),About!$B$5*M1919+About!$B$6*N1919+About!$B$7*O1919)</f>
        <v/>
      </c>
      <c r="Q1919" s="23" t="n">
        <v>24.1769</v>
      </c>
      <c r="R1919" s="23" t="n">
        <v>89.5988</v>
      </c>
    </row>
    <row r="1920" ht="15" customHeight="1" s="12">
      <c r="A1920" s="18" t="inlineStr">
        <is>
          <t>Disūq</t>
        </is>
      </c>
      <c r="B1920" s="18" t="inlineStr">
        <is>
          <t>Egypt</t>
        </is>
      </c>
      <c r="C1920" s="19" t="n">
        <v>108613296</v>
      </c>
      <c r="D1920" s="18" t="inlineStr">
        <is>
          <t>EG</t>
        </is>
      </c>
      <c r="E1920" s="18" t="inlineStr">
        <is>
          <t>21</t>
        </is>
      </c>
      <c r="F1920" s="20" t="n">
        <v>102037</v>
      </c>
      <c r="G1920" s="18" t="n"/>
      <c r="H1920" s="18" t="n"/>
      <c r="I1920" s="18" t="n"/>
      <c r="J1920" s="18" t="n"/>
      <c r="K1920" s="18" t="n"/>
      <c r="L1920" s="18" t="inlineStr">
        <is>
          <t>100k +  pop</t>
        </is>
      </c>
      <c r="M1920" s="22" t="n">
        <v>0</v>
      </c>
      <c r="N1920" s="22" t="n">
        <v>0</v>
      </c>
      <c r="O1920" s="18" t="n"/>
      <c r="P1920" s="22">
        <f>IF(O1920="",(About!$B$5*M1920+About!$B$6*N1920)/(About!$B$5+About!$B$6),About!$B$5*M1920+About!$B$6*N1920+About!$B$7*O1920)</f>
        <v/>
      </c>
      <c r="Q1920" s="23" t="n">
        <v>31.1326</v>
      </c>
      <c r="R1920" s="23" t="n">
        <v>30.6478</v>
      </c>
    </row>
    <row r="1921" ht="15" customHeight="1" s="12">
      <c r="A1921" s="18" t="inlineStr">
        <is>
          <t>Bethal</t>
        </is>
      </c>
      <c r="B1921" s="18" t="inlineStr">
        <is>
          <t>South Africa</t>
        </is>
      </c>
      <c r="C1921" s="19" t="n">
        <v>63100945</v>
      </c>
      <c r="D1921" s="18" t="inlineStr">
        <is>
          <t>ZA</t>
        </is>
      </c>
      <c r="E1921" s="18" t="inlineStr">
        <is>
          <t>07</t>
        </is>
      </c>
      <c r="F1921" s="20" t="n">
        <v>101919</v>
      </c>
      <c r="G1921" s="18" t="n"/>
      <c r="H1921" s="18" t="n"/>
      <c r="I1921" s="18" t="n"/>
      <c r="J1921" s="18" t="n"/>
      <c r="K1921" s="18" t="n"/>
      <c r="L1921" s="18" t="inlineStr">
        <is>
          <t>100k +  pop</t>
        </is>
      </c>
      <c r="M1921" s="22" t="n">
        <v>0</v>
      </c>
      <c r="N1921" s="22" t="n">
        <v>0</v>
      </c>
      <c r="O1921" s="18" t="n"/>
      <c r="P1921" s="22">
        <f>IF(O1921="",(About!$B$5*M1921+About!$B$6*N1921)/(About!$B$5+About!$B$6),About!$B$5*M1921+About!$B$6*N1921+About!$B$7*O1921)</f>
        <v/>
      </c>
      <c r="Q1921" s="23" t="n">
        <v>-26.4579</v>
      </c>
      <c r="R1921" s="23" t="n">
        <v>29.4655</v>
      </c>
    </row>
    <row r="1922" ht="15" customHeight="1" s="12">
      <c r="A1922" s="18" t="inlineStr">
        <is>
          <t>Pulong Santa Cruz</t>
        </is>
      </c>
      <c r="B1922" s="18" t="inlineStr">
        <is>
          <t>Philippines</t>
        </is>
      </c>
      <c r="C1922" s="19" t="n">
        <v>114123600</v>
      </c>
      <c r="D1922" s="18" t="inlineStr">
        <is>
          <t>PH</t>
        </is>
      </c>
      <c r="E1922" s="18" t="inlineStr">
        <is>
          <t>40</t>
        </is>
      </c>
      <c r="F1922" s="20" t="n">
        <v>101914</v>
      </c>
      <c r="G1922" s="18" t="n"/>
      <c r="H1922" s="18" t="n"/>
      <c r="I1922" s="18" t="n"/>
      <c r="J1922" s="18" t="n"/>
      <c r="K1922" s="18" t="n"/>
      <c r="L1922" s="18" t="inlineStr">
        <is>
          <t>100k +  pop</t>
        </is>
      </c>
      <c r="M1922" s="22" t="n">
        <v>0</v>
      </c>
      <c r="N1922" s="22" t="n">
        <v>0</v>
      </c>
      <c r="O1922" s="18" t="n"/>
      <c r="P1922" s="22">
        <f>IF(O1922="",(About!$B$5*M1922+About!$B$6*N1922)/(About!$B$5+About!$B$6),About!$B$5*M1922+About!$B$6*N1922+About!$B$7*O1922)</f>
        <v/>
      </c>
      <c r="Q1922" s="23" t="n">
        <v>14.2732</v>
      </c>
      <c r="R1922" s="23" t="n">
        <v>121.0764</v>
      </c>
    </row>
    <row r="1923" ht="15" customHeight="1" s="12">
      <c r="A1923" s="18" t="inlineStr">
        <is>
          <t>Torrevieja</t>
        </is>
      </c>
      <c r="B1923" s="18" t="inlineStr">
        <is>
          <t>Spain</t>
        </is>
      </c>
      <c r="C1923" s="19" t="n">
        <v>49687120</v>
      </c>
      <c r="D1923" s="18" t="inlineStr">
        <is>
          <t>ES</t>
        </is>
      </c>
      <c r="E1923" s="18" t="inlineStr">
        <is>
          <t>60</t>
        </is>
      </c>
      <c r="F1923" s="20" t="n">
        <v>101792</v>
      </c>
      <c r="G1923" s="18" t="n"/>
      <c r="H1923" s="18" t="n"/>
      <c r="I1923" s="18" t="n"/>
      <c r="J1923" s="18" t="n"/>
      <c r="K1923" s="18" t="n"/>
      <c r="L1923" s="18" t="inlineStr">
        <is>
          <t>100k +  pop</t>
        </is>
      </c>
      <c r="M1923" s="22" t="n">
        <v>0</v>
      </c>
      <c r="N1923" s="22" t="n">
        <v>0</v>
      </c>
      <c r="O1923" s="18" t="n"/>
      <c r="P1923" s="22">
        <f>IF(O1923="",(About!$B$5*M1923+About!$B$6*N1923)/(About!$B$5+About!$B$6),About!$B$5*M1923+About!$B$6*N1923+About!$B$7*O1923)</f>
        <v/>
      </c>
      <c r="Q1923" s="23" t="n">
        <v>37.9787</v>
      </c>
      <c r="R1923" s="23" t="n">
        <v>-0.6822</v>
      </c>
    </row>
    <row r="1924" ht="15" customHeight="1" s="12">
      <c r="A1924" s="18" t="inlineStr">
        <is>
          <t>Milton</t>
        </is>
      </c>
      <c r="B1924" s="18" t="inlineStr">
        <is>
          <t>Canada</t>
        </is>
      </c>
      <c r="C1924" s="19" t="n">
        <v>41472081</v>
      </c>
      <c r="D1924" s="18" t="inlineStr">
        <is>
          <t>CA</t>
        </is>
      </c>
      <c r="E1924" s="18" t="inlineStr">
        <is>
          <t>08</t>
        </is>
      </c>
      <c r="F1924" s="20" t="n">
        <v>101715</v>
      </c>
      <c r="G1924" s="18" t="n"/>
      <c r="H1924" s="18" t="n"/>
      <c r="I1924" s="18" t="n"/>
      <c r="J1924" s="18" t="n"/>
      <c r="K1924" s="18" t="n"/>
      <c r="L1924" s="18" t="inlineStr">
        <is>
          <t>100k +  pop</t>
        </is>
      </c>
      <c r="M1924" s="22" t="n">
        <v>0</v>
      </c>
      <c r="N1924" s="22" t="n">
        <v>0</v>
      </c>
      <c r="O1924" s="18" t="n"/>
      <c r="P1924" s="22">
        <f>IF(O1924="",(About!$B$5*M1924+About!$B$6*N1924)/(About!$B$5+About!$B$6),About!$B$5*M1924+About!$B$6*N1924+About!$B$7*O1924)</f>
        <v/>
      </c>
      <c r="Q1924" s="23" t="n">
        <v>43.5168</v>
      </c>
      <c r="R1924" s="23" t="n">
        <v>-79.88290000000001</v>
      </c>
    </row>
    <row r="1925" ht="15" customHeight="1" s="12">
      <c r="A1925" s="18" t="inlineStr">
        <is>
          <t>Worcester</t>
        </is>
      </c>
      <c r="B1925" s="18" t="inlineStr">
        <is>
          <t>United Kingdom</t>
        </is>
      </c>
      <c r="C1925" s="19" t="n">
        <v>69487000</v>
      </c>
      <c r="D1925" s="18" t="inlineStr">
        <is>
          <t>GB</t>
        </is>
      </c>
      <c r="E1925" s="18" t="inlineStr">
        <is>
          <t>ENG</t>
        </is>
      </c>
      <c r="F1925" s="20" t="n">
        <v>101659</v>
      </c>
      <c r="G1925" s="18" t="n"/>
      <c r="H1925" s="18" t="n"/>
      <c r="I1925" s="18" t="n"/>
      <c r="J1925" s="18" t="n"/>
      <c r="K1925" s="18" t="n"/>
      <c r="L1925" s="18" t="inlineStr">
        <is>
          <t>100k +  pop</t>
        </is>
      </c>
      <c r="M1925" s="22" t="n">
        <v>0</v>
      </c>
      <c r="N1925" s="22" t="n">
        <v>0</v>
      </c>
      <c r="O1925" s="18" t="n"/>
      <c r="P1925" s="22">
        <f>IF(O1925="",(About!$B$5*M1925+About!$B$6*N1925)/(About!$B$5+About!$B$6),About!$B$5*M1925+About!$B$6*N1925+About!$B$7*O1925)</f>
        <v/>
      </c>
      <c r="Q1925" s="23" t="n">
        <v>52.1893</v>
      </c>
      <c r="R1925" s="23" t="n">
        <v>-2.22</v>
      </c>
    </row>
    <row r="1926" ht="15" customHeight="1" s="12">
      <c r="A1926" s="18" t="inlineStr">
        <is>
          <t>Dera Ismail Khan</t>
        </is>
      </c>
      <c r="B1926" s="18" t="inlineStr">
        <is>
          <t>Pakistan</t>
        </is>
      </c>
      <c r="C1926" s="19" t="n">
        <v>241499431</v>
      </c>
      <c r="D1926" s="18" t="inlineStr">
        <is>
          <t>PK</t>
        </is>
      </c>
      <c r="E1926" s="18" t="inlineStr">
        <is>
          <t>03</t>
        </is>
      </c>
      <c r="F1926" s="20" t="n">
        <v>101616</v>
      </c>
      <c r="G1926" s="18" t="n"/>
      <c r="H1926" s="18" t="n"/>
      <c r="I1926" s="18" t="n"/>
      <c r="J1926" s="18" t="n"/>
      <c r="K1926" s="18" t="n"/>
      <c r="L1926" s="18" t="inlineStr">
        <is>
          <t>100k +  pop</t>
        </is>
      </c>
      <c r="M1926" s="22" t="n">
        <v>0</v>
      </c>
      <c r="N1926" s="22" t="n">
        <v>0</v>
      </c>
      <c r="O1926" s="18" t="n"/>
      <c r="P1926" s="22">
        <f>IF(O1926="",(About!$B$5*M1926+About!$B$6*N1926)/(About!$B$5+About!$B$6),About!$B$5*M1926+About!$B$6*N1926+About!$B$7*O1926)</f>
        <v/>
      </c>
      <c r="Q1926" s="23" t="n">
        <v>31.8313</v>
      </c>
      <c r="R1926" s="23" t="n">
        <v>70.90170000000001</v>
      </c>
    </row>
    <row r="1927" ht="15" customHeight="1" s="12">
      <c r="A1927" s="18" t="inlineStr">
        <is>
          <t>Mustafakemalpaşa</t>
        </is>
      </c>
      <c r="B1927" s="18" t="inlineStr">
        <is>
          <t>Türkiye</t>
        </is>
      </c>
      <c r="C1927" s="19" t="n">
        <v>86092168</v>
      </c>
      <c r="D1927" s="18" t="inlineStr">
        <is>
          <t>TR</t>
        </is>
      </c>
      <c r="E1927" s="18" t="inlineStr">
        <is>
          <t>16</t>
        </is>
      </c>
      <c r="F1927" s="20" t="n">
        <v>101412</v>
      </c>
      <c r="G1927" s="18" t="n"/>
      <c r="H1927" s="18" t="n"/>
      <c r="I1927" s="18" t="n"/>
      <c r="J1927" s="18" t="n"/>
      <c r="K1927" s="18" t="n"/>
      <c r="L1927" s="18" t="inlineStr">
        <is>
          <t>100k +  pop</t>
        </is>
      </c>
      <c r="M1927" s="22" t="n">
        <v>0</v>
      </c>
      <c r="N1927" s="22" t="n">
        <v>0</v>
      </c>
      <c r="O1927" s="18" t="n"/>
      <c r="P1927" s="22">
        <f>IF(O1927="",(About!$B$5*M1927+About!$B$6*N1927)/(About!$B$5+About!$B$6),About!$B$5*M1927+About!$B$6*N1927+About!$B$7*O1927)</f>
        <v/>
      </c>
      <c r="Q1927" s="23" t="n">
        <v>40.0382</v>
      </c>
      <c r="R1927" s="23" t="n">
        <v>28.4087</v>
      </c>
    </row>
    <row r="1928" ht="15" customHeight="1" s="12">
      <c r="A1928" s="18" t="inlineStr">
        <is>
          <t>Olomouc</t>
        </is>
      </c>
      <c r="B1928" s="18" t="inlineStr">
        <is>
          <t>Czechia</t>
        </is>
      </c>
      <c r="C1928" s="19" t="n">
        <v>10915839</v>
      </c>
      <c r="D1928" s="18" t="inlineStr">
        <is>
          <t>CZ</t>
        </is>
      </c>
      <c r="E1928" s="18" t="inlineStr">
        <is>
          <t>84</t>
        </is>
      </c>
      <c r="F1928" s="20" t="n">
        <v>101268</v>
      </c>
      <c r="G1928" s="18" t="n"/>
      <c r="H1928" s="18" t="n"/>
      <c r="I1928" s="18" t="n"/>
      <c r="J1928" s="18" t="n"/>
      <c r="K1928" s="18" t="n"/>
      <c r="L1928" s="18" t="inlineStr">
        <is>
          <t>100k +  pop</t>
        </is>
      </c>
      <c r="M1928" s="22" t="n">
        <v>0</v>
      </c>
      <c r="N1928" s="22" t="n">
        <v>0</v>
      </c>
      <c r="O1928" s="18" t="n"/>
      <c r="P1928" s="22">
        <f>IF(O1928="",(About!$B$5*M1928+About!$B$6*N1928)/(About!$B$5+About!$B$6),About!$B$5*M1928+About!$B$6*N1928+About!$B$7*O1928)</f>
        <v/>
      </c>
      <c r="Q1928" s="23" t="n">
        <v>49.5955</v>
      </c>
      <c r="R1928" s="23" t="n">
        <v>17.2518</v>
      </c>
    </row>
    <row r="1929" ht="15" customHeight="1" s="12">
      <c r="A1929" s="18" t="inlineStr">
        <is>
          <t>Chakwal</t>
        </is>
      </c>
      <c r="B1929" s="18" t="inlineStr">
        <is>
          <t>Pakistan</t>
        </is>
      </c>
      <c r="C1929" s="19" t="n">
        <v>241499431</v>
      </c>
      <c r="D1929" s="18" t="inlineStr">
        <is>
          <t>PK</t>
        </is>
      </c>
      <c r="E1929" s="18" t="inlineStr">
        <is>
          <t>04</t>
        </is>
      </c>
      <c r="F1929" s="20" t="n">
        <v>101200</v>
      </c>
      <c r="G1929" s="18" t="n"/>
      <c r="H1929" s="18" t="n"/>
      <c r="I1929" s="18" t="n"/>
      <c r="J1929" s="18" t="n"/>
      <c r="K1929" s="18" t="n"/>
      <c r="L1929" s="18" t="inlineStr">
        <is>
          <t>100k +  pop</t>
        </is>
      </c>
      <c r="M1929" s="22" t="n">
        <v>0</v>
      </c>
      <c r="N1929" s="22" t="n">
        <v>0</v>
      </c>
      <c r="O1929" s="18" t="n"/>
      <c r="P1929" s="22">
        <f>IF(O1929="",(About!$B$5*M1929+About!$B$6*N1929)/(About!$B$5+About!$B$6),About!$B$5*M1929+About!$B$6*N1929+About!$B$7*O1929)</f>
        <v/>
      </c>
      <c r="Q1929" s="23" t="n">
        <v>32.9329</v>
      </c>
      <c r="R1929" s="23" t="n">
        <v>72.8539</v>
      </c>
    </row>
    <row r="1930" ht="15" customHeight="1" s="12">
      <c r="A1930" s="18" t="inlineStr">
        <is>
          <t>Tonghae</t>
        </is>
      </c>
      <c r="B1930" s="18" t="inlineStr">
        <is>
          <t>South Korea</t>
        </is>
      </c>
      <c r="C1930" s="19" t="n">
        <v>51111158</v>
      </c>
      <c r="D1930" s="18" t="inlineStr">
        <is>
          <t>KR</t>
        </is>
      </c>
      <c r="E1930" s="18" t="inlineStr">
        <is>
          <t>06</t>
        </is>
      </c>
      <c r="F1930" s="20" t="n">
        <v>101128</v>
      </c>
      <c r="G1930" s="18" t="n"/>
      <c r="H1930" s="18" t="n"/>
      <c r="I1930" s="18" t="n"/>
      <c r="J1930" s="18" t="n"/>
      <c r="K1930" s="18" t="n"/>
      <c r="L1930" s="18" t="inlineStr">
        <is>
          <t>100k +  pop</t>
        </is>
      </c>
      <c r="M1930" s="22" t="n">
        <v>0</v>
      </c>
      <c r="N1930" s="22" t="n">
        <v>0</v>
      </c>
      <c r="O1930" s="18" t="n"/>
      <c r="P1930" s="22">
        <f>IF(O1930="",(About!$B$5*M1930+About!$B$6*N1930)/(About!$B$5+About!$B$6),About!$B$5*M1930+About!$B$6*N1930+About!$B$7*O1930)</f>
        <v/>
      </c>
      <c r="Q1930" s="23" t="n">
        <v>37.5439</v>
      </c>
      <c r="R1930" s="23" t="n">
        <v>129.1069</v>
      </c>
    </row>
    <row r="1931" ht="15" customHeight="1" s="12">
      <c r="A1931" s="18" t="inlineStr">
        <is>
          <t>Vanadzor</t>
        </is>
      </c>
      <c r="B1931" s="18" t="inlineStr">
        <is>
          <t>Armenia</t>
        </is>
      </c>
      <c r="C1931" s="19" t="n">
        <v>3096900</v>
      </c>
      <c r="D1931" s="18" t="inlineStr">
        <is>
          <t>AM</t>
        </is>
      </c>
      <c r="E1931" s="18" t="inlineStr">
        <is>
          <t>06</t>
        </is>
      </c>
      <c r="F1931" s="20" t="n">
        <v>101098</v>
      </c>
      <c r="G1931" s="18" t="n"/>
      <c r="H1931" s="18" t="n"/>
      <c r="I1931" s="18" t="n"/>
      <c r="J1931" s="18" t="n"/>
      <c r="K1931" s="18" t="n"/>
      <c r="L1931" s="18" t="inlineStr">
        <is>
          <t>100k +  pop</t>
        </is>
      </c>
      <c r="M1931" s="22" t="n">
        <v>0</v>
      </c>
      <c r="N1931" s="22" t="n">
        <v>0</v>
      </c>
      <c r="O1931" s="18" t="n"/>
      <c r="P1931" s="22">
        <f>IF(O1931="",(About!$B$5*M1931+About!$B$6*N1931)/(About!$B$5+About!$B$6),About!$B$5*M1931+About!$B$6*N1931+About!$B$7*O1931)</f>
        <v/>
      </c>
      <c r="Q1931" s="23" t="n">
        <v>40.8046</v>
      </c>
      <c r="R1931" s="23" t="n">
        <v>44.4939</v>
      </c>
    </row>
    <row r="1932" ht="15" customHeight="1" s="12">
      <c r="A1932" s="18" t="inlineStr">
        <is>
          <t>Tartu</t>
        </is>
      </c>
      <c r="B1932" s="18" t="inlineStr">
        <is>
          <t>Estonia</t>
        </is>
      </c>
      <c r="C1932" s="19" t="n">
        <v>1360745</v>
      </c>
      <c r="D1932" s="18" t="inlineStr">
        <is>
          <t>EE</t>
        </is>
      </c>
      <c r="E1932" s="18" t="inlineStr">
        <is>
          <t>18</t>
        </is>
      </c>
      <c r="F1932" s="20" t="n">
        <v>101092</v>
      </c>
      <c r="G1932" s="18" t="n"/>
      <c r="H1932" s="18" t="inlineStr">
        <is>
          <t>TAY</t>
        </is>
      </c>
      <c r="I1932" s="18" t="inlineStr">
        <is>
          <t>Tartu Airport</t>
        </is>
      </c>
      <c r="J1932" s="21" t="n">
        <v>8.4</v>
      </c>
      <c r="K1932" s="18" t="inlineStr">
        <is>
          <t>TAY</t>
        </is>
      </c>
      <c r="L1932" s="18" t="inlineStr">
        <is>
          <t>100k +  pop + airport</t>
        </is>
      </c>
      <c r="M1932" s="22" t="n">
        <v>0</v>
      </c>
      <c r="N1932" s="22" t="n">
        <v>0</v>
      </c>
      <c r="O1932" s="18" t="n"/>
      <c r="P1932" s="22">
        <f>IF(O1932="",(About!$B$5*M1932+About!$B$6*N1932)/(About!$B$5+About!$B$6),About!$B$5*M1932+About!$B$6*N1932+About!$B$7*O1932)</f>
        <v/>
      </c>
      <c r="Q1932" s="23" t="n">
        <v>58.3806</v>
      </c>
      <c r="R1932" s="23" t="n">
        <v>26.7251</v>
      </c>
    </row>
    <row r="1933" ht="15" customHeight="1" s="12">
      <c r="A1933" s="18" t="inlineStr">
        <is>
          <t>Mokopane</t>
        </is>
      </c>
      <c r="B1933" s="18" t="inlineStr">
        <is>
          <t>South Africa</t>
        </is>
      </c>
      <c r="C1933" s="19" t="n">
        <v>63100945</v>
      </c>
      <c r="D1933" s="18" t="inlineStr">
        <is>
          <t>ZA</t>
        </is>
      </c>
      <c r="E1933" s="18" t="inlineStr">
        <is>
          <t>09</t>
        </is>
      </c>
      <c r="F1933" s="20" t="n">
        <v>101090</v>
      </c>
      <c r="G1933" s="18" t="n"/>
      <c r="H1933" s="18" t="n"/>
      <c r="I1933" s="18" t="n"/>
      <c r="J1933" s="18" t="n"/>
      <c r="K1933" s="18" t="n"/>
      <c r="L1933" s="18" t="inlineStr">
        <is>
          <t>100k +  pop</t>
        </is>
      </c>
      <c r="M1933" s="22" t="n">
        <v>0</v>
      </c>
      <c r="N1933" s="22" t="n">
        <v>0</v>
      </c>
      <c r="O1933" s="18" t="n"/>
      <c r="P1933" s="22">
        <f>IF(O1933="",(About!$B$5*M1933+About!$B$6*N1933)/(About!$B$5+About!$B$6),About!$B$5*M1933+About!$B$6*N1933+About!$B$7*O1933)</f>
        <v/>
      </c>
      <c r="Q1933" s="23" t="n">
        <v>-24.1944</v>
      </c>
      <c r="R1933" s="23" t="n">
        <v>29.0097</v>
      </c>
    </row>
    <row r="1934" ht="15" customHeight="1" s="12">
      <c r="A1934" s="18" t="inlineStr">
        <is>
          <t>Salzgitter</t>
        </is>
      </c>
      <c r="B1934" s="18" t="inlineStr">
        <is>
          <t>Germany</t>
        </is>
      </c>
      <c r="C1934" s="19" t="n">
        <v>83497147</v>
      </c>
      <c r="D1934" s="18" t="inlineStr">
        <is>
          <t>DE</t>
        </is>
      </c>
      <c r="E1934" s="18" t="inlineStr">
        <is>
          <t>06</t>
        </is>
      </c>
      <c r="F1934" s="20" t="n">
        <v>101079</v>
      </c>
      <c r="G1934" s="18" t="n"/>
      <c r="H1934" s="18" t="n"/>
      <c r="I1934" s="18" t="n"/>
      <c r="J1934" s="18" t="n"/>
      <c r="K1934" s="18" t="n"/>
      <c r="L1934" s="18" t="inlineStr">
        <is>
          <t>100k +  pop</t>
        </is>
      </c>
      <c r="M1934" s="22" t="n">
        <v>0</v>
      </c>
      <c r="N1934" s="22" t="n">
        <v>0</v>
      </c>
      <c r="O1934" s="18" t="n"/>
      <c r="P1934" s="22">
        <f>IF(O1934="",(About!$B$5*M1934+About!$B$6*N1934)/(About!$B$5+About!$B$6),About!$B$5*M1934+About!$B$6*N1934+About!$B$7*O1934)</f>
        <v/>
      </c>
      <c r="Q1934" s="23" t="n">
        <v>52.157</v>
      </c>
      <c r="R1934" s="23" t="n">
        <v>10.4154</v>
      </c>
    </row>
    <row r="1935" ht="15" customHeight="1" s="12">
      <c r="A1935" s="18" t="inlineStr">
        <is>
          <t>Urdaneta</t>
        </is>
      </c>
      <c r="B1935" s="18" t="inlineStr">
        <is>
          <t>Philippines</t>
        </is>
      </c>
      <c r="C1935" s="19" t="n">
        <v>114123600</v>
      </c>
      <c r="D1935" s="18" t="inlineStr">
        <is>
          <t>PH</t>
        </is>
      </c>
      <c r="E1935" s="18" t="inlineStr">
        <is>
          <t>01</t>
        </is>
      </c>
      <c r="F1935" s="20" t="n">
        <v>101037</v>
      </c>
      <c r="G1935" s="18" t="n"/>
      <c r="H1935" s="18" t="n"/>
      <c r="I1935" s="18" t="n"/>
      <c r="J1935" s="18" t="n"/>
      <c r="K1935" s="18" t="n"/>
      <c r="L1935" s="18" t="inlineStr">
        <is>
          <t>100k +  pop</t>
        </is>
      </c>
      <c r="M1935" s="22" t="n">
        <v>0</v>
      </c>
      <c r="N1935" s="22" t="n">
        <v>0</v>
      </c>
      <c r="O1935" s="18" t="n"/>
      <c r="P1935" s="22">
        <f>IF(O1935="",(About!$B$5*M1935+About!$B$6*N1935)/(About!$B$5+About!$B$6),About!$B$5*M1935+About!$B$6*N1935+About!$B$7*O1935)</f>
        <v/>
      </c>
      <c r="Q1935" s="23" t="n">
        <v>15.9761</v>
      </c>
      <c r="R1935" s="23" t="n">
        <v>120.5711</v>
      </c>
    </row>
    <row r="1936" ht="15" customHeight="1" s="12">
      <c r="A1936" s="18" t="inlineStr">
        <is>
          <t>Jolo</t>
        </is>
      </c>
      <c r="B1936" s="18" t="inlineStr">
        <is>
          <t>Philippines</t>
        </is>
      </c>
      <c r="C1936" s="19" t="n">
        <v>114123600</v>
      </c>
      <c r="D1936" s="18" t="inlineStr">
        <is>
          <t>PH</t>
        </is>
      </c>
      <c r="E1936" s="18" t="inlineStr">
        <is>
          <t>14</t>
        </is>
      </c>
      <c r="F1936" s="20" t="n">
        <v>101002</v>
      </c>
      <c r="G1936" s="18" t="n"/>
      <c r="H1936" s="18" t="inlineStr">
        <is>
          <t>JOL</t>
        </is>
      </c>
      <c r="I1936" s="18" t="inlineStr">
        <is>
          <t>Jolo Airport</t>
        </is>
      </c>
      <c r="J1936" s="21" t="n">
        <v>1</v>
      </c>
      <c r="K1936" s="18" t="inlineStr">
        <is>
          <t>JOL</t>
        </is>
      </c>
      <c r="L1936" s="18" t="inlineStr">
        <is>
          <t>100k +  pop + airport</t>
        </is>
      </c>
      <c r="M1936" s="22" t="n">
        <v>0</v>
      </c>
      <c r="N1936" s="22" t="n">
        <v>0</v>
      </c>
      <c r="O1936" s="18" t="n"/>
      <c r="P1936" s="22">
        <f>IF(O1936="",(About!$B$5*M1936+About!$B$6*N1936)/(About!$B$5+About!$B$6),About!$B$5*M1936+About!$B$6*N1936+About!$B$7*O1936)</f>
        <v/>
      </c>
      <c r="Q1936" s="23" t="n">
        <v>6.0522</v>
      </c>
      <c r="R1936" s="23" t="n">
        <v>121.0022</v>
      </c>
    </row>
    <row r="1937" ht="15" customHeight="1" s="12">
      <c r="A1937" s="18" t="inlineStr">
        <is>
          <t>Elbasan</t>
        </is>
      </c>
      <c r="B1937" s="18" t="inlineStr">
        <is>
          <t>Albania</t>
        </is>
      </c>
      <c r="C1937" s="19" t="n">
        <v>2363314</v>
      </c>
      <c r="D1937" s="18" t="inlineStr">
        <is>
          <t>AL</t>
        </is>
      </c>
      <c r="E1937" s="18" t="inlineStr">
        <is>
          <t>43</t>
        </is>
      </c>
      <c r="F1937" s="20" t="n">
        <v>100903</v>
      </c>
      <c r="G1937" s="18" t="n"/>
      <c r="H1937" s="18" t="n"/>
      <c r="I1937" s="18" t="n"/>
      <c r="J1937" s="18" t="n"/>
      <c r="K1937" s="18" t="n"/>
      <c r="L1937" s="18" t="inlineStr">
        <is>
          <t>100k +  pop</t>
        </is>
      </c>
      <c r="M1937" s="22" t="n">
        <v>0</v>
      </c>
      <c r="N1937" s="22" t="n">
        <v>0</v>
      </c>
      <c r="O1937" s="18" t="n"/>
      <c r="P1937" s="22">
        <f>IF(O1937="",(About!$B$5*M1937+About!$B$6*N1937)/(About!$B$5+About!$B$6),About!$B$5*M1937+About!$B$6*N1937+About!$B$7*O1937)</f>
        <v/>
      </c>
      <c r="Q1937" s="23" t="n">
        <v>41.1125</v>
      </c>
      <c r="R1937" s="23" t="n">
        <v>20.0822</v>
      </c>
    </row>
    <row r="1938" ht="15" customHeight="1" s="12">
      <c r="A1938" s="18" t="inlineStr">
        <is>
          <t>Oum el Bouaghi</t>
        </is>
      </c>
      <c r="B1938" s="18" t="inlineStr">
        <is>
          <t>Algeria</t>
        </is>
      </c>
      <c r="C1938" s="19" t="n">
        <v>47400000</v>
      </c>
      <c r="D1938" s="18" t="inlineStr">
        <is>
          <t>DZ</t>
        </is>
      </c>
      <c r="E1938" s="18" t="inlineStr">
        <is>
          <t>29</t>
        </is>
      </c>
      <c r="F1938" s="20" t="n">
        <v>100821</v>
      </c>
      <c r="G1938" s="18" t="n"/>
      <c r="H1938" s="18" t="n"/>
      <c r="I1938" s="18" t="n"/>
      <c r="J1938" s="18" t="n"/>
      <c r="K1938" s="18" t="n"/>
      <c r="L1938" s="18" t="inlineStr">
        <is>
          <t>100k +  pop</t>
        </is>
      </c>
      <c r="M1938" s="22" t="n">
        <v>0</v>
      </c>
      <c r="N1938" s="22" t="n">
        <v>0</v>
      </c>
      <c r="O1938" s="18" t="n"/>
      <c r="P1938" s="22">
        <f>IF(O1938="",(About!$B$5*M1938+About!$B$6*N1938)/(About!$B$5+About!$B$6),About!$B$5*M1938+About!$B$6*N1938+About!$B$7*O1938)</f>
        <v/>
      </c>
      <c r="Q1938" s="23" t="n">
        <v>35.8754</v>
      </c>
      <c r="R1938" s="23" t="n">
        <v>7.1135</v>
      </c>
    </row>
    <row r="1939" ht="15" customHeight="1" s="12">
      <c r="A1939" s="18" t="inlineStr">
        <is>
          <t>Abū Kabīr</t>
        </is>
      </c>
      <c r="B1939" s="18" t="inlineStr">
        <is>
          <t>Egypt</t>
        </is>
      </c>
      <c r="C1939" s="19" t="n">
        <v>108613296</v>
      </c>
      <c r="D1939" s="18" t="inlineStr">
        <is>
          <t>EG</t>
        </is>
      </c>
      <c r="E1939" s="18" t="inlineStr">
        <is>
          <t>14</t>
        </is>
      </c>
      <c r="F1939" s="20" t="n">
        <v>100684</v>
      </c>
      <c r="G1939" s="18" t="n"/>
      <c r="H1939" s="18" t="n"/>
      <c r="I1939" s="18" t="n"/>
      <c r="J1939" s="18" t="n"/>
      <c r="K1939" s="18" t="n"/>
      <c r="L1939" s="18" t="inlineStr">
        <is>
          <t>100k +  pop</t>
        </is>
      </c>
      <c r="M1939" s="22" t="n">
        <v>0</v>
      </c>
      <c r="N1939" s="22" t="n">
        <v>0</v>
      </c>
      <c r="O1939" s="18" t="n"/>
      <c r="P1939" s="22">
        <f>IF(O1939="",(About!$B$5*M1939+About!$B$6*N1939)/(About!$B$5+About!$B$6),About!$B$5*M1939+About!$B$6*N1939+About!$B$7*O1939)</f>
        <v/>
      </c>
      <c r="Q1939" s="23" t="n">
        <v>30.7251</v>
      </c>
      <c r="R1939" s="23" t="n">
        <v>31.6715</v>
      </c>
    </row>
    <row r="1940" ht="15" customHeight="1" s="12">
      <c r="A1940" s="18" t="inlineStr">
        <is>
          <t>Magangué</t>
        </is>
      </c>
      <c r="B1940" s="18" t="inlineStr">
        <is>
          <t>Colombia</t>
        </is>
      </c>
      <c r="C1940" s="19" t="n">
        <v>53057212</v>
      </c>
      <c r="D1940" s="18" t="inlineStr">
        <is>
          <t>CO</t>
        </is>
      </c>
      <c r="E1940" s="18" t="inlineStr">
        <is>
          <t>35</t>
        </is>
      </c>
      <c r="F1940" s="20" t="n">
        <v>100313</v>
      </c>
      <c r="G1940" s="18" t="n"/>
      <c r="H1940" s="18" t="n"/>
      <c r="I1940" s="18" t="n"/>
      <c r="J1940" s="18" t="n"/>
      <c r="K1940" s="18" t="n"/>
      <c r="L1940" s="18" t="inlineStr">
        <is>
          <t>100k +  pop</t>
        </is>
      </c>
      <c r="M1940" s="22" t="n">
        <v>0</v>
      </c>
      <c r="N1940" s="22" t="n">
        <v>0</v>
      </c>
      <c r="O1940" s="18" t="n"/>
      <c r="P1940" s="22">
        <f>IF(O1940="",(About!$B$5*M1940+About!$B$6*N1940)/(About!$B$5+About!$B$6),About!$B$5*M1940+About!$B$6*N1940+About!$B$7*O1940)</f>
        <v/>
      </c>
      <c r="Q1940" s="23" t="n">
        <v>9.242000000000001</v>
      </c>
      <c r="R1940" s="23" t="n">
        <v>-74.7547</v>
      </c>
    </row>
    <row r="1941" ht="15" customHeight="1" s="12">
      <c r="A1941" s="18" t="inlineStr">
        <is>
          <t>Kūhdasht</t>
        </is>
      </c>
      <c r="B1941" s="18" t="inlineStr">
        <is>
          <t>Iran</t>
        </is>
      </c>
      <c r="C1941" s="19" t="n">
        <v>87134000</v>
      </c>
      <c r="D1941" s="18" t="inlineStr">
        <is>
          <t>IR</t>
        </is>
      </c>
      <c r="E1941" s="18" t="inlineStr">
        <is>
          <t>23</t>
        </is>
      </c>
      <c r="F1941" s="20" t="n">
        <v>100208</v>
      </c>
      <c r="G1941" s="18" t="n"/>
      <c r="H1941" s="18" t="n"/>
      <c r="I1941" s="18" t="n"/>
      <c r="J1941" s="18" t="n"/>
      <c r="K1941" s="18" t="n"/>
      <c r="L1941" s="18" t="inlineStr">
        <is>
          <t>100k +  pop</t>
        </is>
      </c>
      <c r="M1941" s="22" t="n">
        <v>0</v>
      </c>
      <c r="N1941" s="22" t="n">
        <v>0</v>
      </c>
      <c r="O1941" s="18" t="n"/>
      <c r="P1941" s="22">
        <f>IF(O1941="",(About!$B$5*M1941+About!$B$6*N1941)/(About!$B$5+About!$B$6),About!$B$5*M1941+About!$B$6*N1941+About!$B$7*O1941)</f>
        <v/>
      </c>
      <c r="Q1941" s="23" t="n">
        <v>33.5333</v>
      </c>
      <c r="R1941" s="23" t="n">
        <v>47.61</v>
      </c>
    </row>
    <row r="1942" ht="15" customHeight="1" s="12">
      <c r="A1942" s="18" t="inlineStr">
        <is>
          <t>Trier</t>
        </is>
      </c>
      <c r="B1942" s="18" t="inlineStr">
        <is>
          <t>Germany</t>
        </is>
      </c>
      <c r="C1942" s="19" t="n">
        <v>83497147</v>
      </c>
      <c r="D1942" s="18" t="inlineStr">
        <is>
          <t>DE</t>
        </is>
      </c>
      <c r="E1942" s="18" t="inlineStr">
        <is>
          <t>08</t>
        </is>
      </c>
      <c r="F1942" s="20" t="n">
        <v>100129</v>
      </c>
      <c r="G1942" s="18" t="n"/>
      <c r="H1942" s="18" t="n"/>
      <c r="I1942" s="18" t="n"/>
      <c r="J1942" s="18" t="n"/>
      <c r="K1942" s="18" t="n"/>
      <c r="L1942" s="18" t="inlineStr">
        <is>
          <t>100k +  pop</t>
        </is>
      </c>
      <c r="M1942" s="22" t="n">
        <v>0</v>
      </c>
      <c r="N1942" s="22" t="n">
        <v>0</v>
      </c>
      <c r="O1942" s="18" t="n"/>
      <c r="P1942" s="22">
        <f>IF(O1942="",(About!$B$5*M1942+About!$B$6*N1942)/(About!$B$5+About!$B$6),About!$B$5*M1942+About!$B$6*N1942+About!$B$7*O1942)</f>
        <v/>
      </c>
      <c r="Q1942" s="23" t="n">
        <v>49.7557</v>
      </c>
      <c r="R1942" s="23" t="n">
        <v>6.6394</v>
      </c>
    </row>
    <row r="1943" ht="15" customHeight="1" s="12">
      <c r="A1943" s="18" t="inlineStr">
        <is>
          <t>Kangding</t>
        </is>
      </c>
      <c r="B1943" s="18" t="inlineStr">
        <is>
          <t>China</t>
        </is>
      </c>
      <c r="C1943" s="19" t="n">
        <v>1404890000</v>
      </c>
      <c r="D1943" s="18" t="inlineStr">
        <is>
          <t>CN</t>
        </is>
      </c>
      <c r="E1943" s="18" t="inlineStr">
        <is>
          <t>32</t>
        </is>
      </c>
      <c r="F1943" s="20" t="n">
        <v>100000</v>
      </c>
      <c r="G1943" s="18" t="n"/>
      <c r="H1943" s="18" t="n"/>
      <c r="I1943" s="18" t="n"/>
      <c r="J1943" s="18" t="n"/>
      <c r="K1943" s="18" t="n"/>
      <c r="L1943" s="18" t="inlineStr">
        <is>
          <t>100k +  pop</t>
        </is>
      </c>
      <c r="M1943" s="22" t="n">
        <v>0</v>
      </c>
      <c r="N1943" s="22" t="n">
        <v>0</v>
      </c>
      <c r="O1943" s="18" t="n"/>
      <c r="P1943" s="22">
        <f>IF(O1943="",(About!$B$5*M1943+About!$B$6*N1943)/(About!$B$5+About!$B$6),About!$B$5*M1943+About!$B$6*N1943+About!$B$7*O1943)</f>
        <v/>
      </c>
      <c r="Q1943" s="23" t="n">
        <v>30.0022</v>
      </c>
      <c r="R1943" s="23" t="n">
        <v>101.9569</v>
      </c>
    </row>
    <row r="1944" ht="15" customHeight="1" s="12">
      <c r="A1944" s="18" t="inlineStr">
        <is>
          <t>M’Sila</t>
        </is>
      </c>
      <c r="B1944" s="18" t="inlineStr">
        <is>
          <t>Algeria</t>
        </is>
      </c>
      <c r="C1944" s="19" t="n">
        <v>47400000</v>
      </c>
      <c r="D1944" s="18" t="inlineStr">
        <is>
          <t>DZ</t>
        </is>
      </c>
      <c r="E1944" s="18" t="inlineStr">
        <is>
          <t>27</t>
        </is>
      </c>
      <c r="F1944" s="20" t="n">
        <v>100000</v>
      </c>
      <c r="G1944" s="18" t="n"/>
      <c r="H1944" s="18" t="n"/>
      <c r="I1944" s="18" t="n"/>
      <c r="J1944" s="18" t="n"/>
      <c r="K1944" s="18" t="n"/>
      <c r="L1944" s="18" t="inlineStr">
        <is>
          <t>100k +  pop</t>
        </is>
      </c>
      <c r="M1944" s="22" t="n">
        <v>0</v>
      </c>
      <c r="N1944" s="22" t="n">
        <v>0</v>
      </c>
      <c r="O1944" s="18" t="n"/>
      <c r="P1944" s="22">
        <f>IF(O1944="",(About!$B$5*M1944+About!$B$6*N1944)/(About!$B$5+About!$B$6),About!$B$5*M1944+About!$B$6*N1944+About!$B$7*O1944)</f>
        <v/>
      </c>
      <c r="Q1944" s="23" t="n">
        <v>35.7058</v>
      </c>
      <c r="R1944" s="23" t="n">
        <v>4.5419</v>
      </c>
    </row>
    <row r="1945" ht="15" customHeight="1" s="12">
      <c r="A1945" s="18" t="inlineStr">
        <is>
          <t>Subotica</t>
        </is>
      </c>
      <c r="B1945" s="18" t="inlineStr">
        <is>
          <t>Serbia</t>
        </is>
      </c>
      <c r="C1945" s="19" t="n">
        <v>6567783</v>
      </c>
      <c r="D1945" s="18" t="inlineStr">
        <is>
          <t>RS</t>
        </is>
      </c>
      <c r="E1945" s="18" t="inlineStr">
        <is>
          <t>VO</t>
        </is>
      </c>
      <c r="F1945" s="20" t="n">
        <v>100000</v>
      </c>
      <c r="G1945" s="18" t="n"/>
      <c r="H1945" s="18" t="n"/>
      <c r="I1945" s="18" t="n"/>
      <c r="J1945" s="18" t="n"/>
      <c r="K1945" s="18" t="n"/>
      <c r="L1945" s="18" t="inlineStr">
        <is>
          <t>100k +  pop</t>
        </is>
      </c>
      <c r="M1945" s="22" t="n">
        <v>0</v>
      </c>
      <c r="N1945" s="22" t="n">
        <v>0</v>
      </c>
      <c r="O1945" s="18" t="n"/>
      <c r="P1945" s="22">
        <f>IF(O1945="",(About!$B$5*M1945+About!$B$6*N1945)/(About!$B$5+About!$B$6),About!$B$5*M1945+About!$B$6*N1945+About!$B$7*O1945)</f>
        <v/>
      </c>
      <c r="Q1945" s="23" t="n">
        <v>46.1</v>
      </c>
      <c r="R1945" s="23" t="n">
        <v>19.6667</v>
      </c>
    </row>
    <row r="1946" ht="15" customHeight="1" s="12">
      <c r="A1946" s="18" t="inlineStr">
        <is>
          <t>Maribor</t>
        </is>
      </c>
      <c r="B1946" s="18" t="inlineStr">
        <is>
          <t>Slovenia</t>
        </is>
      </c>
      <c r="C1946" s="19" t="n">
        <v>2135107</v>
      </c>
      <c r="D1946" s="18" t="inlineStr">
        <is>
          <t>SI</t>
        </is>
      </c>
      <c r="E1946" s="18" t="inlineStr">
        <is>
          <t>J2</t>
        </is>
      </c>
      <c r="F1946" s="20" t="n">
        <v>95171</v>
      </c>
      <c r="G1946" s="18" t="n"/>
      <c r="H1946" s="18" t="inlineStr">
        <is>
          <t>MBX</t>
        </is>
      </c>
      <c r="I1946" s="18" t="inlineStr">
        <is>
          <t>Maribor Edvard Rusjan Airport</t>
        </is>
      </c>
      <c r="J1946" s="21" t="n">
        <v>8.800000000000001</v>
      </c>
      <c r="K1946" s="18" t="inlineStr">
        <is>
          <t>MBX</t>
        </is>
      </c>
      <c r="L1946" s="18" t="inlineStr">
        <is>
          <t>airport</t>
        </is>
      </c>
      <c r="M1946" s="22" t="n">
        <v>0</v>
      </c>
      <c r="N1946" s="22" t="n">
        <v>0</v>
      </c>
      <c r="O1946" s="18" t="n"/>
      <c r="P1946" s="22">
        <f>IF(O1946="",(About!$B$5*M1946+About!$B$6*N1946)/(About!$B$5+About!$B$6),About!$B$5*M1946+About!$B$6*N1946+About!$B$7*O1946)</f>
        <v/>
      </c>
      <c r="Q1946" s="23" t="n">
        <v>46.5547</v>
      </c>
      <c r="R1946" s="23" t="n">
        <v>15.6467</v>
      </c>
    </row>
    <row r="1947" ht="15" customHeight="1" s="12">
      <c r="A1947" s="18" t="inlineStr">
        <is>
          <t>Colón</t>
        </is>
      </c>
      <c r="B1947" s="18" t="inlineStr">
        <is>
          <t>Panama</t>
        </is>
      </c>
      <c r="C1947" s="19" t="n">
        <v>4064780</v>
      </c>
      <c r="D1947" s="18" t="inlineStr">
        <is>
          <t>PA</t>
        </is>
      </c>
      <c r="E1947" s="18" t="inlineStr">
        <is>
          <t>04</t>
        </is>
      </c>
      <c r="F1947" s="20" t="n">
        <v>76643</v>
      </c>
      <c r="G1947" s="18" t="n"/>
      <c r="H1947" s="18" t="inlineStr">
        <is>
          <t>ONX</t>
        </is>
      </c>
      <c r="I1947" s="18" t="inlineStr">
        <is>
          <t>Enrique Adolfo Jimenez Airport</t>
        </is>
      </c>
      <c r="J1947" s="21" t="n">
        <v>3.6</v>
      </c>
      <c r="K1947" s="18" t="inlineStr">
        <is>
          <t>ONX</t>
        </is>
      </c>
      <c r="L1947" s="18" t="inlineStr">
        <is>
          <t>airport</t>
        </is>
      </c>
      <c r="M1947" s="22" t="n">
        <v>0</v>
      </c>
      <c r="N1947" s="22" t="n">
        <v>0</v>
      </c>
      <c r="O1947" s="18" t="n"/>
      <c r="P1947" s="22">
        <f>IF(O1947="",(About!$B$5*M1947+About!$B$6*N1947)/(About!$B$5+About!$B$6),About!$B$5*M1947+About!$B$6*N1947+About!$B$7*O1947)</f>
        <v/>
      </c>
      <c r="Q1947" s="23" t="n">
        <v>9.3545</v>
      </c>
      <c r="R1947" s="23" t="n">
        <v>-79.90009999999999</v>
      </c>
    </row>
    <row r="1948" ht="15" customHeight="1" s="12">
      <c r="A1948" s="18" t="inlineStr">
        <is>
          <t>Mbabane</t>
        </is>
      </c>
      <c r="B1948" s="18" t="inlineStr">
        <is>
          <t>Eswatini</t>
        </is>
      </c>
      <c r="C1948" s="19" t="n">
        <v>1235549</v>
      </c>
      <c r="D1948" s="18" t="inlineStr">
        <is>
          <t>SZ</t>
        </is>
      </c>
      <c r="E1948" s="18" t="inlineStr">
        <is>
          <t>01</t>
        </is>
      </c>
      <c r="F1948" s="20" t="n">
        <v>76218</v>
      </c>
      <c r="G1948" s="18" t="inlineStr">
        <is>
          <t>Yes</t>
        </is>
      </c>
      <c r="H1948" s="18" t="n"/>
      <c r="I1948" s="18" t="n"/>
      <c r="J1948" s="18" t="n"/>
      <c r="K1948" s="18" t="n"/>
      <c r="L1948" s="18" t="inlineStr">
        <is>
          <t>capital</t>
        </is>
      </c>
      <c r="M1948" s="22" t="n">
        <v>0</v>
      </c>
      <c r="N1948" s="22" t="n">
        <v>0</v>
      </c>
      <c r="O1948" s="18" t="n"/>
      <c r="P1948" s="22">
        <f>IF(O1948="",(About!$B$5*M1948+About!$B$6*N1948)/(About!$B$5+About!$B$6),About!$B$5*M1948+About!$B$6*N1948+About!$B$7*O1948)</f>
        <v/>
      </c>
      <c r="Q1948" s="23" t="n">
        <v>-26.3167</v>
      </c>
      <c r="R1948" s="23" t="n">
        <v>31.1333</v>
      </c>
    </row>
    <row r="1949" ht="15" customHeight="1" s="12">
      <c r="A1949" s="18" t="inlineStr">
        <is>
          <t>Karakol</t>
        </is>
      </c>
      <c r="B1949" s="18" t="inlineStr">
        <is>
          <t>Kyrgyzstan</t>
        </is>
      </c>
      <c r="C1949" s="19" t="n">
        <v>7404300</v>
      </c>
      <c r="D1949" s="18" t="inlineStr">
        <is>
          <t>KG</t>
        </is>
      </c>
      <c r="E1949" s="18" t="inlineStr">
        <is>
          <t>07</t>
        </is>
      </c>
      <c r="F1949" s="20" t="n">
        <v>70171</v>
      </c>
      <c r="G1949" s="18" t="n"/>
      <c r="H1949" s="18" t="inlineStr">
        <is>
          <t>IKG</t>
        </is>
      </c>
      <c r="I1949" s="18" t="inlineStr">
        <is>
          <t>Karakol International Airport</t>
        </is>
      </c>
      <c r="J1949" s="21" t="n">
        <v>2.3</v>
      </c>
      <c r="K1949" s="18" t="inlineStr">
        <is>
          <t>IKG</t>
        </is>
      </c>
      <c r="L1949" s="18" t="inlineStr">
        <is>
          <t>airport</t>
        </is>
      </c>
      <c r="M1949" s="22" t="n">
        <v>0</v>
      </c>
      <c r="N1949" s="22" t="n">
        <v>0</v>
      </c>
      <c r="O1949" s="18" t="n"/>
      <c r="P1949" s="22">
        <f>IF(O1949="",(About!$B$5*M1949+About!$B$6*N1949)/(About!$B$5+About!$B$6),About!$B$5*M1949+About!$B$6*N1949+About!$B$7*O1949)</f>
        <v/>
      </c>
      <c r="Q1949" s="23" t="n">
        <v>42.4907</v>
      </c>
      <c r="R1949" s="23" t="n">
        <v>78.39360000000001</v>
      </c>
    </row>
    <row r="1950" ht="15" customHeight="1" s="12">
      <c r="A1950" s="18" t="inlineStr">
        <is>
          <t>Limón</t>
        </is>
      </c>
      <c r="B1950" s="18" t="inlineStr">
        <is>
          <t>Costa Rica</t>
        </is>
      </c>
      <c r="C1950" s="19" t="n">
        <v>5191824</v>
      </c>
      <c r="D1950" s="18" t="inlineStr">
        <is>
          <t>CR</t>
        </is>
      </c>
      <c r="E1950" s="18" t="inlineStr">
        <is>
          <t>06</t>
        </is>
      </c>
      <c r="F1950" s="20" t="n">
        <v>63081</v>
      </c>
      <c r="G1950" s="18" t="n"/>
      <c r="H1950" s="18" t="inlineStr">
        <is>
          <t>LIO</t>
        </is>
      </c>
      <c r="I1950" s="18" t="inlineStr">
        <is>
          <t>Limón International Airport</t>
        </is>
      </c>
      <c r="J1950" s="21" t="n">
        <v>4</v>
      </c>
      <c r="K1950" s="18" t="inlineStr">
        <is>
          <t>LIO</t>
        </is>
      </c>
      <c r="L1950" s="18" t="inlineStr">
        <is>
          <t>airport</t>
        </is>
      </c>
      <c r="M1950" s="22" t="n">
        <v>0</v>
      </c>
      <c r="N1950" s="22" t="n">
        <v>0</v>
      </c>
      <c r="O1950" s="18" t="n"/>
      <c r="P1950" s="22">
        <f>IF(O1950="",(About!$B$5*M1950+About!$B$6*N1950)/(About!$B$5+About!$B$6),About!$B$5*M1950+About!$B$6*N1950+About!$B$7*O1950)</f>
        <v/>
      </c>
      <c r="Q1950" s="23" t="n">
        <v>9.9907</v>
      </c>
      <c r="R1950" s="23" t="n">
        <v>-83.036</v>
      </c>
    </row>
    <row r="1951" ht="15" customHeight="1" s="12">
      <c r="A1951" s="18" t="inlineStr">
        <is>
          <t>Trinidad</t>
        </is>
      </c>
      <c r="B1951" s="18" t="inlineStr">
        <is>
          <t>Cuba</t>
        </is>
      </c>
      <c r="C1951" s="19" t="n">
        <v>9748007</v>
      </c>
      <c r="D1951" s="18" t="inlineStr">
        <is>
          <t>CU</t>
        </is>
      </c>
      <c r="E1951" s="18" t="inlineStr">
        <is>
          <t>14</t>
        </is>
      </c>
      <c r="F1951" s="20" t="n">
        <v>60206</v>
      </c>
      <c r="G1951" s="18" t="n"/>
      <c r="H1951" s="18" t="inlineStr">
        <is>
          <t>TND</t>
        </is>
      </c>
      <c r="I1951" s="18" t="inlineStr">
        <is>
          <t>Alberto Delgado Airport</t>
        </is>
      </c>
      <c r="J1951" s="21" t="n">
        <v>2</v>
      </c>
      <c r="K1951" s="18" t="inlineStr">
        <is>
          <t>TND</t>
        </is>
      </c>
      <c r="L1951" s="18" t="inlineStr">
        <is>
          <t>airport</t>
        </is>
      </c>
      <c r="M1951" s="22" t="n">
        <v>0</v>
      </c>
      <c r="N1951" s="22" t="n">
        <v>0</v>
      </c>
      <c r="O1951" s="18" t="n"/>
      <c r="P1951" s="22">
        <f>IF(O1951="",(About!$B$5*M1951+About!$B$6*N1951)/(About!$B$5+About!$B$6),About!$B$5*M1951+About!$B$6*N1951+About!$B$7*O1951)</f>
        <v/>
      </c>
      <c r="Q1951" s="23" t="n">
        <v>21.8022</v>
      </c>
      <c r="R1951" s="23" t="n">
        <v>-79.9847</v>
      </c>
    </row>
    <row r="1952" ht="15" customHeight="1" s="12">
      <c r="A1952" s="18" t="inlineStr">
        <is>
          <t>Rundu</t>
        </is>
      </c>
      <c r="B1952" s="18" t="inlineStr">
        <is>
          <t>Namibia</t>
        </is>
      </c>
      <c r="C1952" s="19" t="n">
        <v>3022401</v>
      </c>
      <c r="D1952" s="18" t="inlineStr">
        <is>
          <t>NA</t>
        </is>
      </c>
      <c r="E1952" s="18" t="inlineStr">
        <is>
          <t>40</t>
        </is>
      </c>
      <c r="F1952" s="20" t="n">
        <v>58172</v>
      </c>
      <c r="G1952" s="18" t="n"/>
      <c r="H1952" s="18" t="inlineStr">
        <is>
          <t>NDU</t>
        </is>
      </c>
      <c r="I1952" s="18" t="inlineStr">
        <is>
          <t>Rundu Airport</t>
        </is>
      </c>
      <c r="J1952" s="21" t="n">
        <v>5.6</v>
      </c>
      <c r="K1952" s="18" t="inlineStr">
        <is>
          <t>NDU</t>
        </is>
      </c>
      <c r="L1952" s="18" t="inlineStr">
        <is>
          <t>airport</t>
        </is>
      </c>
      <c r="M1952" s="22" t="n">
        <v>0</v>
      </c>
      <c r="N1952" s="22" t="n">
        <v>0</v>
      </c>
      <c r="O1952" s="18" t="n"/>
      <c r="P1952" s="22">
        <f>IF(O1952="",(About!$B$5*M1952+About!$B$6*N1952)/(About!$B$5+About!$B$6),About!$B$5*M1952+About!$B$6*N1952+About!$B$7*O1952)</f>
        <v/>
      </c>
      <c r="Q1952" s="23" t="n">
        <v>-17.9333</v>
      </c>
      <c r="R1952" s="23" t="n">
        <v>19.7667</v>
      </c>
    </row>
    <row r="1953" ht="15" customHeight="1" s="12">
      <c r="A1953" s="18" t="inlineStr">
        <is>
          <t>Baracoa</t>
        </is>
      </c>
      <c r="B1953" s="18" t="inlineStr">
        <is>
          <t>Cuba</t>
        </is>
      </c>
      <c r="C1953" s="19" t="n">
        <v>9748007</v>
      </c>
      <c r="D1953" s="18" t="inlineStr">
        <is>
          <t>CU</t>
        </is>
      </c>
      <c r="E1953" s="18" t="inlineStr">
        <is>
          <t>10</t>
        </is>
      </c>
      <c r="F1953" s="20" t="n">
        <v>48362</v>
      </c>
      <c r="G1953" s="18" t="n"/>
      <c r="H1953" s="18" t="inlineStr">
        <is>
          <t>BCA</t>
        </is>
      </c>
      <c r="I1953" s="18" t="inlineStr">
        <is>
          <t>Gustavo Rizo Airport</t>
        </is>
      </c>
      <c r="J1953" s="21" t="n">
        <v>2.3</v>
      </c>
      <c r="K1953" s="18" t="inlineStr">
        <is>
          <t>BCA</t>
        </is>
      </c>
      <c r="L1953" s="18" t="inlineStr">
        <is>
          <t>airport</t>
        </is>
      </c>
      <c r="M1953" s="22" t="n">
        <v>0</v>
      </c>
      <c r="N1953" s="22" t="n">
        <v>0</v>
      </c>
      <c r="O1953" s="18" t="n"/>
      <c r="P1953" s="22">
        <f>IF(O1953="",(About!$B$5*M1953+About!$B$6*N1953)/(About!$B$5+About!$B$6),About!$B$5*M1953+About!$B$6*N1953+About!$B$7*O1953)</f>
        <v/>
      </c>
      <c r="Q1953" s="23" t="n">
        <v>20.3471</v>
      </c>
      <c r="R1953" s="23" t="n">
        <v>-74.4962</v>
      </c>
    </row>
    <row r="1954" ht="15" customHeight="1" s="12">
      <c r="A1954" s="18" t="inlineStr">
        <is>
          <t>Pärnu</t>
        </is>
      </c>
      <c r="B1954" s="18" t="inlineStr">
        <is>
          <t>Estonia</t>
        </is>
      </c>
      <c r="C1954" s="19" t="n">
        <v>1360745</v>
      </c>
      <c r="D1954" s="18" t="inlineStr">
        <is>
          <t>EE</t>
        </is>
      </c>
      <c r="E1954" s="18" t="inlineStr">
        <is>
          <t>11</t>
        </is>
      </c>
      <c r="F1954" s="20" t="n">
        <v>44192</v>
      </c>
      <c r="G1954" s="18" t="n"/>
      <c r="H1954" s="18" t="inlineStr">
        <is>
          <t>EPU</t>
        </is>
      </c>
      <c r="I1954" s="18" t="inlineStr">
        <is>
          <t>Pärnu Airport</t>
        </is>
      </c>
      <c r="J1954" s="21" t="n">
        <v>3.9</v>
      </c>
      <c r="K1954" s="18" t="inlineStr">
        <is>
          <t>EPU</t>
        </is>
      </c>
      <c r="L1954" s="18" t="inlineStr">
        <is>
          <t>airport</t>
        </is>
      </c>
      <c r="M1954" s="22" t="n">
        <v>0</v>
      </c>
      <c r="N1954" s="22" t="n">
        <v>0</v>
      </c>
      <c r="O1954" s="18" t="n"/>
      <c r="P1954" s="22">
        <f>IF(O1954="",(About!$B$5*M1954+About!$B$6*N1954)/(About!$B$5+About!$B$6),About!$B$5*M1954+About!$B$6*N1954+About!$B$7*O1954)</f>
        <v/>
      </c>
      <c r="Q1954" s="23" t="n">
        <v>58.3859</v>
      </c>
      <c r="R1954" s="23" t="n">
        <v>24.4971</v>
      </c>
    </row>
    <row r="1955" ht="15" customHeight="1" s="12">
      <c r="A1955" s="18" t="inlineStr">
        <is>
          <t>Gitega</t>
        </is>
      </c>
      <c r="B1955" s="18" t="inlineStr">
        <is>
          <t>Burundi</t>
        </is>
      </c>
      <c r="C1955" s="19" t="n">
        <v>12332788</v>
      </c>
      <c r="D1955" s="18" t="inlineStr">
        <is>
          <t>BI</t>
        </is>
      </c>
      <c r="E1955" s="18" t="inlineStr">
        <is>
          <t>13</t>
        </is>
      </c>
      <c r="F1955" s="20" t="n">
        <v>41000</v>
      </c>
      <c r="G1955" s="18" t="inlineStr">
        <is>
          <t>Yes</t>
        </is>
      </c>
      <c r="H1955" s="18" t="inlineStr">
        <is>
          <t>GID</t>
        </is>
      </c>
      <c r="I1955" s="18" t="inlineStr">
        <is>
          <t>Gitega Airport</t>
        </is>
      </c>
      <c r="J1955" s="21" t="n">
        <v>1.8</v>
      </c>
      <c r="K1955" s="18" t="inlineStr">
        <is>
          <t>GID</t>
        </is>
      </c>
      <c r="L1955" s="18" t="inlineStr">
        <is>
          <t>capital + airport</t>
        </is>
      </c>
      <c r="M1955" s="22" t="n">
        <v>0</v>
      </c>
      <c r="N1955" s="22" t="n">
        <v>0</v>
      </c>
      <c r="O1955" s="18" t="n"/>
      <c r="P1955" s="22">
        <f>IF(O1955="",(About!$B$5*M1955+About!$B$6*N1955)/(About!$B$5+About!$B$6),About!$B$5*M1955+About!$B$6*N1955+About!$B$7*O1955)</f>
        <v/>
      </c>
      <c r="Q1955" s="23" t="n">
        <v>-3.4271</v>
      </c>
      <c r="R1955" s="23" t="n">
        <v>29.9246</v>
      </c>
    </row>
    <row r="1956" ht="15" customHeight="1" s="12">
      <c r="A1956" s="18" t="inlineStr">
        <is>
          <t>Portimão</t>
        </is>
      </c>
      <c r="B1956" s="18" t="inlineStr">
        <is>
          <t>Portugal</t>
        </is>
      </c>
      <c r="C1956" s="19" t="n">
        <v>10749635</v>
      </c>
      <c r="D1956" s="18" t="inlineStr">
        <is>
          <t>PT</t>
        </is>
      </c>
      <c r="E1956" s="18" t="inlineStr">
        <is>
          <t>09</t>
        </is>
      </c>
      <c r="F1956" s="20" t="n">
        <v>38487</v>
      </c>
      <c r="G1956" s="18" t="n"/>
      <c r="H1956" s="18" t="inlineStr">
        <is>
          <t>PRM</t>
        </is>
      </c>
      <c r="I1956" s="18" t="inlineStr">
        <is>
          <t>Portimão Airport</t>
        </is>
      </c>
      <c r="J1956" s="21" t="n">
        <v>4.3</v>
      </c>
      <c r="K1956" s="18" t="inlineStr">
        <is>
          <t>PRM</t>
        </is>
      </c>
      <c r="L1956" s="18" t="inlineStr">
        <is>
          <t>airport</t>
        </is>
      </c>
      <c r="M1956" s="22" t="n">
        <v>0</v>
      </c>
      <c r="N1956" s="22" t="n">
        <v>0</v>
      </c>
      <c r="O1956" s="18" t="n"/>
      <c r="P1956" s="22">
        <f>IF(O1956="",(About!$B$5*M1956+About!$B$6*N1956)/(About!$B$5+About!$B$6),About!$B$5*M1956+About!$B$6*N1956+About!$B$7*O1956)</f>
        <v/>
      </c>
      <c r="Q1956" s="23" t="n">
        <v>37.1386</v>
      </c>
      <c r="R1956" s="23" t="n">
        <v>-8.537800000000001</v>
      </c>
    </row>
    <row r="1957" ht="15" customHeight="1" s="12">
      <c r="A1957" s="18" t="inlineStr">
        <is>
          <t>Bentota</t>
        </is>
      </c>
      <c r="B1957" s="18" t="inlineStr">
        <is>
          <t>Sri Lanka</t>
        </is>
      </c>
      <c r="C1957" s="19" t="n">
        <v>21781800</v>
      </c>
      <c r="D1957" s="18" t="inlineStr">
        <is>
          <t>LK</t>
        </is>
      </c>
      <c r="E1957" s="18" t="inlineStr">
        <is>
          <t>34</t>
        </is>
      </c>
      <c r="F1957" s="20" t="n">
        <v>37000</v>
      </c>
      <c r="G1957" s="18" t="n"/>
      <c r="H1957" s="18" t="inlineStr">
        <is>
          <t>BJT</t>
        </is>
      </c>
      <c r="I1957" s="18" t="inlineStr">
        <is>
          <t>Bentota River Waterdrome</t>
        </is>
      </c>
      <c r="J1957" s="21" t="n">
        <v>0.6</v>
      </c>
      <c r="K1957" s="18" t="inlineStr">
        <is>
          <t>BJT</t>
        </is>
      </c>
      <c r="L1957" s="18" t="inlineStr">
        <is>
          <t>airport</t>
        </is>
      </c>
      <c r="M1957" s="22" t="n">
        <v>0</v>
      </c>
      <c r="N1957" s="22" t="n">
        <v>0</v>
      </c>
      <c r="O1957" s="18" t="n"/>
      <c r="P1957" s="22">
        <f>IF(O1957="",(About!$B$5*M1957+About!$B$6*N1957)/(About!$B$5+About!$B$6),About!$B$5*M1957+About!$B$6*N1957+About!$B$7*O1957)</f>
        <v/>
      </c>
      <c r="Q1957" s="23" t="n">
        <v>6.426</v>
      </c>
      <c r="R1957" s="23" t="n">
        <v>79.9958</v>
      </c>
    </row>
    <row r="1958" ht="15" customHeight="1" s="12">
      <c r="A1958" s="18" t="inlineStr">
        <is>
          <t>Khovd</t>
        </is>
      </c>
      <c r="B1958" s="18" t="inlineStr">
        <is>
          <t>Mongolia</t>
        </is>
      </c>
      <c r="C1958" s="19" t="n">
        <v>3544835</v>
      </c>
      <c r="D1958" s="18" t="inlineStr">
        <is>
          <t>MN</t>
        </is>
      </c>
      <c r="E1958" s="18" t="inlineStr">
        <is>
          <t>12</t>
        </is>
      </c>
      <c r="F1958" s="20" t="n">
        <v>30500</v>
      </c>
      <c r="G1958" s="18" t="n"/>
      <c r="H1958" s="18" t="inlineStr">
        <is>
          <t>HVD</t>
        </is>
      </c>
      <c r="I1958" s="18" t="inlineStr">
        <is>
          <t>Khovd Airport</t>
        </is>
      </c>
      <c r="J1958" s="21" t="n">
        <v>5.8</v>
      </c>
      <c r="K1958" s="18" t="inlineStr">
        <is>
          <t>HVD</t>
        </is>
      </c>
      <c r="L1958" s="18" t="inlineStr">
        <is>
          <t>airport</t>
        </is>
      </c>
      <c r="M1958" s="22" t="n">
        <v>0</v>
      </c>
      <c r="N1958" s="22" t="n">
        <v>0</v>
      </c>
      <c r="O1958" s="18" t="n"/>
      <c r="P1958" s="22">
        <f>IF(O1958="",(About!$B$5*M1958+About!$B$6*N1958)/(About!$B$5+About!$B$6),About!$B$5*M1958+About!$B$6*N1958+About!$B$7*O1958)</f>
        <v/>
      </c>
      <c r="Q1958" s="23" t="n">
        <v>48.0056</v>
      </c>
      <c r="R1958" s="23" t="n">
        <v>91.64190000000001</v>
      </c>
    </row>
    <row r="1959" ht="15" customHeight="1" s="12">
      <c r="A1959" s="18" t="inlineStr">
        <is>
          <t>Ölgii</t>
        </is>
      </c>
      <c r="B1959" s="18" t="inlineStr">
        <is>
          <t>Mongolia</t>
        </is>
      </c>
      <c r="C1959" s="19" t="n">
        <v>3544835</v>
      </c>
      <c r="D1959" s="18" t="inlineStr">
        <is>
          <t>MN</t>
        </is>
      </c>
      <c r="E1959" s="18" t="inlineStr">
        <is>
          <t>03</t>
        </is>
      </c>
      <c r="F1959" s="20" t="n">
        <v>28400</v>
      </c>
      <c r="G1959" s="18" t="n"/>
      <c r="H1959" s="18" t="inlineStr">
        <is>
          <t>ULG</t>
        </is>
      </c>
      <c r="I1959" s="18" t="inlineStr">
        <is>
          <t>Ölgii Mongolei International Airport</t>
        </is>
      </c>
      <c r="J1959" s="21" t="n">
        <v>4</v>
      </c>
      <c r="K1959" s="18" t="inlineStr">
        <is>
          <t>ULG</t>
        </is>
      </c>
      <c r="L1959" s="18" t="inlineStr">
        <is>
          <t>airport</t>
        </is>
      </c>
      <c r="M1959" s="22" t="n">
        <v>0</v>
      </c>
      <c r="N1959" s="22" t="n">
        <v>0</v>
      </c>
      <c r="O1959" s="18" t="n"/>
      <c r="P1959" s="22">
        <f>IF(O1959="",(About!$B$5*M1959+About!$B$6*N1959)/(About!$B$5+About!$B$6),About!$B$5*M1959+About!$B$6*N1959+About!$B$7*O1959)</f>
        <v/>
      </c>
      <c r="Q1959" s="23" t="n">
        <v>48.9683</v>
      </c>
      <c r="R1959" s="23" t="n">
        <v>89.96250000000001</v>
      </c>
    </row>
    <row r="1960" ht="15" customHeight="1" s="12">
      <c r="A1960" s="18" t="inlineStr">
        <is>
          <t>Savonlinna</t>
        </is>
      </c>
      <c r="B1960" s="18" t="inlineStr">
        <is>
          <t>Finland</t>
        </is>
      </c>
      <c r="C1960" s="19" t="n">
        <v>5650152</v>
      </c>
      <c r="D1960" s="18" t="inlineStr">
        <is>
          <t>FI</t>
        </is>
      </c>
      <c r="E1960" s="18" t="inlineStr">
        <is>
          <t>10</t>
        </is>
      </c>
      <c r="F1960" s="20" t="n">
        <v>27353</v>
      </c>
      <c r="G1960" s="18" t="n"/>
      <c r="H1960" s="18" t="inlineStr">
        <is>
          <t>SVL</t>
        </is>
      </c>
      <c r="I1960" s="18" t="inlineStr">
        <is>
          <t>Savonlinna Airport</t>
        </is>
      </c>
      <c r="J1960" s="21" t="n">
        <v>8.800000000000001</v>
      </c>
      <c r="K1960" s="18" t="inlineStr">
        <is>
          <t>SVL</t>
        </is>
      </c>
      <c r="L1960" s="18" t="inlineStr">
        <is>
          <t>airport</t>
        </is>
      </c>
      <c r="M1960" s="22" t="n">
        <v>0</v>
      </c>
      <c r="N1960" s="22" t="n">
        <v>0</v>
      </c>
      <c r="O1960" s="18" t="n"/>
      <c r="P1960" s="22">
        <f>IF(O1960="",(About!$B$5*M1960+About!$B$6*N1960)/(About!$B$5+About!$B$6),About!$B$5*M1960+About!$B$6*N1960+About!$B$7*O1960)</f>
        <v/>
      </c>
      <c r="Q1960" s="23" t="n">
        <v>61.8699</v>
      </c>
      <c r="R1960" s="23" t="n">
        <v>28.88</v>
      </c>
    </row>
    <row r="1961" ht="15" customHeight="1" s="12">
      <c r="A1961" s="18" t="inlineStr">
        <is>
          <t>Pucón</t>
        </is>
      </c>
      <c r="B1961" s="18" t="inlineStr">
        <is>
          <t>Chile</t>
        </is>
      </c>
      <c r="C1961" s="19" t="n">
        <v>20206953</v>
      </c>
      <c r="D1961" s="18" t="inlineStr">
        <is>
          <t>CL</t>
        </is>
      </c>
      <c r="E1961" s="18" t="inlineStr">
        <is>
          <t>04</t>
        </is>
      </c>
      <c r="F1961" s="20" t="n">
        <v>26953</v>
      </c>
      <c r="G1961" s="18" t="n"/>
      <c r="H1961" s="18" t="inlineStr">
        <is>
          <t>ZPC</t>
        </is>
      </c>
      <c r="I1961" s="18" t="inlineStr">
        <is>
          <t>Pucón Airport</t>
        </is>
      </c>
      <c r="J1961" s="21" t="n">
        <v>3.5</v>
      </c>
      <c r="K1961" s="18" t="inlineStr">
        <is>
          <t>ZPC</t>
        </is>
      </c>
      <c r="L1961" s="18" t="inlineStr">
        <is>
          <t>airport</t>
        </is>
      </c>
      <c r="M1961" s="22" t="n">
        <v>0</v>
      </c>
      <c r="N1961" s="22" t="n">
        <v>0</v>
      </c>
      <c r="O1961" s="18" t="n"/>
      <c r="P1961" s="22">
        <f>IF(O1961="",(About!$B$5*M1961+About!$B$6*N1961)/(About!$B$5+About!$B$6),About!$B$5*M1961+About!$B$6*N1961+About!$B$7*O1961)</f>
        <v/>
      </c>
      <c r="Q1961" s="23" t="n">
        <v>-39.2822</v>
      </c>
      <c r="R1961" s="23" t="n">
        <v>-71.9543</v>
      </c>
    </row>
    <row r="1962" ht="15" customHeight="1" s="12">
      <c r="A1962" s="18" t="inlineStr">
        <is>
          <t>Kariba</t>
        </is>
      </c>
      <c r="B1962" s="18" t="inlineStr">
        <is>
          <t>Zimbabwe</t>
        </is>
      </c>
      <c r="C1962" s="19" t="n">
        <v>17073087</v>
      </c>
      <c r="D1962" s="18" t="inlineStr">
        <is>
          <t>ZW</t>
        </is>
      </c>
      <c r="E1962" s="18" t="inlineStr">
        <is>
          <t>05</t>
        </is>
      </c>
      <c r="F1962" s="20" t="n">
        <v>25531</v>
      </c>
      <c r="G1962" s="18" t="n"/>
      <c r="H1962" s="18" t="inlineStr">
        <is>
          <t>KAB</t>
        </is>
      </c>
      <c r="I1962" s="18" t="inlineStr">
        <is>
          <t>Kariba Airport</t>
        </is>
      </c>
      <c r="J1962" s="21" t="n">
        <v>9.1</v>
      </c>
      <c r="K1962" s="18" t="inlineStr">
        <is>
          <t>KAB</t>
        </is>
      </c>
      <c r="L1962" s="18" t="inlineStr">
        <is>
          <t>airport</t>
        </is>
      </c>
      <c r="M1962" s="22" t="n">
        <v>0</v>
      </c>
      <c r="N1962" s="22" t="n">
        <v>0</v>
      </c>
      <c r="O1962" s="18" t="n"/>
      <c r="P1962" s="22">
        <f>IF(O1962="",(About!$B$5*M1962+About!$B$6*N1962)/(About!$B$5+About!$B$6),About!$B$5*M1962+About!$B$6*N1962+About!$B$7*O1962)</f>
        <v/>
      </c>
      <c r="Q1962" s="23" t="n">
        <v>-16.5167</v>
      </c>
      <c r="R1962" s="23" t="n">
        <v>28.8</v>
      </c>
    </row>
    <row r="1963" ht="15" customHeight="1" s="12">
      <c r="A1963" s="18" t="inlineStr">
        <is>
          <t>Saint-Laurent-du-Maroni</t>
        </is>
      </c>
      <c r="B1963" s="18" t="inlineStr">
        <is>
          <t>French Guiana</t>
        </is>
      </c>
      <c r="C1963" s="19" t="n">
        <v>292000</v>
      </c>
      <c r="D1963" s="18" t="inlineStr">
        <is>
          <t>GF</t>
        </is>
      </c>
      <c r="E1963" s="18" t="inlineStr">
        <is>
          <t>GF</t>
        </is>
      </c>
      <c r="F1963" s="20" t="n">
        <v>24287</v>
      </c>
      <c r="G1963" s="18" t="n"/>
      <c r="H1963" s="18" t="inlineStr">
        <is>
          <t>LDX</t>
        </is>
      </c>
      <c r="I1963" s="18" t="inlineStr">
        <is>
          <t>Saint-Laurent-du-Maroni Airport</t>
        </is>
      </c>
      <c r="J1963" s="21" t="n">
        <v>2.3</v>
      </c>
      <c r="K1963" s="18" t="inlineStr">
        <is>
          <t>LDX</t>
        </is>
      </c>
      <c r="L1963" s="18" t="inlineStr">
        <is>
          <t>airport</t>
        </is>
      </c>
      <c r="M1963" s="22" t="n">
        <v>0</v>
      </c>
      <c r="N1963" s="22" t="n">
        <v>0</v>
      </c>
      <c r="O1963" s="18" t="n"/>
      <c r="P1963" s="22">
        <f>IF(O1963="",(About!$B$5*M1963+About!$B$6*N1963)/(About!$B$5+About!$B$6),About!$B$5*M1963+About!$B$6*N1963+About!$B$7*O1963)</f>
        <v/>
      </c>
      <c r="Q1963" s="23" t="n">
        <v>5.5015</v>
      </c>
      <c r="R1963" s="23" t="n">
        <v>-54.0292</v>
      </c>
    </row>
    <row r="1964" ht="15" customHeight="1" s="12">
      <c r="A1964" s="18" t="inlineStr">
        <is>
          <t>Suai</t>
        </is>
      </c>
      <c r="B1964" s="18" t="inlineStr">
        <is>
          <t>Timor-Leste</t>
        </is>
      </c>
      <c r="C1964" s="19" t="n">
        <v>1391221</v>
      </c>
      <c r="D1964" s="18" t="inlineStr">
        <is>
          <t>TL</t>
        </is>
      </c>
      <c r="E1964" s="18" t="inlineStr">
        <is>
          <t>CO</t>
        </is>
      </c>
      <c r="F1964" s="20" t="n">
        <v>21539</v>
      </c>
      <c r="G1964" s="18" t="n"/>
      <c r="H1964" s="18" t="inlineStr">
        <is>
          <t>UAI</t>
        </is>
      </c>
      <c r="I1964" s="18" t="inlineStr">
        <is>
          <t>Commander in Chief of FALINTIL, Kay Rala Xanana Gusmão, International Airport</t>
        </is>
      </c>
      <c r="J1964" s="21" t="n">
        <v>3.5</v>
      </c>
      <c r="K1964" s="18" t="inlineStr">
        <is>
          <t>UAI</t>
        </is>
      </c>
      <c r="L1964" s="18" t="inlineStr">
        <is>
          <t>airport</t>
        </is>
      </c>
      <c r="M1964" s="22" t="n">
        <v>0</v>
      </c>
      <c r="N1964" s="22" t="n">
        <v>0</v>
      </c>
      <c r="O1964" s="18" t="n"/>
      <c r="P1964" s="22">
        <f>IF(O1964="",(About!$B$5*M1964+About!$B$6*N1964)/(About!$B$5+About!$B$6),About!$B$5*M1964+About!$B$6*N1964+About!$B$7*O1964)</f>
        <v/>
      </c>
      <c r="Q1964" s="23" t="n">
        <v>-9.312900000000001</v>
      </c>
      <c r="R1964" s="23" t="n">
        <v>125.2565</v>
      </c>
    </row>
    <row r="1965" ht="15" customHeight="1" s="12">
      <c r="A1965" s="18" t="inlineStr">
        <is>
          <t>Andorra la Vella</t>
        </is>
      </c>
      <c r="B1965" s="18" t="inlineStr">
        <is>
          <t>Andorra</t>
        </is>
      </c>
      <c r="C1965" s="19" t="n">
        <v>89484</v>
      </c>
      <c r="D1965" s="18" t="inlineStr">
        <is>
          <t>AD</t>
        </is>
      </c>
      <c r="E1965" s="18" t="inlineStr">
        <is>
          <t>07</t>
        </is>
      </c>
      <c r="F1965" s="20" t="n">
        <v>20430</v>
      </c>
      <c r="G1965" s="18" t="inlineStr">
        <is>
          <t>Yes</t>
        </is>
      </c>
      <c r="H1965" s="18" t="inlineStr">
        <is>
          <t>LEU</t>
        </is>
      </c>
      <c r="I1965" s="18" t="inlineStr">
        <is>
          <t>Pirineus - la Seu d'Urgel Airport</t>
        </is>
      </c>
      <c r="J1965" s="21" t="n">
        <v>20.9</v>
      </c>
      <c r="K1965" s="18" t="inlineStr">
        <is>
          <t>LEU</t>
        </is>
      </c>
      <c r="L1965" s="18" t="inlineStr">
        <is>
          <t>capital</t>
        </is>
      </c>
      <c r="M1965" s="22" t="n">
        <v>0</v>
      </c>
      <c r="N1965" s="22" t="n">
        <v>0</v>
      </c>
      <c r="O1965" s="18" t="n"/>
      <c r="P1965" s="22">
        <f>IF(O1965="",(About!$B$5*M1965+About!$B$6*N1965)/(About!$B$5+About!$B$6),About!$B$5*M1965+About!$B$6*N1965+About!$B$7*O1965)</f>
        <v/>
      </c>
      <c r="Q1965" s="23" t="n">
        <v>42.5078</v>
      </c>
      <c r="R1965" s="23" t="n">
        <v>1.5211</v>
      </c>
    </row>
    <row r="1966" ht="15" customHeight="1" s="12">
      <c r="A1966" s="18" t="inlineStr">
        <is>
          <t>Roseau</t>
        </is>
      </c>
      <c r="B1966" s="18" t="inlineStr">
        <is>
          <t>Dominica</t>
        </is>
      </c>
      <c r="C1966" s="19" t="n">
        <v>71946</v>
      </c>
      <c r="D1966" s="18" t="inlineStr">
        <is>
          <t>DM</t>
        </is>
      </c>
      <c r="E1966" s="18" t="inlineStr">
        <is>
          <t>04</t>
        </is>
      </c>
      <c r="F1966" s="20" t="n">
        <v>16571</v>
      </c>
      <c r="G1966" s="18" t="inlineStr">
        <is>
          <t>Yes</t>
        </is>
      </c>
      <c r="H1966" s="18" t="inlineStr">
        <is>
          <t>DCF</t>
        </is>
      </c>
      <c r="I1966" s="18" t="inlineStr">
        <is>
          <t>Canefield Airport</t>
        </is>
      </c>
      <c r="J1966" s="21" t="n">
        <v>3.9</v>
      </c>
      <c r="K1966" s="18" t="inlineStr">
        <is>
          <t>DCF</t>
        </is>
      </c>
      <c r="L1966" s="18" t="inlineStr">
        <is>
          <t>capital</t>
        </is>
      </c>
      <c r="M1966" s="22" t="n">
        <v>0</v>
      </c>
      <c r="N1966" s="22" t="n">
        <v>0</v>
      </c>
      <c r="O1966" s="18" t="n"/>
      <c r="P1966" s="22">
        <f>IF(O1966="",(About!$B$5*M1966+About!$B$6*N1966)/(About!$B$5+About!$B$6),About!$B$5*M1966+About!$B$6*N1966+About!$B$7*O1966)</f>
        <v/>
      </c>
      <c r="Q1966" s="23" t="n">
        <v>15.3017</v>
      </c>
      <c r="R1966" s="23" t="n">
        <v>-61.3881</v>
      </c>
    </row>
    <row r="1967" ht="15" customHeight="1" s="12">
      <c r="A1967" s="18" t="inlineStr">
        <is>
          <t>Belmopan</t>
        </is>
      </c>
      <c r="B1967" s="18" t="inlineStr">
        <is>
          <t>Belize</t>
        </is>
      </c>
      <c r="C1967" s="19" t="n">
        <v>417634</v>
      </c>
      <c r="D1967" s="18" t="inlineStr">
        <is>
          <t>BZ</t>
        </is>
      </c>
      <c r="E1967" s="18" t="inlineStr">
        <is>
          <t>02</t>
        </is>
      </c>
      <c r="F1967" s="20" t="n">
        <v>13381</v>
      </c>
      <c r="G1967" s="18" t="inlineStr">
        <is>
          <t>Yes</t>
        </is>
      </c>
      <c r="H1967" s="18" t="n"/>
      <c r="I1967" s="18" t="n"/>
      <c r="J1967" s="18" t="n"/>
      <c r="K1967" s="18" t="n"/>
      <c r="L1967" s="18" t="inlineStr">
        <is>
          <t>capital</t>
        </is>
      </c>
      <c r="M1967" s="22" t="n">
        <v>0</v>
      </c>
      <c r="N1967" s="22" t="n">
        <v>0</v>
      </c>
      <c r="O1967" s="18" t="n"/>
      <c r="P1967" s="22">
        <f>IF(O1967="",(About!$B$5*M1967+About!$B$6*N1967)/(About!$B$5+About!$B$6),About!$B$5*M1967+About!$B$6*N1967+About!$B$7*O1967)</f>
        <v/>
      </c>
      <c r="Q1967" s="23" t="n">
        <v>17.25</v>
      </c>
      <c r="R1967" s="23" t="n">
        <v>-88.7667</v>
      </c>
    </row>
    <row r="1968" ht="15" customHeight="1" s="12">
      <c r="A1968" s="18" t="inlineStr">
        <is>
          <t>Tórshavn</t>
        </is>
      </c>
      <c r="B1968" s="18" t="inlineStr">
        <is>
          <t>Faroe Islands</t>
        </is>
      </c>
      <c r="C1968" s="19" t="n">
        <v>55279</v>
      </c>
      <c r="D1968" s="18" t="inlineStr">
        <is>
          <t>FO</t>
        </is>
      </c>
      <c r="E1968" s="18" t="inlineStr">
        <is>
          <t>ST</t>
        </is>
      </c>
      <c r="F1968" s="20" t="n">
        <v>13200</v>
      </c>
      <c r="G1968" s="18" t="inlineStr">
        <is>
          <t>Yes</t>
        </is>
      </c>
      <c r="H1968" s="18" t="n"/>
      <c r="I1968" s="18" t="n"/>
      <c r="J1968" s="18" t="n"/>
      <c r="K1968" s="18" t="n"/>
      <c r="L1968" s="18" t="inlineStr">
        <is>
          <t>capital</t>
        </is>
      </c>
      <c r="M1968" s="22" t="n">
        <v>0</v>
      </c>
      <c r="N1968" s="22" t="n">
        <v>0</v>
      </c>
      <c r="O1968" s="18" t="n"/>
      <c r="P1968" s="22">
        <f>IF(O1968="",(About!$B$5*M1968+About!$B$6*N1968)/(About!$B$5+About!$B$6),About!$B$5*M1968+About!$B$6*N1968+About!$B$7*O1968)</f>
        <v/>
      </c>
      <c r="Q1968" s="23" t="n">
        <v>62.0097</v>
      </c>
      <c r="R1968" s="23" t="n">
        <v>-6.7716</v>
      </c>
    </row>
    <row r="1969" ht="15" customHeight="1" s="12">
      <c r="A1969" s="18" t="inlineStr">
        <is>
          <t>Vaduz</t>
        </is>
      </c>
      <c r="B1969" s="18" t="inlineStr">
        <is>
          <t>Liechtenstein</t>
        </is>
      </c>
      <c r="C1969" s="19" t="n">
        <v>41237</v>
      </c>
      <c r="D1969" s="18" t="inlineStr">
        <is>
          <t>LI</t>
        </is>
      </c>
      <c r="E1969" s="18" t="inlineStr">
        <is>
          <t>11</t>
        </is>
      </c>
      <c r="F1969" s="20" t="n">
        <v>5197</v>
      </c>
      <c r="G1969" s="18" t="inlineStr">
        <is>
          <t>Yes</t>
        </is>
      </c>
      <c r="H1969" s="18" t="n"/>
      <c r="I1969" s="18" t="n"/>
      <c r="J1969" s="18" t="n"/>
      <c r="K1969" s="18" t="n"/>
      <c r="L1969" s="18" t="inlineStr">
        <is>
          <t>capital</t>
        </is>
      </c>
      <c r="M1969" s="22" t="n">
        <v>0</v>
      </c>
      <c r="N1969" s="22" t="n">
        <v>0</v>
      </c>
      <c r="O1969" s="18" t="n"/>
      <c r="P1969" s="22">
        <f>IF(O1969="",(About!$B$5*M1969+About!$B$6*N1969)/(About!$B$5+About!$B$6),About!$B$5*M1969+About!$B$6*N1969+About!$B$7*O1969)</f>
        <v/>
      </c>
      <c r="Q1969" s="23" t="n">
        <v>47.1415</v>
      </c>
      <c r="R1969" s="23" t="n">
        <v>9.5215</v>
      </c>
    </row>
    <row r="1970" ht="15" customHeight="1" s="12">
      <c r="A1970" s="18" t="inlineStr">
        <is>
          <t>Lobamba</t>
        </is>
      </c>
      <c r="B1970" s="18" t="inlineStr">
        <is>
          <t>Eswatini</t>
        </is>
      </c>
      <c r="C1970" s="19" t="n">
        <v>1235549</v>
      </c>
      <c r="D1970" s="18" t="inlineStr">
        <is>
          <t>SZ</t>
        </is>
      </c>
      <c r="E1970" s="18" t="inlineStr">
        <is>
          <t>01</t>
        </is>
      </c>
      <c r="F1970" s="20" t="n">
        <v>4557</v>
      </c>
      <c r="G1970" s="18" t="inlineStr">
        <is>
          <t>Yes</t>
        </is>
      </c>
      <c r="H1970" s="18" t="n"/>
      <c r="I1970" s="18" t="n"/>
      <c r="J1970" s="18" t="n"/>
      <c r="K1970" s="18" t="n"/>
      <c r="L1970" s="18" t="inlineStr">
        <is>
          <t>capital</t>
        </is>
      </c>
      <c r="M1970" s="22" t="n">
        <v>0</v>
      </c>
      <c r="N1970" s="22" t="n">
        <v>0</v>
      </c>
      <c r="O1970" s="18" t="n"/>
      <c r="P1970" s="22">
        <f>IF(O1970="",(About!$B$5*M1970+About!$B$6*N1970)/(About!$B$5+About!$B$6),About!$B$5*M1970+About!$B$6*N1970+About!$B$7*O1970)</f>
        <v/>
      </c>
      <c r="Q1970" s="23" t="n">
        <v>-26.4667</v>
      </c>
      <c r="R1970" s="23" t="n">
        <v>31.2</v>
      </c>
    </row>
    <row r="1971" ht="15" customHeight="1" s="12">
      <c r="A1971" s="18" t="inlineStr">
        <is>
          <t>Stanley</t>
        </is>
      </c>
      <c r="B1971" s="18" t="inlineStr">
        <is>
          <t>Falkland Islands (Malvinas)</t>
        </is>
      </c>
      <c r="C1971" s="19" t="n">
        <v>3662</v>
      </c>
      <c r="D1971" s="18" t="inlineStr">
        <is>
          <t>FK</t>
        </is>
      </c>
      <c r="E1971" s="18" t="inlineStr">
        <is>
          <t>00</t>
        </is>
      </c>
      <c r="F1971" s="20" t="n">
        <v>2213</v>
      </c>
      <c r="G1971" s="18" t="inlineStr">
        <is>
          <t>Yes</t>
        </is>
      </c>
      <c r="H1971" s="18" t="inlineStr">
        <is>
          <t>PSY</t>
        </is>
      </c>
      <c r="I1971" s="18" t="inlineStr">
        <is>
          <t>Port Stanley Airport</t>
        </is>
      </c>
      <c r="J1971" s="21" t="n">
        <v>5.5</v>
      </c>
      <c r="K1971" s="18" t="inlineStr">
        <is>
          <t>PSY</t>
        </is>
      </c>
      <c r="L1971" s="18" t="inlineStr">
        <is>
          <t>capital</t>
        </is>
      </c>
      <c r="M1971" s="22" t="n">
        <v>0</v>
      </c>
      <c r="N1971" s="22" t="n">
        <v>0</v>
      </c>
      <c r="O1971" s="18" t="n"/>
      <c r="P1971" s="22">
        <f>IF(O1971="",(About!$B$5*M1971+About!$B$6*N1971)/(About!$B$5+About!$B$6),About!$B$5*M1971+About!$B$6*N1971+About!$B$7*O1971)</f>
        <v/>
      </c>
      <c r="Q1971" s="23" t="n">
        <v>-51.6938</v>
      </c>
      <c r="R1971" s="23" t="n">
        <v>-57.857</v>
      </c>
    </row>
    <row r="1972" ht="15" customHeight="1" s="12">
      <c r="A1972" s="18" t="inlineStr">
        <is>
          <t>Adamstown</t>
        </is>
      </c>
      <c r="B1972" s="18" t="inlineStr">
        <is>
          <t>Pitcairn</t>
        </is>
      </c>
      <c r="C1972" s="19" t="n">
        <v>35</v>
      </c>
      <c r="D1972" s="18" t="inlineStr">
        <is>
          <t>PN</t>
        </is>
      </c>
      <c r="E1972" s="18" t="n"/>
      <c r="F1972" s="20" t="n">
        <v>46</v>
      </c>
      <c r="G1972" s="18" t="inlineStr">
        <is>
          <t>Yes</t>
        </is>
      </c>
      <c r="H1972" s="18" t="n"/>
      <c r="I1972" s="18" t="n"/>
      <c r="J1972" s="18" t="n"/>
      <c r="K1972" s="18" t="n"/>
      <c r="L1972" s="18" t="inlineStr">
        <is>
          <t>capital</t>
        </is>
      </c>
      <c r="M1972" s="22" t="n">
        <v>0</v>
      </c>
      <c r="N1972" s="22" t="n">
        <v>0</v>
      </c>
      <c r="O1972" s="18" t="n"/>
      <c r="P1972" s="22">
        <f>IF(O1972="",(About!$B$5*M1972+About!$B$6*N1972)/(About!$B$5+About!$B$6),About!$B$5*M1972+About!$B$6*N1972+About!$B$7*O1972)</f>
        <v/>
      </c>
      <c r="Q1972" s="23" t="n">
        <v>-25.066</v>
      </c>
      <c r="R1972" s="23" t="n">
        <v>-130.1015</v>
      </c>
    </row>
    <row r="1973" ht="15" customHeight="1" s="12">
      <c r="A1973" s="18" t="inlineStr">
        <is>
          <t>Port-aux-Français</t>
        </is>
      </c>
      <c r="B1973" s="18" t="inlineStr">
        <is>
          <t>French Southern Territories</t>
        </is>
      </c>
      <c r="C1973" s="19" t="n"/>
      <c r="D1973" s="18" t="inlineStr">
        <is>
          <t>TF</t>
        </is>
      </c>
      <c r="E1973" s="18" t="inlineStr">
        <is>
          <t>03</t>
        </is>
      </c>
      <c r="F1973" s="20" t="n">
        <v>45</v>
      </c>
      <c r="G1973" s="18" t="inlineStr">
        <is>
          <t>Yes</t>
        </is>
      </c>
      <c r="H1973" s="18" t="n"/>
      <c r="I1973" s="18" t="n"/>
      <c r="J1973" s="18" t="n"/>
      <c r="K1973" s="18" t="n"/>
      <c r="L1973" s="18" t="inlineStr">
        <is>
          <t>capital</t>
        </is>
      </c>
      <c r="M1973" s="22" t="n">
        <v>0</v>
      </c>
      <c r="N1973" s="22" t="n">
        <v>0</v>
      </c>
      <c r="O1973" s="18" t="n"/>
      <c r="P1973" s="22">
        <f>IF(O1973="",(About!$B$5*M1973+About!$B$6*N1973)/(About!$B$5+About!$B$6),About!$B$5*M1973+About!$B$6*N1973+About!$B$7*O1973)</f>
        <v/>
      </c>
      <c r="Q1973" s="23" t="n">
        <v>-49.3492</v>
      </c>
      <c r="R1973" s="23" t="n">
        <v>70.21939999999999</v>
      </c>
    </row>
    <row r="1974" ht="15" customHeight="1" s="12">
      <c r="A1974" s="18" t="inlineStr">
        <is>
          <t>Grytviken</t>
        </is>
      </c>
      <c r="B1974" s="18" t="inlineStr">
        <is>
          <t>South Georgia and the South Sandwich Islands</t>
        </is>
      </c>
      <c r="C1974" s="19" t="n"/>
      <c r="D1974" s="18" t="inlineStr">
        <is>
          <t>GS</t>
        </is>
      </c>
      <c r="E1974" s="18" t="inlineStr">
        <is>
          <t>00</t>
        </is>
      </c>
      <c r="F1974" s="20" t="n">
        <v>2</v>
      </c>
      <c r="G1974" s="18" t="inlineStr">
        <is>
          <t>Yes</t>
        </is>
      </c>
      <c r="H1974" s="18" t="n"/>
      <c r="I1974" s="18" t="n"/>
      <c r="J1974" s="18" t="n"/>
      <c r="K1974" s="18" t="n"/>
      <c r="L1974" s="18" t="inlineStr">
        <is>
          <t>capital</t>
        </is>
      </c>
      <c r="M1974" s="22" t="n">
        <v>0</v>
      </c>
      <c r="N1974" s="22" t="n">
        <v>0</v>
      </c>
      <c r="O1974" s="18" t="n"/>
      <c r="P1974" s="22">
        <f>IF(O1974="",(About!$B$5*M1974+About!$B$6*N1974)/(About!$B$5+About!$B$6),About!$B$5*M1974+About!$B$6*N1974+About!$B$7*O1974)</f>
        <v/>
      </c>
      <c r="Q1974" s="23" t="n">
        <v>-54.2811</v>
      </c>
      <c r="R1974" s="23" t="n">
        <v>-36.5092</v>
      </c>
    </row>
    <row r="1975" ht="15" customHeight="1" s="12">
      <c r="A1975" s="11" t="inlineStr">
        <is>
          <t>Cuiabá</t>
        </is>
      </c>
      <c r="B1975" s="11" t="inlineStr">
        <is>
          <t>Brazil</t>
        </is>
      </c>
      <c r="C1975" s="11" t="n">
        <v>213421037</v>
      </c>
      <c r="D1975" s="11" t="inlineStr">
        <is>
          <t>BR</t>
        </is>
      </c>
      <c r="E1975" s="11" t="inlineStr">
        <is>
          <t>14</t>
        </is>
      </c>
      <c r="F1975" s="11" t="n">
        <v>521934</v>
      </c>
      <c r="H1975" s="11" t="inlineStr">
        <is>
          <t>CGB</t>
        </is>
      </c>
      <c r="I1975" s="11" t="inlineStr">
        <is>
          <t>Várzea Grande–Marechal Rondon International Airport</t>
        </is>
      </c>
      <c r="J1975" s="11" t="n">
        <v>6.7</v>
      </c>
      <c r="K1975" s="11" t="inlineStr">
        <is>
          <t>CGB</t>
        </is>
      </c>
      <c r="L1975" s="11" t="inlineStr">
        <is>
          <t>100k +  pop + airport</t>
        </is>
      </c>
      <c r="M1975" s="11" t="n">
        <v>0.743</v>
      </c>
      <c r="N1975" s="11" t="n">
        <v>0</v>
      </c>
      <c r="P1975" s="11">
        <f>IF(O1975="",(About!$B$5*M1975+About!$B$6*N1975)/(About!$B$5+About!$B$6),About!$B$5*M1975+About!$B$6*N1975+About!$B$7*O1975)</f>
        <v/>
      </c>
      <c r="Q1975" s="11" t="n">
        <v>-15.5961</v>
      </c>
      <c r="R1975" s="11" t="n">
        <v>-56.0967</v>
      </c>
    </row>
    <row r="1976" ht="15" customHeight="1" s="12">
      <c r="A1976" s="11" t="inlineStr">
        <is>
          <t>Guarujá</t>
        </is>
      </c>
      <c r="B1976" s="11" t="inlineStr">
        <is>
          <t>Brazil</t>
        </is>
      </c>
      <c r="C1976" s="11" t="n">
        <v>213421037</v>
      </c>
      <c r="D1976" s="11" t="inlineStr">
        <is>
          <t>BR</t>
        </is>
      </c>
      <c r="E1976" s="11" t="inlineStr">
        <is>
          <t>27</t>
        </is>
      </c>
      <c r="F1976" s="11" t="n">
        <v>310424</v>
      </c>
      <c r="L1976" s="11" t="inlineStr">
        <is>
          <t>100k +  pop</t>
        </is>
      </c>
      <c r="M1976" s="11" t="n">
        <v>0</v>
      </c>
      <c r="N1976" s="11" t="n">
        <v>0</v>
      </c>
      <c r="P1976" s="11">
        <f>IF(O1976="",(About!$B$5*M1976+About!$B$6*N1976)/(About!$B$5+About!$B$6),About!$B$5*M1976+About!$B$6*N1976+About!$B$7*O1976)</f>
        <v/>
      </c>
      <c r="Q1976" s="11" t="n">
        <v>-23.9931</v>
      </c>
      <c r="R1976" s="11" t="n">
        <v>-46.2564</v>
      </c>
    </row>
    <row r="1977" ht="15" customHeight="1" s="12">
      <c r="A1977" s="11" t="inlineStr">
        <is>
          <t>Milwaukee</t>
        </is>
      </c>
      <c r="B1977" s="11" t="inlineStr">
        <is>
          <t>United States</t>
        </is>
      </c>
      <c r="C1977" s="11" t="n">
        <v>341784857</v>
      </c>
      <c r="D1977" s="11" t="inlineStr">
        <is>
          <t>US</t>
        </is>
      </c>
      <c r="E1977" s="11" t="inlineStr">
        <is>
          <t>WI</t>
        </is>
      </c>
      <c r="F1977" s="11" t="n">
        <v>600155</v>
      </c>
      <c r="H1977" s="11" t="inlineStr">
        <is>
          <t>MKE</t>
        </is>
      </c>
      <c r="I1977" s="11" t="inlineStr">
        <is>
          <t>General Mitchell International Airport</t>
        </is>
      </c>
      <c r="J1977" s="11" t="n">
        <v>10.2</v>
      </c>
      <c r="K1977" s="11" t="inlineStr">
        <is>
          <t>MKE</t>
        </is>
      </c>
      <c r="L1977" s="11" t="inlineStr">
        <is>
          <t>100k +  pop + airport</t>
        </is>
      </c>
      <c r="M1977" s="11" t="n">
        <v>0.711</v>
      </c>
      <c r="N1977" s="11" t="n">
        <v>0</v>
      </c>
      <c r="P1977" s="11">
        <f>IF(O1977="",(About!$B$5*M1977+About!$B$6*N1977)/(About!$B$5+About!$B$6),About!$B$5*M1977+About!$B$6*N1977+About!$B$7*O1977)</f>
        <v/>
      </c>
      <c r="Q1977" s="11" t="n">
        <v>43.0389</v>
      </c>
      <c r="R1977" s="11" t="n">
        <v>-87.90649999999999</v>
      </c>
    </row>
    <row r="1978" ht="15" customHeight="1" s="12">
      <c r="A1978" s="11" t="inlineStr">
        <is>
          <t>Charlotte</t>
        </is>
      </c>
      <c r="B1978" s="11" t="inlineStr">
        <is>
          <t>United States</t>
        </is>
      </c>
      <c r="C1978" s="11" t="n">
        <v>341784857</v>
      </c>
      <c r="D1978" s="11" t="inlineStr">
        <is>
          <t>US</t>
        </is>
      </c>
      <c r="E1978" s="11" t="inlineStr">
        <is>
          <t>NC</t>
        </is>
      </c>
      <c r="F1978" s="11" t="n">
        <v>827097</v>
      </c>
      <c r="H1978" s="11" t="inlineStr">
        <is>
          <t>CLT</t>
        </is>
      </c>
      <c r="I1978" s="11" t="inlineStr">
        <is>
          <t>Charlotte Douglas International Airport</t>
        </is>
      </c>
      <c r="J1978" s="11" t="n">
        <v>9.199999999999999</v>
      </c>
      <c r="K1978" s="11" t="inlineStr">
        <is>
          <t>CLT+USA</t>
        </is>
      </c>
      <c r="L1978" s="11" t="inlineStr">
        <is>
          <t>100k +  pop + airport</t>
        </is>
      </c>
      <c r="M1978" s="11" t="n">
        <v>0.922</v>
      </c>
      <c r="N1978" s="11" t="n">
        <v>0</v>
      </c>
      <c r="P1978" s="11">
        <f>IF(O1978="",(About!$B$5*M1978+About!$B$6*N1978)/(About!$B$5+About!$B$6),About!$B$5*M1978+About!$B$6*N1978+About!$B$7*O1978)</f>
        <v/>
      </c>
      <c r="Q1978" s="11" t="n">
        <v>35.2271</v>
      </c>
      <c r="R1978" s="11" t="n">
        <v>-80.84310000000001</v>
      </c>
    </row>
    <row r="1979" ht="15" customHeight="1" s="12">
      <c r="A1979" s="11" t="inlineStr">
        <is>
          <t>Oklahoma City</t>
        </is>
      </c>
      <c r="B1979" s="11" t="inlineStr">
        <is>
          <t>United States</t>
        </is>
      </c>
      <c r="C1979" s="11" t="n">
        <v>341784857</v>
      </c>
      <c r="D1979" s="11" t="inlineStr">
        <is>
          <t>US</t>
        </is>
      </c>
      <c r="E1979" s="11" t="inlineStr">
        <is>
          <t>OK</t>
        </is>
      </c>
      <c r="F1979" s="11" t="n">
        <v>631346</v>
      </c>
      <c r="H1979" s="11" t="inlineStr">
        <is>
          <t>OKC</t>
        </is>
      </c>
      <c r="I1979" s="11" t="inlineStr">
        <is>
          <t>OKC Will Rogers World Airport</t>
        </is>
      </c>
      <c r="J1979" s="11" t="n">
        <v>11.1</v>
      </c>
      <c r="K1979" s="11" t="inlineStr">
        <is>
          <t>OKC</t>
        </is>
      </c>
      <c r="L1979" s="11" t="inlineStr">
        <is>
          <t>100k +  pop + airport</t>
        </is>
      </c>
      <c r="M1979" s="11" t="n">
        <v>0.669</v>
      </c>
      <c r="N1979" s="11" t="n">
        <v>0</v>
      </c>
      <c r="P1979" s="11">
        <f>IF(O1979="",(About!$B$5*M1979+About!$B$6*N1979)/(About!$B$5+About!$B$6),About!$B$5*M1979+About!$B$6*N1979+About!$B$7*O1979)</f>
        <v/>
      </c>
      <c r="Q1979" s="11" t="n">
        <v>35.4676</v>
      </c>
      <c r="R1979" s="11" t="n">
        <v>-97.5164</v>
      </c>
    </row>
    <row r="1980" ht="15" customHeight="1" s="12">
      <c r="A1980" s="11" t="inlineStr">
        <is>
          <t>New Haven</t>
        </is>
      </c>
      <c r="B1980" s="11" t="inlineStr">
        <is>
          <t>United States</t>
        </is>
      </c>
      <c r="C1980" s="11" t="n">
        <v>341784857</v>
      </c>
      <c r="D1980" s="11" t="inlineStr">
        <is>
          <t>US</t>
        </is>
      </c>
      <c r="E1980" s="11" t="inlineStr">
        <is>
          <t>CT</t>
        </is>
      </c>
      <c r="F1980" s="11" t="n">
        <v>130322</v>
      </c>
      <c r="H1980" s="11" t="inlineStr">
        <is>
          <t>HVN</t>
        </is>
      </c>
      <c r="I1980" s="11" t="inlineStr">
        <is>
          <t>Tweed New Haven Airport</t>
        </is>
      </c>
      <c r="J1980" s="11" t="n">
        <v>6.1</v>
      </c>
      <c r="K1980" s="11" t="inlineStr">
        <is>
          <t>HVN</t>
        </is>
      </c>
      <c r="L1980" s="11" t="inlineStr">
        <is>
          <t>100k +  pop + airport</t>
        </is>
      </c>
      <c r="M1980" s="11" t="n">
        <v>0.594</v>
      </c>
      <c r="N1980" s="11" t="n">
        <v>0</v>
      </c>
      <c r="P1980" s="11">
        <f>IF(O1980="",(About!$B$5*M1980+About!$B$6*N1980)/(About!$B$5+About!$B$6),About!$B$5*M1980+About!$B$6*N1980+About!$B$7*O1980)</f>
        <v/>
      </c>
      <c r="Q1980" s="11" t="n">
        <v>41.3081</v>
      </c>
      <c r="R1980" s="11" t="n">
        <v>-72.9282</v>
      </c>
    </row>
    <row r="1981" ht="15" customHeight="1" s="12">
      <c r="A1981" s="11" t="inlineStr">
        <is>
          <t>Boise</t>
        </is>
      </c>
      <c r="B1981" s="11" t="inlineStr">
        <is>
          <t>United States</t>
        </is>
      </c>
      <c r="C1981" s="11" t="n">
        <v>341784857</v>
      </c>
      <c r="D1981" s="11" t="inlineStr">
        <is>
          <t>US</t>
        </is>
      </c>
      <c r="E1981" s="11" t="inlineStr">
        <is>
          <t>ID</t>
        </is>
      </c>
      <c r="F1981" s="11" t="n">
        <v>145987</v>
      </c>
      <c r="H1981" s="11" t="inlineStr">
        <is>
          <t>BOI</t>
        </is>
      </c>
      <c r="I1981" s="11" t="inlineStr">
        <is>
          <t>Boise Air Terminal/Gowen Field</t>
        </is>
      </c>
      <c r="J1981" s="11" t="n">
        <v>5.7</v>
      </c>
      <c r="K1981" s="11" t="inlineStr">
        <is>
          <t>BOI</t>
        </is>
      </c>
      <c r="L1981" s="11" t="inlineStr">
        <is>
          <t>100k +  pop + airport</t>
        </is>
      </c>
      <c r="M1981" s="11" t="n">
        <v>0.6860000000000001</v>
      </c>
      <c r="N1981" s="11" t="n">
        <v>0</v>
      </c>
      <c r="P1981" s="11">
        <f>IF(O1981="",(About!$B$5*M1981+About!$B$6*N1981)/(About!$B$5+About!$B$6),About!$B$5*M1981+About!$B$6*N1981+About!$B$7*O1981)</f>
        <v/>
      </c>
      <c r="Q1981" s="11" t="n">
        <v>43.6135</v>
      </c>
      <c r="R1981" s="11" t="n">
        <v>-116.2035</v>
      </c>
    </row>
    <row r="1982" ht="15" customHeight="1" s="12">
      <c r="A1982" s="11" t="inlineStr">
        <is>
          <t>Birmingham</t>
        </is>
      </c>
      <c r="B1982" s="11" t="inlineStr">
        <is>
          <t>United States</t>
        </is>
      </c>
      <c r="C1982" s="11" t="n">
        <v>341784857</v>
      </c>
      <c r="D1982" s="11" t="inlineStr">
        <is>
          <t>US</t>
        </is>
      </c>
      <c r="E1982" s="11" t="inlineStr">
        <is>
          <t>AL</t>
        </is>
      </c>
      <c r="F1982" s="11" t="n">
        <v>212461</v>
      </c>
      <c r="H1982" s="11" t="inlineStr">
        <is>
          <t>BHM</t>
        </is>
      </c>
      <c r="I1982" s="11" t="inlineStr">
        <is>
          <t>Birmingham-Shuttlesworth International Airport</t>
        </is>
      </c>
      <c r="J1982" s="11" t="n">
        <v>6.7</v>
      </c>
      <c r="K1982" s="11" t="inlineStr">
        <is>
          <t>BHM</t>
        </is>
      </c>
      <c r="L1982" s="11" t="inlineStr">
        <is>
          <t>100k +  pop + airport</t>
        </is>
      </c>
      <c r="M1982" s="11" t="n">
        <v>0.641</v>
      </c>
      <c r="N1982" s="11" t="n">
        <v>0</v>
      </c>
      <c r="P1982" s="11">
        <f>IF(O1982="",(About!$B$5*M1982+About!$B$6*N1982)/(About!$B$5+About!$B$6),About!$B$5*M1982+About!$B$6*N1982+About!$B$7*O1982)</f>
        <v/>
      </c>
      <c r="Q1982" s="11" t="n">
        <v>33.5207</v>
      </c>
      <c r="R1982" s="11" t="n">
        <v>-86.80249999999999</v>
      </c>
    </row>
    <row r="1983" ht="15" customHeight="1" s="12">
      <c r="A1983" s="11" t="inlineStr">
        <is>
          <t>Omaha</t>
        </is>
      </c>
      <c r="B1983" s="11" t="inlineStr">
        <is>
          <t>United States</t>
        </is>
      </c>
      <c r="C1983" s="11" t="n">
        <v>341784857</v>
      </c>
      <c r="D1983" s="11" t="inlineStr">
        <is>
          <t>US</t>
        </is>
      </c>
      <c r="E1983" s="11" t="inlineStr">
        <is>
          <t>NE</t>
        </is>
      </c>
      <c r="F1983" s="11" t="n">
        <v>443885</v>
      </c>
      <c r="H1983" s="11" t="inlineStr">
        <is>
          <t>OMA</t>
        </is>
      </c>
      <c r="I1983" s="11" t="inlineStr">
        <is>
          <t>Eppley Airfield</t>
        </is>
      </c>
      <c r="J1983" s="11" t="n">
        <v>6.5</v>
      </c>
      <c r="K1983" s="11" t="inlineStr">
        <is>
          <t>OMA</t>
        </is>
      </c>
      <c r="L1983" s="11" t="inlineStr">
        <is>
          <t>100k +  pop + airport</t>
        </is>
      </c>
      <c r="M1983" s="11" t="n">
        <v>0.697</v>
      </c>
      <c r="N1983" s="11" t="n">
        <v>0</v>
      </c>
      <c r="P1983" s="11">
        <f>IF(O1983="",(About!$B$5*M1983+About!$B$6*N1983)/(About!$B$5+About!$B$6),About!$B$5*M1983+About!$B$6*N1983+About!$B$7*O1983)</f>
        <v/>
      </c>
      <c r="Q1983" s="11" t="n">
        <v>41.2563</v>
      </c>
      <c r="R1983" s="11" t="n">
        <v>-95.9404</v>
      </c>
    </row>
    <row r="1984" ht="15" customHeight="1" s="12">
      <c r="A1984" s="11" t="inlineStr">
        <is>
          <t>Little Rock</t>
        </is>
      </c>
      <c r="B1984" s="11" t="inlineStr">
        <is>
          <t>United States</t>
        </is>
      </c>
      <c r="C1984" s="11" t="n">
        <v>341784857</v>
      </c>
      <c r="D1984" s="11" t="inlineStr">
        <is>
          <t>US</t>
        </is>
      </c>
      <c r="E1984" s="11" t="inlineStr">
        <is>
          <t>AR</t>
        </is>
      </c>
      <c r="F1984" s="11" t="n">
        <v>197992</v>
      </c>
      <c r="H1984" s="11" t="inlineStr">
        <is>
          <t>LIT</t>
        </is>
      </c>
      <c r="I1984" s="11" t="inlineStr">
        <is>
          <t>Bill &amp; Hillary Clinton National Airport/Adams Field</t>
        </is>
      </c>
      <c r="J1984" s="11" t="n">
        <v>6.3</v>
      </c>
      <c r="K1984" s="11" t="inlineStr">
        <is>
          <t>LIT</t>
        </is>
      </c>
      <c r="L1984" s="11" t="inlineStr">
        <is>
          <t>100k +  pop + airport</t>
        </is>
      </c>
      <c r="M1984" s="11" t="n">
        <v>0.5669999999999999</v>
      </c>
      <c r="N1984" s="11" t="n">
        <v>0</v>
      </c>
      <c r="P1984" s="11">
        <f>IF(O1984="",(About!$B$5*M1984+About!$B$6*N1984)/(About!$B$5+About!$B$6),About!$B$5*M1984+About!$B$6*N1984+About!$B$7*O1984)</f>
        <v/>
      </c>
      <c r="Q1984" s="11" t="n">
        <v>34.7465</v>
      </c>
      <c r="R1984" s="11" t="n">
        <v>-92.28959999999999</v>
      </c>
    </row>
    <row r="1985" ht="15" customHeight="1" s="12">
      <c r="A1985" s="11" t="inlineStr">
        <is>
          <t>Jackson</t>
        </is>
      </c>
      <c r="B1985" s="11" t="inlineStr">
        <is>
          <t>United States</t>
        </is>
      </c>
      <c r="C1985" s="11" t="n">
        <v>341784857</v>
      </c>
      <c r="D1985" s="11" t="inlineStr">
        <is>
          <t>US</t>
        </is>
      </c>
      <c r="E1985" s="11" t="inlineStr">
        <is>
          <t>MS</t>
        </is>
      </c>
      <c r="F1985" s="11" t="n">
        <v>170674</v>
      </c>
      <c r="H1985" s="11" t="inlineStr">
        <is>
          <t>JAN</t>
        </is>
      </c>
      <c r="I1985" s="11" t="inlineStr">
        <is>
          <t>Jackson-Medgar Wiley Evers International Airport</t>
        </is>
      </c>
      <c r="J1985" s="11" t="n">
        <v>10.3</v>
      </c>
      <c r="K1985" s="11" t="inlineStr">
        <is>
          <t>JAN</t>
        </is>
      </c>
      <c r="L1985" s="11" t="inlineStr">
        <is>
          <t>100k +  pop + airport</t>
        </is>
      </c>
      <c r="M1985" s="11" t="n">
        <v>0.606</v>
      </c>
      <c r="N1985" s="11" t="n">
        <v>0</v>
      </c>
      <c r="P1985" s="11">
        <f>IF(O1985="",(About!$B$5*M1985+About!$B$6*N1985)/(About!$B$5+About!$B$6),About!$B$5*M1985+About!$B$6*N1985+About!$B$7*O1985)</f>
        <v/>
      </c>
      <c r="Q1985" s="11" t="n">
        <v>32.2988</v>
      </c>
      <c r="R1985" s="11" t="n">
        <v>-90.1848</v>
      </c>
    </row>
    <row r="1986" ht="15" customHeight="1" s="12">
      <c r="A1986" s="11" t="inlineStr">
        <is>
          <t>Des Moines</t>
        </is>
      </c>
      <c r="B1986" s="11" t="inlineStr">
        <is>
          <t>United States</t>
        </is>
      </c>
      <c r="C1986" s="11" t="n">
        <v>341784857</v>
      </c>
      <c r="D1986" s="11" t="inlineStr">
        <is>
          <t>US</t>
        </is>
      </c>
      <c r="E1986" s="11" t="inlineStr">
        <is>
          <t>IA</t>
        </is>
      </c>
      <c r="F1986" s="11" t="n">
        <v>210330</v>
      </c>
      <c r="H1986" s="11" t="inlineStr">
        <is>
          <t>DSM</t>
        </is>
      </c>
      <c r="I1986" s="11" t="inlineStr">
        <is>
          <t>Des Moines International Airport</t>
        </is>
      </c>
      <c r="J1986" s="11" t="n">
        <v>8.4</v>
      </c>
      <c r="K1986" s="11" t="inlineStr">
        <is>
          <t>DSM</t>
        </is>
      </c>
      <c r="L1986" s="11" t="inlineStr">
        <is>
          <t>100k +  pop + airport</t>
        </is>
      </c>
      <c r="M1986" s="11" t="n">
        <v>0.646</v>
      </c>
      <c r="N1986" s="11" t="n">
        <v>0</v>
      </c>
      <c r="P1986" s="11">
        <f>IF(O1986="",(About!$B$5*M1986+About!$B$6*N1986)/(About!$B$5+About!$B$6),About!$B$5*M1986+About!$B$6*N1986+About!$B$7*O1986)</f>
        <v/>
      </c>
      <c r="Q1986" s="11" t="n">
        <v>41.6005</v>
      </c>
      <c r="R1986" s="11" t="n">
        <v>-93.6091</v>
      </c>
    </row>
    <row r="1987" ht="15" customHeight="1" s="12"/>
    <row r="1988" ht="15" customHeight="1" s="12"/>
    <row r="1989" ht="15" customHeight="1" s="12"/>
    <row r="1990" ht="15" customHeight="1" s="12"/>
    <row r="1991" ht="15" customHeight="1" s="12"/>
    <row r="1992" ht="15" customHeight="1" s="12"/>
    <row r="1993" ht="15" customHeight="1" s="12"/>
    <row r="1994" ht="15" customHeight="1" s="12"/>
    <row r="1995" ht="15" customHeight="1" s="12"/>
    <row r="1996" ht="15" customHeight="1" s="12"/>
    <row r="1997" ht="15" customHeight="1" s="12"/>
    <row r="1998" ht="15" customHeight="1" s="12"/>
    <row r="1999" ht="15" customHeight="1" s="12"/>
    <row r="2000" ht="15" customHeight="1" s="12"/>
    <row r="2001" ht="15" customHeight="1" s="12"/>
    <row r="2002" ht="15" customHeight="1" s="12"/>
    <row r="2003" ht="15" customHeight="1" s="12"/>
    <row r="2004" ht="15" customHeight="1" s="12"/>
    <row r="2005" ht="15" customHeight="1" s="12"/>
    <row r="2006" ht="15" customHeight="1" s="12"/>
    <row r="2007" ht="15" customHeight="1" s="12"/>
    <row r="2008" ht="15" customHeight="1" s="12"/>
    <row r="2009" ht="15" customHeight="1" s="12"/>
    <row r="2010" ht="15" customHeight="1" s="12"/>
    <row r="2011" ht="15" customHeight="1" s="12"/>
    <row r="2012" ht="15" customHeight="1" s="12"/>
    <row r="2013" ht="15" customHeight="1" s="12"/>
    <row r="2014" ht="15" customHeight="1" s="12"/>
    <row r="2015" ht="15" customHeight="1" s="12"/>
    <row r="2016" ht="15" customHeight="1" s="12"/>
    <row r="2017" ht="15" customHeight="1" s="12"/>
    <row r="2018" ht="15" customHeight="1" s="12"/>
    <row r="2019" ht="15" customHeight="1" s="12"/>
    <row r="2020" ht="15" customHeight="1" s="12"/>
    <row r="2021" ht="15" customHeight="1" s="12"/>
    <row r="2022" ht="15" customHeight="1" s="12"/>
    <row r="2023" ht="15" customHeight="1" s="12"/>
    <row r="2024" ht="15" customHeight="1" s="12"/>
    <row r="2025" ht="15" customHeight="1" s="12"/>
    <row r="2026" ht="15" customHeight="1" s="12"/>
    <row r="2027" ht="15" customHeight="1" s="12"/>
    <row r="2028" ht="15" customHeight="1" s="12"/>
    <row r="2029" ht="15" customHeight="1" s="12"/>
    <row r="2030" ht="15" customHeight="1" s="12"/>
    <row r="2031" ht="15" customHeight="1" s="12"/>
    <row r="2032" ht="15" customHeight="1" s="12"/>
    <row r="2033" ht="15" customHeight="1" s="12"/>
    <row r="2034" ht="15" customHeight="1" s="12"/>
    <row r="2035" ht="15" customHeight="1" s="12"/>
    <row r="2036" ht="15" customHeight="1" s="12"/>
    <row r="2037" ht="15" customHeight="1" s="12"/>
    <row r="2038" ht="15" customHeight="1" s="12"/>
    <row r="2039" ht="15" customHeight="1" s="12"/>
    <row r="2040" ht="15" customHeight="1" s="12"/>
    <row r="2041" ht="15" customHeight="1" s="12"/>
    <row r="2042" ht="15" customHeight="1" s="12"/>
    <row r="2043" ht="15" customHeight="1" s="12"/>
    <row r="2044" ht="15" customHeight="1" s="12"/>
    <row r="2045" ht="15" customHeight="1" s="12"/>
    <row r="2046" ht="15" customHeight="1" s="12"/>
    <row r="2047" ht="15" customHeight="1" s="12"/>
    <row r="2048" ht="15" customHeight="1" s="12"/>
    <row r="2049" ht="15" customHeight="1" s="12"/>
    <row r="2050" ht="15" customHeight="1" s="12"/>
    <row r="2051" ht="15" customHeight="1" s="12"/>
    <row r="2052" ht="15" customHeight="1" s="12"/>
    <row r="2053" ht="15" customHeight="1" s="12"/>
    <row r="2054" ht="15" customHeight="1" s="12"/>
    <row r="2055" ht="15" customHeight="1" s="12"/>
    <row r="2056" ht="15" customHeight="1" s="12"/>
    <row r="2057" ht="15" customHeight="1" s="12"/>
    <row r="2058" ht="15" customHeight="1" s="12"/>
    <row r="2059" ht="15" customHeight="1" s="12"/>
    <row r="2060" ht="15" customHeight="1" s="12"/>
    <row r="2061" ht="15" customHeight="1" s="12"/>
    <row r="2062" ht="15" customHeight="1" s="12"/>
    <row r="2063" ht="15" customHeight="1" s="12"/>
    <row r="2064" ht="15" customHeight="1" s="12"/>
    <row r="2065" ht="15" customHeight="1" s="12"/>
    <row r="2066" ht="15" customHeight="1" s="12"/>
    <row r="2067" ht="15" customHeight="1" s="12"/>
    <row r="2068" ht="15" customHeight="1" s="12"/>
    <row r="2069" ht="15" customHeight="1" s="12"/>
    <row r="2070" ht="15" customHeight="1" s="12"/>
    <row r="2071" ht="15" customHeight="1" s="12"/>
    <row r="2072" ht="15" customHeight="1" s="12"/>
    <row r="2073" ht="15" customHeight="1" s="12"/>
    <row r="2074" ht="15" customHeight="1" s="12"/>
    <row r="2075" ht="15" customHeight="1" s="12"/>
    <row r="2076" ht="15" customHeight="1" s="12"/>
    <row r="2077" ht="15" customHeight="1" s="12"/>
    <row r="2078" ht="15" customHeight="1" s="12"/>
    <row r="2079" ht="15" customHeight="1" s="12"/>
    <row r="2080" ht="15" customHeight="1" s="12"/>
    <row r="2081" ht="15" customHeight="1" s="12"/>
    <row r="2082" ht="15" customHeight="1" s="12"/>
    <row r="2083" ht="15" customHeight="1" s="12"/>
    <row r="2084" ht="15" customHeight="1" s="12"/>
    <row r="2085" ht="15" customHeight="1" s="12"/>
    <row r="2086" ht="15" customHeight="1" s="12"/>
    <row r="2087" ht="15" customHeight="1" s="12"/>
    <row r="2088" ht="15" customHeight="1" s="12"/>
    <row r="2089" ht="15" customHeight="1" s="12"/>
    <row r="2090" ht="15" customHeight="1" s="12"/>
    <row r="2091" ht="15" customHeight="1" s="12"/>
    <row r="2092" ht="15" customHeight="1" s="12"/>
    <row r="2093" ht="15" customHeight="1" s="12"/>
    <row r="2094" ht="15" customHeight="1" s="12"/>
    <row r="2095" ht="15" customHeight="1" s="12"/>
    <row r="2096" ht="15" customHeight="1" s="12"/>
    <row r="2097" ht="15" customHeight="1" s="12"/>
    <row r="2098" ht="15" customHeight="1" s="12"/>
    <row r="2099" ht="15" customHeight="1" s="12"/>
    <row r="2100" ht="15" customHeight="1" s="12"/>
    <row r="2101" ht="15" customHeight="1" s="12"/>
    <row r="2102" ht="15" customHeight="1" s="12"/>
    <row r="2103" ht="15" customHeight="1" s="12"/>
    <row r="2104" ht="15" customHeight="1" s="12"/>
    <row r="2105" ht="15" customHeight="1" s="12"/>
    <row r="2106" ht="15" customHeight="1" s="12"/>
    <row r="2107" ht="15" customHeight="1" s="12"/>
    <row r="2108" ht="15" customHeight="1" s="12"/>
    <row r="2109" ht="15" customHeight="1" s="12"/>
    <row r="2110" ht="15" customHeight="1" s="12"/>
    <row r="2111" ht="15" customHeight="1" s="12"/>
    <row r="2112" ht="15" customHeight="1" s="12"/>
    <row r="2113" ht="15" customHeight="1" s="12"/>
    <row r="2114" ht="15" customHeight="1" s="12"/>
    <row r="2115" ht="15" customHeight="1" s="12"/>
    <row r="2116" ht="15" customHeight="1" s="12"/>
    <row r="2117" ht="15" customHeight="1" s="12"/>
    <row r="2118" ht="15" customHeight="1" s="12"/>
    <row r="2119" ht="15" customHeight="1" s="12"/>
    <row r="2120" ht="15" customHeight="1" s="12"/>
    <row r="2121" ht="15" customHeight="1" s="12"/>
    <row r="2122" ht="15" customHeight="1" s="12"/>
    <row r="2123" ht="15" customHeight="1" s="12"/>
    <row r="2124" ht="15" customHeight="1" s="12"/>
    <row r="2125" ht="15" customHeight="1" s="12"/>
    <row r="2126" ht="15" customHeight="1" s="12"/>
    <row r="2127" ht="15" customHeight="1" s="12"/>
    <row r="2128" ht="15" customHeight="1" s="12"/>
    <row r="2129" ht="15" customHeight="1" s="12"/>
    <row r="2130" ht="15" customHeight="1" s="12"/>
    <row r="2131" ht="15" customHeight="1" s="12"/>
    <row r="2132" ht="15" customHeight="1" s="12"/>
    <row r="2133" ht="15" customHeight="1" s="12"/>
    <row r="2134" ht="15" customHeight="1" s="12"/>
    <row r="2135" ht="15" customHeight="1" s="12"/>
    <row r="2136" ht="15" customHeight="1" s="12"/>
    <row r="2137" ht="15" customHeight="1" s="12"/>
    <row r="2138" ht="15" customHeight="1" s="12"/>
    <row r="2139" ht="15" customHeight="1" s="12"/>
    <row r="2140" ht="15" customHeight="1" s="12"/>
    <row r="2141" ht="15" customHeight="1" s="12"/>
    <row r="2142" ht="15" customHeight="1" s="12"/>
    <row r="2143" ht="15" customHeight="1" s="12"/>
    <row r="2144" ht="15" customHeight="1" s="12"/>
    <row r="2145" ht="15" customHeight="1" s="12"/>
    <row r="2146" ht="15" customHeight="1" s="12"/>
    <row r="2147" ht="15" customHeight="1" s="12"/>
    <row r="2148" ht="15" customHeight="1" s="12"/>
    <row r="2149" ht="15" customHeight="1" s="12"/>
    <row r="2150" ht="15" customHeight="1" s="12"/>
    <row r="2151" ht="15" customHeight="1" s="12"/>
    <row r="2152" ht="15" customHeight="1" s="12"/>
    <row r="2153" ht="15" customHeight="1" s="12"/>
    <row r="2154" ht="15" customHeight="1" s="12"/>
    <row r="2155" ht="15" customHeight="1" s="12"/>
    <row r="2156" ht="15" customHeight="1" s="12"/>
    <row r="2157" ht="15" customHeight="1" s="12"/>
    <row r="2158" ht="15" customHeight="1" s="12"/>
    <row r="2159" ht="15" customHeight="1" s="12"/>
    <row r="2160" ht="15" customHeight="1" s="12"/>
    <row r="2161" ht="15" customHeight="1" s="12"/>
    <row r="2162" ht="15" customHeight="1" s="12"/>
    <row r="2163" ht="15" customHeight="1" s="12"/>
    <row r="2164" ht="15" customHeight="1" s="12"/>
    <row r="2165" ht="15" customHeight="1" s="12"/>
    <row r="2166" ht="15" customHeight="1" s="12"/>
    <row r="2167" ht="15" customHeight="1" s="12"/>
    <row r="2168" ht="15" customHeight="1" s="12"/>
    <row r="2169" ht="15" customHeight="1" s="12"/>
    <row r="2170" ht="15" customHeight="1" s="12"/>
    <row r="2171" ht="15" customHeight="1" s="12"/>
    <row r="2172" ht="15" customHeight="1" s="12"/>
    <row r="2173" ht="15" customHeight="1" s="12"/>
    <row r="2174" ht="15" customHeight="1" s="12"/>
    <row r="2175" ht="15" customHeight="1" s="12"/>
    <row r="2176" ht="15" customHeight="1" s="12"/>
    <row r="2177" ht="15" customHeight="1" s="12"/>
    <row r="2178" ht="15" customHeight="1" s="12"/>
    <row r="2179" ht="15" customHeight="1" s="12"/>
    <row r="2180" ht="15" customHeight="1" s="12"/>
    <row r="2181" ht="15" customHeight="1" s="12"/>
    <row r="2182" ht="15" customHeight="1" s="12"/>
    <row r="2183" ht="15" customHeight="1" s="12"/>
    <row r="2184" ht="15" customHeight="1" s="12"/>
    <row r="2185" ht="15" customHeight="1" s="12"/>
    <row r="2186" ht="15" customHeight="1" s="12"/>
    <row r="2187" ht="15" customHeight="1" s="12"/>
    <row r="2188" ht="15" customHeight="1" s="12"/>
    <row r="2189" ht="15" customHeight="1" s="12"/>
    <row r="2190" ht="15" customHeight="1" s="12"/>
    <row r="2191" ht="15" customHeight="1" s="12"/>
    <row r="2192" ht="15" customHeight="1" s="12"/>
    <row r="2193" ht="15" customHeight="1" s="12"/>
    <row r="2194" ht="15" customHeight="1" s="12"/>
    <row r="2195" ht="15" customHeight="1" s="12"/>
    <row r="2196" ht="15" customHeight="1" s="12"/>
    <row r="2197" ht="15" customHeight="1" s="12"/>
    <row r="2198" ht="15" customHeight="1" s="12"/>
    <row r="2199" ht="15" customHeight="1" s="12"/>
    <row r="2200" ht="15" customHeight="1" s="12"/>
    <row r="2201" ht="15" customHeight="1" s="12"/>
    <row r="2202" ht="15" customHeight="1" s="12"/>
    <row r="2203" ht="15" customHeight="1" s="12"/>
    <row r="2204" ht="15" customHeight="1" s="12"/>
    <row r="2205" ht="15" customHeight="1" s="12"/>
    <row r="2206" ht="15" customHeight="1" s="12"/>
    <row r="2207" ht="15" customHeight="1" s="12"/>
    <row r="2208" ht="15" customHeight="1" s="12"/>
    <row r="2209" ht="15" customHeight="1" s="12"/>
    <row r="2210" ht="15" customHeight="1" s="12"/>
    <row r="2211" ht="15" customHeight="1" s="12"/>
    <row r="2212" ht="15" customHeight="1" s="12"/>
    <row r="2213" ht="15" customHeight="1" s="12"/>
    <row r="2214" ht="15" customHeight="1" s="12"/>
    <row r="2215" ht="15" customHeight="1" s="12"/>
    <row r="2216" ht="15" customHeight="1" s="12"/>
    <row r="2217" ht="15" customHeight="1" s="12"/>
    <row r="2218" ht="15" customHeight="1" s="12"/>
    <row r="2219" ht="15" customHeight="1" s="12"/>
    <row r="2220" ht="15" customHeight="1" s="12"/>
    <row r="2221" ht="15" customHeight="1" s="12"/>
    <row r="2222" ht="15" customHeight="1" s="12"/>
    <row r="2223" ht="15" customHeight="1" s="12"/>
    <row r="2224" ht="15" customHeight="1" s="12"/>
    <row r="2225" ht="15" customHeight="1" s="12"/>
    <row r="2226" ht="15" customHeight="1" s="12"/>
    <row r="2227" ht="15" customHeight="1" s="12"/>
    <row r="2228" ht="15" customHeight="1" s="12"/>
    <row r="2229" ht="15" customHeight="1" s="12"/>
    <row r="2230" ht="15" customHeight="1" s="12"/>
    <row r="2231" ht="15" customHeight="1" s="12"/>
    <row r="2232" ht="15" customHeight="1" s="12"/>
    <row r="2233" ht="15" customHeight="1" s="12"/>
    <row r="2234" ht="15" customHeight="1" s="12"/>
    <row r="2235" ht="15" customHeight="1" s="12"/>
    <row r="2236" ht="15" customHeight="1" s="12"/>
    <row r="2237" ht="15" customHeight="1" s="12"/>
    <row r="2238" ht="15" customHeight="1" s="12"/>
    <row r="2239" ht="15" customHeight="1" s="12"/>
    <row r="2240" ht="15" customHeight="1" s="12"/>
    <row r="2241" ht="15" customHeight="1" s="12"/>
    <row r="2242" ht="15" customHeight="1" s="12"/>
    <row r="2243" ht="15" customHeight="1" s="12"/>
    <row r="2244" ht="15" customHeight="1" s="12"/>
    <row r="2245" ht="15" customHeight="1" s="12"/>
    <row r="2246" ht="15" customHeight="1" s="12"/>
    <row r="2247" ht="15" customHeight="1" s="12"/>
    <row r="2248" ht="15" customHeight="1" s="12"/>
    <row r="2249" ht="15" customHeight="1" s="12"/>
    <row r="2250" ht="15" customHeight="1" s="12"/>
    <row r="2251" ht="15" customHeight="1" s="12"/>
    <row r="2252" ht="15" customHeight="1" s="12"/>
    <row r="2253" ht="15" customHeight="1" s="12"/>
    <row r="2254" ht="15" customHeight="1" s="12"/>
    <row r="2255" ht="15" customHeight="1" s="12"/>
    <row r="2256" ht="15" customHeight="1" s="12"/>
    <row r="2257" ht="15" customHeight="1" s="12"/>
    <row r="2258" ht="15" customHeight="1" s="12"/>
    <row r="2259" ht="15" customHeight="1" s="12"/>
    <row r="2260" ht="15" customHeight="1" s="12"/>
    <row r="2261" ht="15" customHeight="1" s="12"/>
    <row r="2262" ht="15" customHeight="1" s="12"/>
    <row r="2263" ht="15" customHeight="1" s="12"/>
    <row r="2264" ht="15" customHeight="1" s="12"/>
    <row r="2265" ht="15" customHeight="1" s="12"/>
    <row r="2266" ht="15" customHeight="1" s="12"/>
    <row r="2267" ht="15" customHeight="1" s="12"/>
    <row r="2268" ht="15" customHeight="1" s="12"/>
    <row r="2269" ht="15" customHeight="1" s="12"/>
    <row r="2270" ht="15" customHeight="1" s="12"/>
    <row r="2271" ht="15" customHeight="1" s="12"/>
    <row r="2272" ht="15" customHeight="1" s="12"/>
    <row r="2273" ht="15" customHeight="1" s="12"/>
    <row r="2274" ht="15" customHeight="1" s="12"/>
    <row r="2275" ht="15" customHeight="1" s="12"/>
    <row r="2276" ht="15" customHeight="1" s="12"/>
    <row r="2277" ht="15" customHeight="1" s="12"/>
    <row r="2278" ht="15" customHeight="1" s="12"/>
    <row r="2279" ht="15" customHeight="1" s="12"/>
    <row r="2280" ht="15" customHeight="1" s="12"/>
    <row r="2281" ht="15" customHeight="1" s="12"/>
    <row r="2282" ht="15" customHeight="1" s="12"/>
    <row r="2283" ht="15" customHeight="1" s="12"/>
    <row r="2284" ht="15" customHeight="1" s="12"/>
    <row r="2285" ht="15" customHeight="1" s="12"/>
    <row r="2286" ht="15" customHeight="1" s="12"/>
    <row r="2287" ht="15" customHeight="1" s="12"/>
    <row r="2288" ht="15" customHeight="1" s="12"/>
    <row r="2289" ht="15" customHeight="1" s="12"/>
    <row r="2290" ht="15" customHeight="1" s="12"/>
    <row r="2291" ht="15" customHeight="1" s="12"/>
    <row r="2292" ht="15" customHeight="1" s="12"/>
    <row r="2293" ht="15" customHeight="1" s="12"/>
    <row r="2294" ht="15" customHeight="1" s="12"/>
    <row r="2295" ht="15" customHeight="1" s="12"/>
    <row r="2296" ht="15" customHeight="1" s="12"/>
    <row r="2297" ht="15" customHeight="1" s="12"/>
    <row r="2298" ht="15" customHeight="1" s="12"/>
    <row r="2299" ht="15" customHeight="1" s="12"/>
    <row r="2300" ht="15" customHeight="1" s="12"/>
    <row r="2301" ht="15" customHeight="1" s="12"/>
    <row r="2302" ht="15" customHeight="1" s="12"/>
    <row r="2303" ht="15" customHeight="1" s="12"/>
    <row r="2304" ht="15" customHeight="1" s="12"/>
    <row r="2305" ht="15" customHeight="1" s="12"/>
    <row r="2306" ht="15" customHeight="1" s="12"/>
    <row r="2307" ht="15" customHeight="1" s="12"/>
    <row r="2308" ht="15" customHeight="1" s="12"/>
    <row r="2309" ht="15" customHeight="1" s="12"/>
    <row r="2310" ht="15" customHeight="1" s="12"/>
    <row r="2311" ht="15" customHeight="1" s="12"/>
    <row r="2312" ht="15" customHeight="1" s="12"/>
    <row r="2313" ht="15" customHeight="1" s="12"/>
    <row r="2314" ht="15" customHeight="1" s="12"/>
    <row r="2315" ht="15" customHeight="1" s="12"/>
    <row r="2316" ht="15" customHeight="1" s="12"/>
    <row r="2317" ht="15" customHeight="1" s="12"/>
    <row r="2318" ht="15" customHeight="1" s="12"/>
    <row r="2319" ht="15" customHeight="1" s="12"/>
    <row r="2320" ht="15" customHeight="1" s="12"/>
    <row r="2321" ht="15" customHeight="1" s="12"/>
    <row r="2322" ht="15" customHeight="1" s="12"/>
    <row r="2323" ht="15" customHeight="1" s="12"/>
    <row r="2324" ht="15" customHeight="1" s="12"/>
    <row r="2325" ht="15" customHeight="1" s="12"/>
    <row r="2326" ht="15" customHeight="1" s="12"/>
    <row r="2327" ht="15" customHeight="1" s="12"/>
    <row r="2328" ht="15" customHeight="1" s="12"/>
    <row r="2329" ht="15" customHeight="1" s="12"/>
    <row r="2330" ht="15" customHeight="1" s="12"/>
    <row r="2331" ht="15" customHeight="1" s="12"/>
    <row r="2332" ht="15" customHeight="1" s="12"/>
    <row r="2333" ht="15" customHeight="1" s="12"/>
    <row r="2334" ht="15" customHeight="1" s="12"/>
    <row r="2335" ht="15" customHeight="1" s="12"/>
    <row r="2336" ht="15" customHeight="1" s="12"/>
    <row r="2337" ht="15" customHeight="1" s="12"/>
    <row r="2338" ht="15" customHeight="1" s="12"/>
    <row r="2339" ht="15" customHeight="1" s="12"/>
    <row r="2340" ht="15" customHeight="1" s="12"/>
    <row r="2341" ht="15" customHeight="1" s="12"/>
    <row r="2342" ht="15" customHeight="1" s="12"/>
    <row r="2343" ht="15" customHeight="1" s="12"/>
    <row r="2344" ht="15" customHeight="1" s="12"/>
    <row r="2345" ht="15" customHeight="1" s="12"/>
    <row r="2346" ht="15" customHeight="1" s="12"/>
    <row r="2347" ht="15" customHeight="1" s="12"/>
    <row r="2348" ht="15" customHeight="1" s="12"/>
    <row r="2349" ht="15" customHeight="1" s="12"/>
    <row r="2350" ht="15" customHeight="1" s="12"/>
    <row r="2351" ht="15" customHeight="1" s="12"/>
    <row r="2352" ht="15" customHeight="1" s="12"/>
    <row r="2353" ht="15" customHeight="1" s="12"/>
    <row r="2354" ht="15" customHeight="1" s="12"/>
    <row r="2355" ht="15" customHeight="1" s="12"/>
    <row r="2356" ht="15" customHeight="1" s="12"/>
    <row r="2357" ht="15" customHeight="1" s="12"/>
    <row r="2358" ht="15" customHeight="1" s="12"/>
    <row r="2359" ht="15" customHeight="1" s="12"/>
    <row r="2360" ht="15" customHeight="1" s="12"/>
    <row r="2361" ht="15" customHeight="1" s="12"/>
    <row r="2362" ht="15" customHeight="1" s="12"/>
    <row r="2363" ht="15" customHeight="1" s="12"/>
    <row r="2364" ht="15" customHeight="1" s="12"/>
    <row r="2365" ht="15" customHeight="1" s="12"/>
    <row r="2366" ht="15" customHeight="1" s="12"/>
    <row r="2367" ht="15" customHeight="1" s="12"/>
    <row r="2368" ht="15" customHeight="1" s="12"/>
    <row r="2369" ht="15" customHeight="1" s="12"/>
    <row r="2370" ht="15" customHeight="1" s="12"/>
    <row r="2371" ht="15" customHeight="1" s="12"/>
    <row r="2372" ht="15" customHeight="1" s="12"/>
    <row r="2373" ht="15" customHeight="1" s="12"/>
    <row r="2374" ht="15" customHeight="1" s="12"/>
    <row r="2375" ht="15" customHeight="1" s="12"/>
    <row r="2376" ht="15" customHeight="1" s="12"/>
    <row r="2377" ht="15" customHeight="1" s="12"/>
    <row r="2378" ht="15" customHeight="1" s="12"/>
    <row r="2379" ht="15" customHeight="1" s="12"/>
    <row r="2380" ht="15" customHeight="1" s="12"/>
    <row r="2381" ht="15" customHeight="1" s="12"/>
    <row r="2382" ht="15" customHeight="1" s="12"/>
    <row r="2383" ht="15" customHeight="1" s="12"/>
    <row r="2384" ht="15" customHeight="1" s="12"/>
    <row r="2385" ht="15" customHeight="1" s="12"/>
    <row r="2386" ht="15" customHeight="1" s="12"/>
    <row r="2387" ht="15" customHeight="1" s="12"/>
    <row r="2388" ht="15" customHeight="1" s="12"/>
    <row r="2389" ht="15" customHeight="1" s="12"/>
    <row r="2390" ht="15" customHeight="1" s="12"/>
    <row r="2391" ht="15" customHeight="1" s="12"/>
    <row r="2392" ht="15" customHeight="1" s="12"/>
    <row r="2393" ht="15" customHeight="1" s="12"/>
    <row r="2394" ht="15" customHeight="1" s="12"/>
    <row r="2395" ht="15" customHeight="1" s="12"/>
    <row r="2396" ht="15" customHeight="1" s="12"/>
    <row r="2397" ht="15" customHeight="1" s="12"/>
    <row r="2398" ht="15" customHeight="1" s="12"/>
    <row r="2399" ht="15" customHeight="1" s="12"/>
    <row r="2400" ht="15" customHeight="1" s="12"/>
    <row r="2401" ht="15" customHeight="1" s="12"/>
    <row r="2402" ht="15" customHeight="1" s="12"/>
    <row r="2403" ht="15" customHeight="1" s="12"/>
    <row r="2404" ht="15" customHeight="1" s="12"/>
    <row r="2405" ht="15" customHeight="1" s="12"/>
    <row r="2406" ht="15" customHeight="1" s="12"/>
    <row r="2407" ht="15" customHeight="1" s="12"/>
    <row r="2408" ht="15" customHeight="1" s="12"/>
    <row r="2409" ht="15" customHeight="1" s="12"/>
    <row r="2410" ht="15" customHeight="1" s="12"/>
    <row r="2411" ht="15" customHeight="1" s="12"/>
    <row r="2412" ht="15" customHeight="1" s="12"/>
    <row r="2413" ht="15" customHeight="1" s="12"/>
    <row r="2414" ht="15" customHeight="1" s="12"/>
    <row r="2415" ht="15" customHeight="1" s="12"/>
    <row r="2416" ht="15" customHeight="1" s="12"/>
    <row r="2417" ht="15" customHeight="1" s="12"/>
    <row r="2418" ht="15" customHeight="1" s="12"/>
    <row r="2419" ht="15" customHeight="1" s="12"/>
    <row r="2420" ht="15" customHeight="1" s="12"/>
    <row r="2421" ht="15" customHeight="1" s="12"/>
    <row r="2422" ht="15" customHeight="1" s="12"/>
    <row r="2423" ht="15" customHeight="1" s="12"/>
    <row r="2424" ht="15" customHeight="1" s="12"/>
    <row r="2425" ht="15" customHeight="1" s="12"/>
    <row r="2426" ht="15" customHeight="1" s="12"/>
    <row r="2427" ht="15" customHeight="1" s="12"/>
    <row r="2428" ht="15" customHeight="1" s="12"/>
    <row r="2429" ht="15" customHeight="1" s="12"/>
    <row r="2430" ht="15" customHeight="1" s="12"/>
    <row r="2431" ht="15" customHeight="1" s="12"/>
    <row r="2432" ht="15" customHeight="1" s="12"/>
    <row r="2433" ht="15" customHeight="1" s="12"/>
    <row r="2434" ht="15" customHeight="1" s="12"/>
    <row r="2435" ht="15" customHeight="1" s="12"/>
    <row r="2436" ht="15" customHeight="1" s="12"/>
    <row r="2437" ht="15" customHeight="1" s="12"/>
    <row r="2438" ht="15" customHeight="1" s="12"/>
    <row r="2439" ht="15" customHeight="1" s="12"/>
    <row r="2440" ht="15" customHeight="1" s="12"/>
    <row r="2441" ht="15" customHeight="1" s="12"/>
    <row r="2442" ht="15" customHeight="1" s="12"/>
    <row r="2443" ht="15" customHeight="1" s="12"/>
    <row r="2444" ht="15" customHeight="1" s="12"/>
    <row r="2445" ht="15" customHeight="1" s="12"/>
    <row r="2446" ht="15" customHeight="1" s="12"/>
    <row r="2447" ht="15" customHeight="1" s="12"/>
    <row r="2448" ht="15" customHeight="1" s="12"/>
    <row r="2449" ht="15" customHeight="1" s="12"/>
    <row r="2450" ht="15" customHeight="1" s="12"/>
    <row r="2451" ht="15" customHeight="1" s="12"/>
    <row r="2452" ht="15" customHeight="1" s="12"/>
    <row r="2453" ht="15" customHeight="1" s="12"/>
    <row r="2454" ht="15" customHeight="1" s="12"/>
    <row r="2455" ht="15" customHeight="1" s="12"/>
    <row r="2456" ht="15" customHeight="1" s="12"/>
    <row r="2457" ht="15" customHeight="1" s="12"/>
    <row r="2458" ht="15" customHeight="1" s="12"/>
    <row r="2459" ht="15" customHeight="1" s="12"/>
    <row r="2460" ht="15" customHeight="1" s="12"/>
    <row r="2461" ht="15" customHeight="1" s="12"/>
    <row r="2462" ht="15" customHeight="1" s="12"/>
    <row r="2463" ht="15" customHeight="1" s="12"/>
    <row r="2464" ht="15" customHeight="1" s="12"/>
    <row r="2465" ht="15" customHeight="1" s="12"/>
    <row r="2466" ht="15" customHeight="1" s="12"/>
    <row r="2467" ht="15" customHeight="1" s="12"/>
    <row r="2468" ht="15" customHeight="1" s="12"/>
    <row r="2469" ht="15" customHeight="1" s="12"/>
    <row r="2470" ht="15" customHeight="1" s="12"/>
    <row r="2471" ht="15" customHeight="1" s="12"/>
    <row r="2472" ht="15" customHeight="1" s="12"/>
    <row r="2473" ht="15" customHeight="1" s="12"/>
    <row r="2474" ht="15" customHeight="1" s="12"/>
    <row r="2475" ht="15" customHeight="1" s="12"/>
    <row r="2476" ht="15" customHeight="1" s="12"/>
    <row r="2477" ht="15" customHeight="1" s="12"/>
    <row r="2478" ht="15" customHeight="1" s="12"/>
    <row r="2479" ht="15" customHeight="1" s="12"/>
    <row r="2480" ht="15" customHeight="1" s="12"/>
    <row r="2481" ht="15" customHeight="1" s="12"/>
    <row r="2482" ht="15" customHeight="1" s="12"/>
    <row r="2483" ht="15" customHeight="1" s="12"/>
    <row r="2484" ht="15" customHeight="1" s="12"/>
    <row r="2485" ht="15" customHeight="1" s="12"/>
    <row r="2486" ht="15" customHeight="1" s="12"/>
    <row r="2487" ht="15" customHeight="1" s="12"/>
    <row r="2488" ht="15" customHeight="1" s="12"/>
    <row r="2489" ht="15" customHeight="1" s="12"/>
    <row r="2490" ht="15" customHeight="1" s="12"/>
    <row r="2491" ht="15" customHeight="1" s="12"/>
    <row r="2492" ht="15" customHeight="1" s="12"/>
    <row r="2493" ht="15" customHeight="1" s="12"/>
    <row r="2494" ht="15" customHeight="1" s="12"/>
    <row r="2495" ht="15" customHeight="1" s="12"/>
    <row r="2496" ht="15" customHeight="1" s="12"/>
    <row r="2497" ht="15" customHeight="1" s="12"/>
    <row r="2498" ht="15" customHeight="1" s="12"/>
    <row r="2499" ht="15" customHeight="1" s="12"/>
    <row r="2500" ht="15" customHeight="1" s="12"/>
    <row r="2501" ht="15" customHeight="1" s="12"/>
    <row r="2502" ht="15" customHeight="1" s="12"/>
    <row r="2503" ht="15" customHeight="1" s="12"/>
    <row r="2504" ht="15" customHeight="1" s="12"/>
    <row r="2505" ht="15" customHeight="1" s="12"/>
    <row r="2506" ht="15" customHeight="1" s="12"/>
    <row r="2507" ht="15" customHeight="1" s="12"/>
    <row r="2508" ht="15" customHeight="1" s="12"/>
    <row r="2509" ht="15" customHeight="1" s="12"/>
    <row r="2510" ht="15" customHeight="1" s="12"/>
    <row r="2511" ht="15" customHeight="1" s="12"/>
    <row r="2512" ht="15" customHeight="1" s="12"/>
    <row r="2513" ht="15" customHeight="1" s="12"/>
    <row r="2514" ht="15" customHeight="1" s="12"/>
    <row r="2515" ht="15" customHeight="1" s="12"/>
    <row r="2516" ht="15" customHeight="1" s="12"/>
    <row r="2517" ht="15" customHeight="1" s="12"/>
    <row r="2518" ht="15" customHeight="1" s="12"/>
    <row r="2519" ht="15" customHeight="1" s="12"/>
    <row r="2520" ht="15" customHeight="1" s="12"/>
    <row r="2521" ht="15" customHeight="1" s="12"/>
    <row r="2522" ht="15" customHeight="1" s="12"/>
    <row r="2523" ht="15" customHeight="1" s="12"/>
    <row r="2524" ht="15" customHeight="1" s="12"/>
    <row r="2525" ht="15" customHeight="1" s="12"/>
    <row r="2526" ht="15" customHeight="1" s="12"/>
    <row r="2527" ht="15" customHeight="1" s="12"/>
    <row r="2528" ht="15" customHeight="1" s="12"/>
    <row r="2529" ht="15" customHeight="1" s="12"/>
    <row r="2530" ht="15" customHeight="1" s="12"/>
    <row r="2531" ht="15" customHeight="1" s="12"/>
    <row r="2532" ht="15" customHeight="1" s="12"/>
    <row r="2533" ht="15" customHeight="1" s="12"/>
    <row r="2534" ht="15" customHeight="1" s="12"/>
    <row r="2535" ht="15" customHeight="1" s="12"/>
    <row r="2536" ht="15" customHeight="1" s="12"/>
    <row r="2537" ht="15" customHeight="1" s="12"/>
    <row r="2538" ht="15" customHeight="1" s="12"/>
    <row r="2539" ht="15" customHeight="1" s="12"/>
    <row r="2540" ht="15" customHeight="1" s="12"/>
    <row r="2541" ht="15" customHeight="1" s="12"/>
    <row r="2542" ht="15" customHeight="1" s="12"/>
    <row r="2543" ht="15" customHeight="1" s="12"/>
    <row r="2544" ht="15" customHeight="1" s="12"/>
    <row r="2545" ht="15" customHeight="1" s="12"/>
    <row r="2546" ht="15" customHeight="1" s="12"/>
    <row r="2547" ht="15" customHeight="1" s="12"/>
    <row r="2548" ht="15" customHeight="1" s="12"/>
    <row r="2549" ht="15" customHeight="1" s="12"/>
    <row r="2550" ht="15" customHeight="1" s="12"/>
    <row r="2551" ht="15" customHeight="1" s="12"/>
    <row r="2552" ht="15" customHeight="1" s="12"/>
    <row r="2553" ht="15" customHeight="1" s="12"/>
    <row r="2554" ht="15" customHeight="1" s="12"/>
    <row r="2555" ht="15" customHeight="1" s="12"/>
    <row r="2556" ht="15" customHeight="1" s="12"/>
    <row r="2557" ht="15" customHeight="1" s="12"/>
    <row r="2558" ht="15" customHeight="1" s="12"/>
    <row r="2559" ht="15" customHeight="1" s="12"/>
    <row r="2560" ht="15" customHeight="1" s="12"/>
    <row r="2561" ht="15" customHeight="1" s="12"/>
    <row r="2562" ht="15" customHeight="1" s="12"/>
    <row r="2563" ht="15" customHeight="1" s="12"/>
    <row r="2564" ht="15" customHeight="1" s="12"/>
    <row r="2565" ht="15" customHeight="1" s="12"/>
    <row r="2566" ht="15" customHeight="1" s="12"/>
    <row r="2567" ht="15" customHeight="1" s="12"/>
    <row r="2568" ht="15" customHeight="1" s="12"/>
    <row r="2569" ht="15" customHeight="1" s="12"/>
    <row r="2570" ht="15" customHeight="1" s="12"/>
    <row r="2571" ht="15" customHeight="1" s="12"/>
    <row r="2572" ht="15" customHeight="1" s="12"/>
    <row r="2573" ht="15" customHeight="1" s="12"/>
    <row r="2574" ht="15" customHeight="1" s="12"/>
    <row r="2575" ht="15" customHeight="1" s="12"/>
    <row r="2576" ht="15" customHeight="1" s="12"/>
    <row r="2577" ht="15" customHeight="1" s="12"/>
    <row r="2578" ht="15" customHeight="1" s="12"/>
    <row r="2579" ht="15" customHeight="1" s="12"/>
    <row r="2580" ht="15" customHeight="1" s="12"/>
    <row r="2581" ht="15" customHeight="1" s="12"/>
    <row r="2582" ht="15" customHeight="1" s="12"/>
    <row r="2583" ht="15" customHeight="1" s="12"/>
    <row r="2584" ht="15" customHeight="1" s="12"/>
    <row r="2585" ht="15" customHeight="1" s="12"/>
    <row r="2586" ht="15" customHeight="1" s="12"/>
    <row r="2587" ht="15" customHeight="1" s="12"/>
    <row r="2588" ht="15" customHeight="1" s="12"/>
    <row r="2589" ht="15" customHeight="1" s="12"/>
    <row r="2590" ht="15" customHeight="1" s="12"/>
    <row r="2591" ht="15" customHeight="1" s="12"/>
    <row r="2592" ht="15" customHeight="1" s="12"/>
    <row r="2593" ht="15" customHeight="1" s="12"/>
    <row r="2594" ht="15" customHeight="1" s="12"/>
    <row r="2595" ht="15" customHeight="1" s="12"/>
    <row r="2596" ht="15" customHeight="1" s="12"/>
    <row r="2597" ht="15" customHeight="1" s="12"/>
    <row r="2598" ht="15" customHeight="1" s="12"/>
    <row r="2599" ht="15" customHeight="1" s="12"/>
    <row r="2600" ht="15" customHeight="1" s="12"/>
    <row r="2601" ht="15" customHeight="1" s="12"/>
    <row r="2602" ht="15" customHeight="1" s="12"/>
    <row r="2603" ht="15" customHeight="1" s="12"/>
    <row r="2604" ht="15" customHeight="1" s="12"/>
    <row r="2605" ht="15" customHeight="1" s="12"/>
    <row r="2606" ht="15" customHeight="1" s="12"/>
    <row r="2607" ht="15" customHeight="1" s="12"/>
    <row r="2608" ht="15" customHeight="1" s="12"/>
    <row r="2609" ht="15" customHeight="1" s="12"/>
    <row r="2610" ht="15" customHeight="1" s="12"/>
    <row r="2611" ht="15" customHeight="1" s="12"/>
    <row r="2612" ht="15" customHeight="1" s="12"/>
    <row r="2613" ht="15" customHeight="1" s="12"/>
    <row r="2614" ht="15" customHeight="1" s="12"/>
    <row r="2615" ht="15" customHeight="1" s="12"/>
    <row r="2616" ht="15" customHeight="1" s="12"/>
    <row r="2617" ht="15" customHeight="1" s="12"/>
    <row r="2618" ht="15" customHeight="1" s="12"/>
    <row r="2619" ht="15" customHeight="1" s="12"/>
    <row r="2620" ht="15" customHeight="1" s="12"/>
    <row r="2621" ht="15" customHeight="1" s="12"/>
    <row r="2622" ht="15" customHeight="1" s="12"/>
    <row r="2623" ht="15" customHeight="1" s="12"/>
    <row r="2624" ht="15" customHeight="1" s="12"/>
    <row r="2625" ht="15" customHeight="1" s="12"/>
    <row r="2626" ht="15" customHeight="1" s="12"/>
    <row r="2627" ht="15" customHeight="1" s="12"/>
    <row r="2628" ht="15" customHeight="1" s="12"/>
    <row r="2629" ht="15" customHeight="1" s="12"/>
    <row r="2630" ht="15" customHeight="1" s="12"/>
    <row r="2631" ht="15" customHeight="1" s="12"/>
    <row r="2632" ht="15" customHeight="1" s="12"/>
    <row r="2633" ht="15" customHeight="1" s="12"/>
    <row r="2634" ht="15" customHeight="1" s="12"/>
    <row r="2635" ht="15" customHeight="1" s="12"/>
    <row r="2636" ht="15" customHeight="1" s="12"/>
    <row r="2637" ht="15" customHeight="1" s="12"/>
    <row r="2638" ht="15" customHeight="1" s="12"/>
    <row r="2639" ht="15" customHeight="1" s="12"/>
    <row r="2640" ht="15" customHeight="1" s="12"/>
    <row r="2641" ht="15" customHeight="1" s="12"/>
    <row r="2642" ht="15" customHeight="1" s="12"/>
    <row r="2643" ht="15" customHeight="1" s="12"/>
    <row r="2644" ht="15" customHeight="1" s="12"/>
    <row r="2645" ht="15" customHeight="1" s="12"/>
    <row r="2646" ht="15" customHeight="1" s="12"/>
    <row r="2647" ht="15" customHeight="1" s="12"/>
    <row r="2648" ht="15" customHeight="1" s="12"/>
    <row r="2649" ht="15" customHeight="1" s="12"/>
    <row r="2650" ht="15" customHeight="1" s="12"/>
    <row r="2651" ht="15" customHeight="1" s="12"/>
    <row r="2652" ht="15" customHeight="1" s="12"/>
    <row r="2653" ht="15" customHeight="1" s="12"/>
    <row r="2654" ht="15" customHeight="1" s="12"/>
    <row r="2655" ht="15" customHeight="1" s="12"/>
    <row r="2656" ht="15" customHeight="1" s="12"/>
    <row r="2657" ht="15" customHeight="1" s="12"/>
    <row r="2658" ht="15" customHeight="1" s="12"/>
    <row r="2659" ht="15" customHeight="1" s="12"/>
    <row r="2660" ht="15" customHeight="1" s="12"/>
    <row r="2661" ht="15" customHeight="1" s="12"/>
    <row r="2662" ht="15" customHeight="1" s="12"/>
    <row r="2663" ht="15" customHeight="1" s="12"/>
    <row r="2664" ht="15" customHeight="1" s="12"/>
    <row r="2665" ht="15" customHeight="1" s="12"/>
    <row r="2666" ht="15" customHeight="1" s="12"/>
    <row r="2667" ht="15" customHeight="1" s="12"/>
    <row r="2668" ht="15" customHeight="1" s="12"/>
    <row r="2669" ht="15" customHeight="1" s="12"/>
    <row r="2670" ht="15" customHeight="1" s="12"/>
    <row r="2671" ht="15" customHeight="1" s="12"/>
    <row r="2672" ht="15" customHeight="1" s="12"/>
    <row r="2673" ht="15" customHeight="1" s="12"/>
    <row r="2674" ht="15" customHeight="1" s="12"/>
    <row r="2675" ht="15" customHeight="1" s="12"/>
    <row r="2676" ht="15" customHeight="1" s="12"/>
    <row r="2677" ht="15" customHeight="1" s="12"/>
    <row r="2678" ht="15" customHeight="1" s="12"/>
    <row r="2679" ht="15" customHeight="1" s="12"/>
    <row r="2680" ht="15" customHeight="1" s="12"/>
    <row r="2681" ht="15" customHeight="1" s="12"/>
    <row r="2682" ht="15" customHeight="1" s="12"/>
    <row r="2683" ht="15" customHeight="1" s="12"/>
    <row r="2684" ht="15" customHeight="1" s="12"/>
    <row r="2685" ht="15" customHeight="1" s="12"/>
    <row r="2686" ht="15" customHeight="1" s="12"/>
    <row r="2687" ht="15" customHeight="1" s="12"/>
    <row r="2688" ht="15" customHeight="1" s="12"/>
    <row r="2689" ht="15" customHeight="1" s="12"/>
    <row r="2690" ht="15" customHeight="1" s="12"/>
    <row r="2691" ht="15" customHeight="1" s="12"/>
    <row r="2692" ht="15" customHeight="1" s="12"/>
    <row r="2693" ht="15" customHeight="1" s="12"/>
    <row r="2694" ht="15" customHeight="1" s="12"/>
    <row r="2695" ht="15" customHeight="1" s="12"/>
    <row r="2696" ht="15" customHeight="1" s="12"/>
    <row r="2697" ht="15" customHeight="1" s="12"/>
    <row r="2698" ht="15" customHeight="1" s="12"/>
    <row r="2699" ht="15" customHeight="1" s="12"/>
    <row r="2700" ht="15" customHeight="1" s="12"/>
    <row r="2701" ht="15" customHeight="1" s="12"/>
    <row r="2702" ht="15" customHeight="1" s="12"/>
    <row r="2703" ht="15" customHeight="1" s="12"/>
    <row r="2704" ht="15" customHeight="1" s="12"/>
    <row r="2705" ht="15" customHeight="1" s="12"/>
    <row r="2706" ht="15" customHeight="1" s="12"/>
    <row r="2707" ht="15" customHeight="1" s="12"/>
    <row r="2708" ht="15" customHeight="1" s="12"/>
    <row r="2709" ht="15" customHeight="1" s="12"/>
    <row r="2710" ht="15" customHeight="1" s="12"/>
    <row r="2711" ht="15" customHeight="1" s="12"/>
    <row r="2712" ht="15" customHeight="1" s="12"/>
    <row r="2713" ht="15" customHeight="1" s="12"/>
    <row r="2714" ht="15" customHeight="1" s="12"/>
    <row r="2715" ht="15" customHeight="1" s="12"/>
    <row r="2716" ht="15" customHeight="1" s="12"/>
    <row r="2717" ht="15" customHeight="1" s="12"/>
    <row r="2718" ht="15" customHeight="1" s="12"/>
    <row r="2719" ht="15" customHeight="1" s="12"/>
    <row r="2720" ht="15" customHeight="1" s="12"/>
    <row r="2721" ht="15" customHeight="1" s="12"/>
    <row r="2722" ht="15" customHeight="1" s="12"/>
    <row r="2723" ht="15" customHeight="1" s="12"/>
    <row r="2724" ht="15" customHeight="1" s="12"/>
    <row r="2725" ht="15" customHeight="1" s="12"/>
    <row r="2726" ht="15" customHeight="1" s="12"/>
    <row r="2727" ht="15" customHeight="1" s="12"/>
    <row r="2728" ht="15" customHeight="1" s="12"/>
    <row r="2729" ht="15" customHeight="1" s="12"/>
    <row r="2730" ht="15" customHeight="1" s="12"/>
    <row r="2731" ht="15" customHeight="1" s="12"/>
    <row r="2732" ht="15" customHeight="1" s="12"/>
    <row r="2733" ht="15" customHeight="1" s="12"/>
    <row r="2734" ht="15" customHeight="1" s="12"/>
    <row r="2735" ht="15" customHeight="1" s="12"/>
    <row r="2736" ht="15" customHeight="1" s="12"/>
    <row r="2737" ht="15" customHeight="1" s="12"/>
    <row r="2738" ht="15" customHeight="1" s="12"/>
    <row r="2739" ht="15" customHeight="1" s="12"/>
    <row r="2740" ht="15" customHeight="1" s="12"/>
    <row r="2741" ht="15" customHeight="1" s="12"/>
    <row r="2742" ht="15" customHeight="1" s="12"/>
    <row r="2743" ht="15" customHeight="1" s="12"/>
    <row r="2744" ht="15" customHeight="1" s="12"/>
    <row r="2745" ht="15" customHeight="1" s="12"/>
    <row r="2746" ht="15" customHeight="1" s="12"/>
    <row r="2747" ht="15" customHeight="1" s="12"/>
    <row r="2748" ht="15" customHeight="1" s="12"/>
    <row r="2749" ht="15" customHeight="1" s="12"/>
    <row r="2750" ht="15" customHeight="1" s="12"/>
    <row r="2751" ht="15" customHeight="1" s="12"/>
    <row r="2752" ht="15" customHeight="1" s="12"/>
    <row r="2753" ht="15" customHeight="1" s="12"/>
    <row r="2754" ht="15" customHeight="1" s="12"/>
    <row r="2755" ht="15" customHeight="1" s="12"/>
    <row r="2756" ht="15" customHeight="1" s="12"/>
    <row r="2757" ht="15" customHeight="1" s="12"/>
    <row r="2758" ht="15" customHeight="1" s="12"/>
    <row r="2759" ht="15" customHeight="1" s="12"/>
    <row r="2760" ht="15" customHeight="1" s="12"/>
    <row r="2761" ht="15" customHeight="1" s="12"/>
    <row r="2762" ht="15" customHeight="1" s="12"/>
    <row r="2763" ht="15" customHeight="1" s="12"/>
    <row r="2764" ht="15" customHeight="1" s="12"/>
    <row r="2765" ht="15" customHeight="1" s="12"/>
    <row r="2766" ht="15" customHeight="1" s="12"/>
    <row r="2767" ht="15" customHeight="1" s="12"/>
    <row r="2768" ht="15" customHeight="1" s="12"/>
    <row r="2769" ht="15" customHeight="1" s="12"/>
    <row r="2770" ht="15" customHeight="1" s="12"/>
    <row r="2771" ht="15" customHeight="1" s="12"/>
    <row r="2772" ht="15" customHeight="1" s="12"/>
    <row r="2773" ht="15" customHeight="1" s="12"/>
    <row r="2774" ht="15" customHeight="1" s="12"/>
    <row r="2775" ht="15" customHeight="1" s="12"/>
    <row r="2776" ht="15" customHeight="1" s="12"/>
    <row r="2777" ht="15" customHeight="1" s="12"/>
    <row r="2778" ht="15" customHeight="1" s="12"/>
    <row r="2779" ht="15" customHeight="1" s="12"/>
    <row r="2780" ht="15" customHeight="1" s="12"/>
    <row r="2781" ht="15" customHeight="1" s="12"/>
    <row r="2782" ht="15" customHeight="1" s="12"/>
    <row r="2783" ht="15" customHeight="1" s="12"/>
    <row r="2784" ht="15" customHeight="1" s="12"/>
    <row r="2785" ht="15" customHeight="1" s="12"/>
    <row r="2786" ht="15" customHeight="1" s="12"/>
    <row r="2787" ht="15" customHeight="1" s="12"/>
    <row r="2788" ht="15" customHeight="1" s="12"/>
    <row r="2789" ht="15" customHeight="1" s="12"/>
    <row r="2790" ht="15" customHeight="1" s="12"/>
    <row r="2791" ht="15" customHeight="1" s="12"/>
    <row r="2792" ht="15" customHeight="1" s="12"/>
    <row r="2793" ht="15" customHeight="1" s="12"/>
    <row r="2794" ht="15" customHeight="1" s="12"/>
    <row r="2795" ht="15" customHeight="1" s="12"/>
    <row r="2796" ht="15" customHeight="1" s="12"/>
    <row r="2797" ht="15" customHeight="1" s="12"/>
    <row r="2798" ht="15" customHeight="1" s="12"/>
    <row r="2799" ht="15" customHeight="1" s="12"/>
    <row r="2800" ht="15" customHeight="1" s="12"/>
    <row r="2801" ht="15" customHeight="1" s="12"/>
    <row r="2802" ht="15" customHeight="1" s="12"/>
    <row r="2803" ht="15" customHeight="1" s="12"/>
    <row r="2804" ht="15" customHeight="1" s="12"/>
    <row r="2805" ht="15" customHeight="1" s="12"/>
    <row r="2806" ht="15" customHeight="1" s="12"/>
    <row r="2807" ht="15" customHeight="1" s="12"/>
    <row r="2808" ht="15" customHeight="1" s="12"/>
    <row r="2809" ht="15" customHeight="1" s="12"/>
    <row r="2810" ht="15" customHeight="1" s="12"/>
    <row r="2811" ht="15" customHeight="1" s="12"/>
    <row r="2812" ht="15" customHeight="1" s="12"/>
    <row r="2813" ht="15" customHeight="1" s="12"/>
    <row r="2814" ht="15" customHeight="1" s="12"/>
    <row r="2815" ht="15" customHeight="1" s="12"/>
    <row r="2816" ht="15" customHeight="1" s="12"/>
    <row r="2817" ht="15" customHeight="1" s="12"/>
    <row r="2818" ht="15" customHeight="1" s="12"/>
    <row r="2819" ht="15" customHeight="1" s="12"/>
    <row r="2820" ht="15" customHeight="1" s="12"/>
    <row r="2821" ht="15" customHeight="1" s="12"/>
    <row r="2822" ht="15" customHeight="1" s="12"/>
    <row r="2823" ht="15" customHeight="1" s="12"/>
    <row r="2824" ht="15" customHeight="1" s="12"/>
    <row r="2825" ht="15" customHeight="1" s="12"/>
    <row r="2826" ht="15" customHeight="1" s="12"/>
    <row r="2827" ht="15" customHeight="1" s="12"/>
    <row r="2828" ht="15" customHeight="1" s="12"/>
    <row r="2829" ht="15" customHeight="1" s="12"/>
    <row r="2830" ht="15" customHeight="1" s="12"/>
    <row r="2831" ht="15" customHeight="1" s="12"/>
    <row r="2832" ht="15" customHeight="1" s="12"/>
    <row r="2833" ht="15" customHeight="1" s="12"/>
    <row r="2834" ht="15" customHeight="1" s="12"/>
    <row r="2835" ht="15" customHeight="1" s="12"/>
    <row r="2836" ht="15" customHeight="1" s="12"/>
    <row r="2837" ht="15" customHeight="1" s="12"/>
    <row r="2838" ht="15" customHeight="1" s="12"/>
    <row r="2839" ht="15" customHeight="1" s="12"/>
    <row r="2840" ht="15" customHeight="1" s="12"/>
    <row r="2841" ht="15" customHeight="1" s="12"/>
    <row r="2842" ht="15" customHeight="1" s="12"/>
    <row r="2843" ht="15" customHeight="1" s="12"/>
    <row r="2844" ht="15" customHeight="1" s="12"/>
    <row r="2845" ht="15" customHeight="1" s="12"/>
    <row r="2846" ht="15" customHeight="1" s="12"/>
    <row r="2847" ht="15" customHeight="1" s="12"/>
    <row r="2848" ht="15" customHeight="1" s="12"/>
    <row r="2849" ht="15" customHeight="1" s="12"/>
    <row r="2850" ht="15" customHeight="1" s="12"/>
    <row r="2851" ht="15" customHeight="1" s="12"/>
    <row r="2852" ht="15" customHeight="1" s="12"/>
    <row r="2853" ht="15" customHeight="1" s="12"/>
    <row r="2854" ht="15" customHeight="1" s="12"/>
    <row r="2855" ht="15" customHeight="1" s="12"/>
    <row r="2856" ht="15" customHeight="1" s="12"/>
    <row r="2857" ht="15" customHeight="1" s="12"/>
    <row r="2858" ht="15" customHeight="1" s="12"/>
    <row r="2859" ht="15" customHeight="1" s="12"/>
    <row r="2860" ht="15" customHeight="1" s="12"/>
    <row r="2861" ht="15" customHeight="1" s="12"/>
    <row r="2862" ht="15" customHeight="1" s="12"/>
    <row r="2863" ht="15" customHeight="1" s="12"/>
    <row r="2864" ht="15" customHeight="1" s="12"/>
    <row r="2865" ht="15" customHeight="1" s="12"/>
    <row r="2866" ht="15" customHeight="1" s="12"/>
    <row r="2867" ht="15" customHeight="1" s="12"/>
    <row r="2868" ht="15" customHeight="1" s="12"/>
    <row r="2869" ht="15" customHeight="1" s="12"/>
    <row r="2870" ht="15" customHeight="1" s="12"/>
    <row r="2871" ht="15" customHeight="1" s="12"/>
    <row r="2872" ht="15" customHeight="1" s="12"/>
    <row r="2873" ht="15" customHeight="1" s="12"/>
    <row r="2874" ht="15" customHeight="1" s="12"/>
    <row r="2875" ht="15" customHeight="1" s="12"/>
    <row r="2876" ht="15" customHeight="1" s="12"/>
    <row r="2877" ht="15" customHeight="1" s="12"/>
    <row r="2878" ht="15" customHeight="1" s="12"/>
    <row r="2879" ht="15" customHeight="1" s="12"/>
    <row r="2880" ht="15" customHeight="1" s="12"/>
    <row r="2881" ht="15" customHeight="1" s="12"/>
    <row r="2882" ht="15" customHeight="1" s="12"/>
    <row r="2883" ht="15" customHeight="1" s="12"/>
    <row r="2884" ht="15" customHeight="1" s="12"/>
    <row r="2885" ht="15" customHeight="1" s="12"/>
    <row r="2886" ht="15" customHeight="1" s="12"/>
    <row r="2887" ht="15" customHeight="1" s="12"/>
    <row r="2888" ht="15" customHeight="1" s="12"/>
    <row r="2889" ht="15" customHeight="1" s="12"/>
    <row r="2890" ht="15" customHeight="1" s="12"/>
    <row r="2891" ht="15" customHeight="1" s="12"/>
    <row r="2892" ht="15" customHeight="1" s="12"/>
    <row r="2893" ht="15" customHeight="1" s="12"/>
    <row r="2894" ht="15" customHeight="1" s="12"/>
    <row r="2895" ht="15" customHeight="1" s="12"/>
    <row r="2896" ht="15" customHeight="1" s="12"/>
    <row r="2897" ht="15" customHeight="1" s="12"/>
    <row r="2898" ht="15" customHeight="1" s="12"/>
    <row r="2899" ht="15" customHeight="1" s="12"/>
    <row r="2900" ht="15" customHeight="1" s="12"/>
    <row r="2901" ht="15" customHeight="1" s="12"/>
    <row r="2902" ht="15" customHeight="1" s="12"/>
    <row r="2903" ht="15" customHeight="1" s="12"/>
    <row r="2904" ht="15" customHeight="1" s="12"/>
    <row r="2905" ht="15" customHeight="1" s="12"/>
    <row r="2906" ht="15" customHeight="1" s="12"/>
    <row r="2907" ht="15" customHeight="1" s="12"/>
    <row r="2908" ht="15" customHeight="1" s="12"/>
    <row r="2909" ht="15" customHeight="1" s="12"/>
    <row r="2910" ht="15" customHeight="1" s="12"/>
    <row r="2911" ht="15" customHeight="1" s="12"/>
    <row r="2912" ht="15" customHeight="1" s="12"/>
    <row r="2913" ht="15" customHeight="1" s="12"/>
    <row r="2914" ht="15" customHeight="1" s="12"/>
    <row r="2915" ht="15" customHeight="1" s="12"/>
    <row r="2916" ht="15" customHeight="1" s="12"/>
    <row r="2917" ht="15" customHeight="1" s="12"/>
    <row r="2918" ht="15" customHeight="1" s="12"/>
    <row r="2919" ht="15" customHeight="1" s="12"/>
    <row r="2920" ht="15" customHeight="1" s="12"/>
    <row r="2921" ht="15" customHeight="1" s="12"/>
    <row r="2922" ht="15" customHeight="1" s="12"/>
    <row r="2923" ht="15" customHeight="1" s="12"/>
    <row r="2924" ht="15" customHeight="1" s="12"/>
    <row r="2925" ht="15" customHeight="1" s="12"/>
    <row r="2926" ht="15" customHeight="1" s="12"/>
    <row r="2927" ht="15" customHeight="1" s="12"/>
    <row r="2928" ht="15" customHeight="1" s="12"/>
    <row r="2929" ht="15" customHeight="1" s="12"/>
    <row r="2930" ht="15" customHeight="1" s="12"/>
    <row r="2931" ht="15" customHeight="1" s="12"/>
    <row r="2932" ht="15" customHeight="1" s="12"/>
    <row r="2933" ht="15" customHeight="1" s="12"/>
    <row r="2934" ht="15" customHeight="1" s="12"/>
    <row r="2935" ht="15" customHeight="1" s="12"/>
    <row r="2936" ht="15" customHeight="1" s="12"/>
    <row r="2937" ht="15" customHeight="1" s="12"/>
    <row r="2938" ht="15" customHeight="1" s="12"/>
    <row r="2939" ht="15" customHeight="1" s="12"/>
    <row r="2940" ht="15" customHeight="1" s="12"/>
    <row r="2941" ht="15" customHeight="1" s="12"/>
    <row r="2942" ht="15" customHeight="1" s="12"/>
    <row r="2943" ht="15" customHeight="1" s="12"/>
    <row r="2944" ht="15" customHeight="1" s="12"/>
    <row r="2945" ht="15" customHeight="1" s="12"/>
    <row r="2946" ht="15" customHeight="1" s="12"/>
    <row r="2947" ht="15" customHeight="1" s="12"/>
    <row r="2948" ht="15" customHeight="1" s="12"/>
    <row r="2949" ht="15" customHeight="1" s="12"/>
    <row r="2950" ht="15" customHeight="1" s="12"/>
    <row r="2951" ht="15" customHeight="1" s="12"/>
    <row r="2952" ht="15" customHeight="1" s="12"/>
    <row r="2953" ht="15" customHeight="1" s="12"/>
    <row r="2954" ht="15" customHeight="1" s="12"/>
    <row r="2955" ht="15" customHeight="1" s="12"/>
    <row r="2956" ht="15" customHeight="1" s="12"/>
    <row r="2957" ht="15" customHeight="1" s="12"/>
    <row r="2958" ht="15" customHeight="1" s="12"/>
    <row r="2959" ht="15" customHeight="1" s="12"/>
    <row r="2960" ht="15" customHeight="1" s="12"/>
    <row r="2961" ht="15" customHeight="1" s="12"/>
    <row r="2962" ht="15" customHeight="1" s="12"/>
    <row r="2963" ht="15" customHeight="1" s="12"/>
    <row r="2964" ht="15" customHeight="1" s="12"/>
    <row r="2965" ht="15" customHeight="1" s="12"/>
    <row r="2966" ht="15" customHeight="1" s="12"/>
    <row r="2967" ht="15" customHeight="1" s="12"/>
    <row r="2968" ht="15" customHeight="1" s="12"/>
    <row r="2969" ht="15" customHeight="1" s="12"/>
    <row r="2970" ht="15" customHeight="1" s="12"/>
    <row r="2971" ht="15" customHeight="1" s="12"/>
    <row r="2972" ht="15" customHeight="1" s="12"/>
    <row r="2973" ht="15" customHeight="1" s="12"/>
    <row r="2974" ht="15" customHeight="1" s="12"/>
    <row r="2975" ht="15" customHeight="1" s="12"/>
    <row r="2976" ht="15" customHeight="1" s="12"/>
    <row r="2977" ht="15" customHeight="1" s="12"/>
    <row r="2978" ht="15" customHeight="1" s="12"/>
    <row r="2979" ht="15" customHeight="1" s="12"/>
    <row r="2980" ht="15" customHeight="1" s="12"/>
    <row r="2981" ht="15" customHeight="1" s="12"/>
    <row r="2982" ht="15" customHeight="1" s="12"/>
    <row r="2983" ht="15" customHeight="1" s="12"/>
    <row r="2984" ht="15" customHeight="1" s="12"/>
    <row r="2985" ht="15" customHeight="1" s="12"/>
    <row r="2986" ht="15" customHeight="1" s="12"/>
    <row r="2987" ht="15" customHeight="1" s="12"/>
    <row r="2988" ht="15" customHeight="1" s="12"/>
    <row r="2989" ht="15" customHeight="1" s="12"/>
    <row r="2990" ht="15" customHeight="1" s="12"/>
    <row r="2991" ht="15" customHeight="1" s="12"/>
    <row r="2992" ht="15" customHeight="1" s="12"/>
    <row r="2993" ht="15" customHeight="1" s="12"/>
    <row r="2994" ht="15" customHeight="1" s="12"/>
    <row r="2995" ht="15" customHeight="1" s="12"/>
    <row r="2996" ht="15" customHeight="1" s="12"/>
    <row r="2997" ht="15" customHeight="1" s="12"/>
    <row r="2998" ht="15" customHeight="1" s="12"/>
    <row r="2999" ht="15" customHeight="1" s="12"/>
    <row r="3000" ht="15" customHeight="1" s="12"/>
    <row r="3001" ht="15" customHeight="1" s="12"/>
    <row r="3002" ht="15" customHeight="1" s="12"/>
    <row r="3003" ht="15" customHeight="1" s="12"/>
    <row r="3004" ht="15" customHeight="1" s="12"/>
    <row r="3005" ht="15" customHeight="1" s="12"/>
    <row r="3006" ht="15" customHeight="1" s="12"/>
    <row r="3007" ht="15" customHeight="1" s="12"/>
    <row r="3008" ht="15" customHeight="1" s="12"/>
    <row r="3009" ht="15" customHeight="1" s="12"/>
    <row r="3010" ht="15" customHeight="1" s="12"/>
    <row r="3011" ht="15" customHeight="1" s="12"/>
    <row r="3012" ht="15" customHeight="1" s="12"/>
    <row r="3013" ht="15" customHeight="1" s="12"/>
    <row r="3014" ht="15" customHeight="1" s="12"/>
    <row r="3015" ht="15" customHeight="1" s="12"/>
    <row r="3016" ht="15" customHeight="1" s="12"/>
    <row r="3017" ht="15" customHeight="1" s="12"/>
    <row r="3018" ht="15" customHeight="1" s="12"/>
    <row r="3019" ht="15" customHeight="1" s="12"/>
    <row r="3020" ht="15" customHeight="1" s="12"/>
    <row r="3021" ht="15" customHeight="1" s="12"/>
    <row r="3022" ht="15" customHeight="1" s="12"/>
    <row r="3023" ht="15" customHeight="1" s="12"/>
    <row r="3024" ht="15" customHeight="1" s="12"/>
    <row r="3025" ht="15" customHeight="1" s="12"/>
    <row r="3026" ht="15" customHeight="1" s="12"/>
    <row r="3027" ht="15" customHeight="1" s="12"/>
    <row r="3028" ht="15" customHeight="1" s="12"/>
    <row r="3029" ht="15" customHeight="1" s="12"/>
    <row r="3030" ht="15" customHeight="1" s="12"/>
    <row r="3031" ht="15" customHeight="1" s="12"/>
    <row r="3032" ht="15" customHeight="1" s="12"/>
    <row r="3033" ht="15" customHeight="1" s="12"/>
    <row r="3034" ht="15" customHeight="1" s="12"/>
    <row r="3035" ht="15" customHeight="1" s="12"/>
    <row r="3036" ht="15" customHeight="1" s="12"/>
    <row r="3037" ht="15" customHeight="1" s="12"/>
    <row r="3038" ht="15" customHeight="1" s="12"/>
    <row r="3039" ht="15" customHeight="1" s="12"/>
    <row r="3040" ht="15" customHeight="1" s="12"/>
    <row r="3041" ht="15" customHeight="1" s="12"/>
    <row r="3042" ht="15" customHeight="1" s="12"/>
    <row r="3043" ht="15" customHeight="1" s="12"/>
    <row r="3044" ht="15" customHeight="1" s="12"/>
    <row r="3045" ht="15" customHeight="1" s="12"/>
    <row r="3046" ht="15" customHeight="1" s="12"/>
    <row r="3047" ht="15" customHeight="1" s="12"/>
    <row r="3048" ht="15" customHeight="1" s="12"/>
    <row r="3049" ht="15" customHeight="1" s="12"/>
    <row r="3050" ht="15" customHeight="1" s="12"/>
    <row r="3051" ht="15" customHeight="1" s="12"/>
    <row r="3052" ht="15" customHeight="1" s="12"/>
    <row r="3053" ht="15" customHeight="1" s="12"/>
    <row r="3054" ht="15" customHeight="1" s="12"/>
    <row r="3055" ht="15" customHeight="1" s="12"/>
    <row r="3056" ht="15" customHeight="1" s="12"/>
    <row r="3057" ht="15" customHeight="1" s="12"/>
    <row r="3058" ht="15" customHeight="1" s="12"/>
    <row r="3059" ht="15" customHeight="1" s="12"/>
    <row r="3060" ht="15" customHeight="1" s="12"/>
    <row r="3061" ht="15" customHeight="1" s="12"/>
    <row r="3062" ht="15" customHeight="1" s="12"/>
    <row r="3063" ht="15" customHeight="1" s="12"/>
    <row r="3064" ht="15" customHeight="1" s="12"/>
    <row r="3065" ht="15" customHeight="1" s="12"/>
    <row r="3066" ht="15" customHeight="1" s="12"/>
    <row r="3067" ht="15" customHeight="1" s="12"/>
    <row r="3068" ht="15" customHeight="1" s="12"/>
    <row r="3069" ht="15" customHeight="1" s="12"/>
    <row r="3070" ht="15" customHeight="1" s="12"/>
    <row r="3071" ht="15" customHeight="1" s="12"/>
    <row r="3072" ht="15" customHeight="1" s="12"/>
    <row r="3073" ht="15" customHeight="1" s="12"/>
    <row r="3074" ht="15" customHeight="1" s="12"/>
    <row r="3075" ht="15" customHeight="1" s="12"/>
    <row r="3076" ht="15" customHeight="1" s="12"/>
    <row r="3077" ht="15" customHeight="1" s="12"/>
    <row r="3078" ht="15" customHeight="1" s="12"/>
    <row r="3079" ht="15" customHeight="1" s="12"/>
    <row r="3080" ht="15" customHeight="1" s="12"/>
    <row r="3081" ht="15" customHeight="1" s="12"/>
    <row r="3082" ht="15" customHeight="1" s="12"/>
    <row r="3083" ht="15" customHeight="1" s="12"/>
    <row r="3084" ht="15" customHeight="1" s="12"/>
    <row r="3085" ht="15" customHeight="1" s="12"/>
    <row r="3086" ht="15" customHeight="1" s="12"/>
    <row r="3087" ht="15" customHeight="1" s="12"/>
    <row r="3088" ht="15" customHeight="1" s="12"/>
    <row r="3089" ht="15" customHeight="1" s="12"/>
    <row r="3090" ht="15" customHeight="1" s="12"/>
    <row r="3091" ht="15" customHeight="1" s="12"/>
    <row r="3092" ht="15" customHeight="1" s="12"/>
    <row r="3093" ht="15" customHeight="1" s="12"/>
    <row r="3094" ht="15" customHeight="1" s="12"/>
    <row r="3095" ht="15" customHeight="1" s="12"/>
    <row r="3096" ht="15" customHeight="1" s="12"/>
    <row r="3097" ht="15" customHeight="1" s="12"/>
    <row r="3098" ht="15" customHeight="1" s="12"/>
    <row r="3099" ht="15" customHeight="1" s="12"/>
    <row r="3100" ht="15" customHeight="1" s="12"/>
    <row r="3101" ht="15" customHeight="1" s="12"/>
    <row r="3102" ht="15" customHeight="1" s="12"/>
    <row r="3103" ht="15" customHeight="1" s="12"/>
    <row r="3104" ht="15" customHeight="1" s="12"/>
    <row r="3105" ht="15" customHeight="1" s="12"/>
    <row r="3106" ht="15" customHeight="1" s="12"/>
    <row r="3107" ht="15" customHeight="1" s="12"/>
    <row r="3108" ht="15" customHeight="1" s="12"/>
    <row r="3109" ht="15" customHeight="1" s="12"/>
    <row r="3110" ht="15" customHeight="1" s="12"/>
    <row r="3111" ht="15" customHeight="1" s="12"/>
    <row r="3112" ht="15" customHeight="1" s="12"/>
    <row r="3113" ht="15" customHeight="1" s="12"/>
    <row r="3114" ht="15" customHeight="1" s="12"/>
    <row r="3115" ht="15" customHeight="1" s="12"/>
    <row r="3116" ht="15" customHeight="1" s="12"/>
    <row r="3117" ht="15" customHeight="1" s="12"/>
    <row r="3118" ht="15" customHeight="1" s="12"/>
    <row r="3119" ht="15" customHeight="1" s="12"/>
    <row r="3120" ht="15" customHeight="1" s="12"/>
    <row r="3121" ht="15" customHeight="1" s="12"/>
    <row r="3122" ht="15" customHeight="1" s="12"/>
    <row r="3123" ht="15" customHeight="1" s="12"/>
    <row r="3124" ht="15" customHeight="1" s="12"/>
    <row r="3125" ht="15" customHeight="1" s="12"/>
    <row r="3126" ht="15" customHeight="1" s="12"/>
    <row r="3127" ht="15" customHeight="1" s="12"/>
    <row r="3128" ht="15" customHeight="1" s="12"/>
    <row r="3129" ht="15" customHeight="1" s="12"/>
    <row r="3130" ht="15" customHeight="1" s="12"/>
    <row r="3131" ht="15" customHeight="1" s="12"/>
    <row r="3132" ht="15" customHeight="1" s="12"/>
    <row r="3133" ht="15" customHeight="1" s="12"/>
    <row r="3134" ht="15" customHeight="1" s="12"/>
    <row r="3135" ht="15" customHeight="1" s="12"/>
    <row r="3136" ht="15" customHeight="1" s="12"/>
    <row r="3137" ht="15" customHeight="1" s="12"/>
    <row r="3138" ht="15" customHeight="1" s="12"/>
    <row r="3139" ht="15" customHeight="1" s="12"/>
    <row r="3140" ht="15" customHeight="1" s="12"/>
    <row r="3141" ht="15" customHeight="1" s="12"/>
    <row r="3142" ht="15" customHeight="1" s="12"/>
    <row r="3143" ht="15" customHeight="1" s="12"/>
    <row r="3144" ht="15" customHeight="1" s="12"/>
    <row r="3145" ht="15" customHeight="1" s="12"/>
    <row r="3146" ht="15" customHeight="1" s="12"/>
    <row r="3147" ht="15" customHeight="1" s="12"/>
    <row r="3148" ht="15" customHeight="1" s="12"/>
    <row r="3149" ht="15" customHeight="1" s="12"/>
    <row r="3150" ht="15" customHeight="1" s="12"/>
    <row r="3151" ht="15" customHeight="1" s="12"/>
    <row r="3152" ht="15" customHeight="1" s="12"/>
    <row r="3153" ht="15" customHeight="1" s="12"/>
    <row r="3154" ht="15" customHeight="1" s="12"/>
    <row r="3155" ht="15" customHeight="1" s="12"/>
    <row r="3156" ht="15" customHeight="1" s="12"/>
    <row r="3157" ht="15" customHeight="1" s="12"/>
    <row r="3158" ht="15" customHeight="1" s="12"/>
    <row r="3159" ht="15" customHeight="1" s="12"/>
    <row r="3160" ht="15" customHeight="1" s="12"/>
    <row r="3161" ht="15" customHeight="1" s="12"/>
    <row r="3162" ht="15" customHeight="1" s="12"/>
    <row r="3163" ht="15" customHeight="1" s="12"/>
    <row r="3164" ht="15" customHeight="1" s="12"/>
    <row r="3165" ht="15" customHeight="1" s="12"/>
    <row r="3166" ht="15" customHeight="1" s="12"/>
    <row r="3167" ht="15" customHeight="1" s="12"/>
    <row r="3168" ht="15" customHeight="1" s="12"/>
    <row r="3169" ht="15" customHeight="1" s="12"/>
    <row r="3170" ht="15" customHeight="1" s="12"/>
    <row r="3171" ht="15" customHeight="1" s="12"/>
    <row r="3172" ht="15" customHeight="1" s="12"/>
    <row r="3173" ht="15" customHeight="1" s="12"/>
    <row r="3174" ht="15" customHeight="1" s="12"/>
    <row r="3175" ht="15" customHeight="1" s="12"/>
    <row r="3176" ht="15" customHeight="1" s="12"/>
    <row r="3177" ht="15" customHeight="1" s="12"/>
    <row r="3178" ht="15" customHeight="1" s="12"/>
    <row r="3179" ht="15" customHeight="1" s="12"/>
    <row r="3180" ht="15" customHeight="1" s="12"/>
    <row r="3181" ht="15" customHeight="1" s="12"/>
    <row r="3182" ht="15" customHeight="1" s="12"/>
    <row r="3183" ht="15" customHeight="1" s="12"/>
    <row r="3184" ht="15" customHeight="1" s="12"/>
    <row r="3185" ht="15" customHeight="1" s="12"/>
    <row r="3186" ht="15" customHeight="1" s="12"/>
    <row r="3187" ht="15" customHeight="1" s="12"/>
    <row r="3188" ht="15" customHeight="1" s="12"/>
    <row r="3189" ht="15" customHeight="1" s="12"/>
    <row r="3190" ht="15" customHeight="1" s="12"/>
    <row r="3191" ht="15" customHeight="1" s="12"/>
    <row r="3192" ht="15" customHeight="1" s="12"/>
    <row r="3193" ht="15" customHeight="1" s="12"/>
    <row r="3194" ht="15" customHeight="1" s="12"/>
    <row r="3195" ht="15" customHeight="1" s="12"/>
    <row r="3196" ht="15" customHeight="1" s="12"/>
    <row r="3197" ht="15" customHeight="1" s="12"/>
    <row r="3198" ht="15" customHeight="1" s="12"/>
    <row r="3199" ht="15" customHeight="1" s="12"/>
    <row r="3200" ht="15" customHeight="1" s="12"/>
    <row r="3201" ht="15" customHeight="1" s="12"/>
    <row r="3202" ht="15" customHeight="1" s="12"/>
    <row r="3203" ht="15" customHeight="1" s="12"/>
    <row r="3204" ht="15" customHeight="1" s="12"/>
    <row r="3205" ht="15" customHeight="1" s="12"/>
    <row r="3206" ht="15" customHeight="1" s="12"/>
    <row r="3207" ht="15" customHeight="1" s="12"/>
    <row r="3208" ht="15" customHeight="1" s="12"/>
    <row r="3209" ht="15" customHeight="1" s="12"/>
    <row r="3210" ht="15" customHeight="1" s="12"/>
    <row r="3211" ht="15" customHeight="1" s="12"/>
    <row r="3212" ht="15" customHeight="1" s="12"/>
    <row r="3213" ht="15" customHeight="1" s="12"/>
    <row r="3214" ht="15" customHeight="1" s="12"/>
    <row r="3215" ht="15" customHeight="1" s="12"/>
    <row r="3216" ht="15" customHeight="1" s="12"/>
    <row r="3217" ht="15" customHeight="1" s="12"/>
    <row r="3218" ht="15" customHeight="1" s="12"/>
    <row r="3219" ht="15" customHeight="1" s="12"/>
    <row r="3220" ht="15" customHeight="1" s="12"/>
    <row r="3221" ht="15" customHeight="1" s="12"/>
    <row r="3222" ht="15" customHeight="1" s="12"/>
    <row r="3223" ht="15" customHeight="1" s="12"/>
    <row r="3224" ht="15" customHeight="1" s="12"/>
    <row r="3225" ht="15" customHeight="1" s="12"/>
    <row r="3226" ht="15" customHeight="1" s="12"/>
    <row r="3227" ht="15" customHeight="1" s="12"/>
    <row r="3228" ht="15" customHeight="1" s="12"/>
    <row r="3229" ht="15" customHeight="1" s="12"/>
    <row r="3230" ht="15" customHeight="1" s="12"/>
    <row r="3231" ht="15" customHeight="1" s="12"/>
    <row r="3232" ht="15" customHeight="1" s="12"/>
    <row r="3233" ht="15" customHeight="1" s="12"/>
    <row r="3234" ht="15" customHeight="1" s="12"/>
    <row r="3235" ht="15" customHeight="1" s="12"/>
    <row r="3236" ht="15" customHeight="1" s="12"/>
    <row r="3237" ht="15" customHeight="1" s="12"/>
    <row r="3238" ht="15" customHeight="1" s="12"/>
    <row r="3239" ht="15" customHeight="1" s="12"/>
    <row r="3240" ht="15" customHeight="1" s="12"/>
    <row r="3241" ht="15" customHeight="1" s="12"/>
    <row r="3242" ht="15" customHeight="1" s="12"/>
    <row r="3243" ht="15" customHeight="1" s="12"/>
    <row r="3244" ht="15" customHeight="1" s="12"/>
    <row r="3245" ht="15" customHeight="1" s="12"/>
    <row r="3246" ht="15" customHeight="1" s="12"/>
    <row r="3247" ht="15" customHeight="1" s="12"/>
    <row r="3248" ht="15" customHeight="1" s="12"/>
    <row r="3249" ht="15" customHeight="1" s="12"/>
    <row r="3250" ht="15" customHeight="1" s="12"/>
    <row r="3251" ht="15" customHeight="1" s="12"/>
    <row r="3252" ht="15" customHeight="1" s="12"/>
    <row r="3253" ht="15" customHeight="1" s="12"/>
    <row r="3254" ht="15" customHeight="1" s="12"/>
    <row r="3255" ht="15" customHeight="1" s="12"/>
    <row r="3256" ht="15" customHeight="1" s="12"/>
    <row r="3257" ht="15" customHeight="1" s="12"/>
    <row r="3258" ht="15" customHeight="1" s="12"/>
    <row r="3259" ht="15" customHeight="1" s="12"/>
    <row r="3260" ht="15" customHeight="1" s="12"/>
    <row r="3261" ht="15" customHeight="1" s="12"/>
    <row r="3262" ht="15" customHeight="1" s="12"/>
    <row r="3263" ht="15" customHeight="1" s="12"/>
    <row r="3264" ht="15" customHeight="1" s="12"/>
    <row r="3265" ht="15" customHeight="1" s="12"/>
    <row r="3266" ht="15" customHeight="1" s="12"/>
    <row r="3267" ht="15" customHeight="1" s="12"/>
    <row r="3268" ht="15" customHeight="1" s="12"/>
    <row r="3269" ht="15" customHeight="1" s="12"/>
    <row r="3270" ht="15" customHeight="1" s="12"/>
    <row r="3271" ht="15" customHeight="1" s="12"/>
    <row r="3272" ht="15" customHeight="1" s="12"/>
    <row r="3273" ht="15" customHeight="1" s="12"/>
    <row r="3274" ht="15" customHeight="1" s="12"/>
    <row r="3275" ht="15" customHeight="1" s="12"/>
    <row r="3276" ht="15" customHeight="1" s="12"/>
    <row r="3277" ht="15" customHeight="1" s="12"/>
    <row r="3278" ht="15" customHeight="1" s="12"/>
    <row r="3279" ht="15" customHeight="1" s="12"/>
    <row r="3280" ht="15" customHeight="1" s="12"/>
    <row r="3281" ht="15" customHeight="1" s="12"/>
    <row r="3282" ht="15" customHeight="1" s="12"/>
    <row r="3283" ht="15" customHeight="1" s="12"/>
    <row r="3284" ht="15" customHeight="1" s="12"/>
    <row r="3285" ht="15" customHeight="1" s="12"/>
    <row r="3286" ht="15" customHeight="1" s="12"/>
    <row r="3287" ht="15" customHeight="1" s="12"/>
    <row r="3288" ht="15" customHeight="1" s="12"/>
    <row r="3289" ht="15" customHeight="1" s="12"/>
    <row r="3290" ht="15" customHeight="1" s="12"/>
    <row r="3291" ht="15" customHeight="1" s="12"/>
    <row r="3292" ht="15" customHeight="1" s="12"/>
    <row r="3293" ht="15" customHeight="1" s="12"/>
    <row r="3294" ht="15" customHeight="1" s="12"/>
    <row r="3295" ht="15" customHeight="1" s="12"/>
    <row r="3296" ht="15" customHeight="1" s="12"/>
    <row r="3297" ht="15" customHeight="1" s="12"/>
    <row r="3298" ht="15" customHeight="1" s="12"/>
    <row r="3299" ht="15" customHeight="1" s="12"/>
    <row r="3300" ht="15" customHeight="1" s="12"/>
    <row r="3301" ht="15" customHeight="1" s="12"/>
    <row r="3302" ht="15" customHeight="1" s="12"/>
    <row r="3303" ht="15" customHeight="1" s="12"/>
    <row r="3304" ht="15" customHeight="1" s="12"/>
    <row r="3305" ht="15" customHeight="1" s="12"/>
    <row r="3306" ht="15" customHeight="1" s="12"/>
    <row r="3307" ht="15" customHeight="1" s="12"/>
    <row r="3308" ht="15" customHeight="1" s="12"/>
    <row r="3309" ht="15" customHeight="1" s="12"/>
    <row r="3310" ht="15" customHeight="1" s="12"/>
    <row r="3311" ht="15" customHeight="1" s="12"/>
    <row r="3312" ht="15" customHeight="1" s="12"/>
    <row r="3313" ht="15" customHeight="1" s="12"/>
    <row r="3314" ht="15" customHeight="1" s="12"/>
    <row r="3315" ht="15" customHeight="1" s="12"/>
    <row r="3316" ht="15" customHeight="1" s="12"/>
    <row r="3317" ht="15" customHeight="1" s="12"/>
    <row r="3318" ht="15" customHeight="1" s="12"/>
    <row r="3319" ht="15" customHeight="1" s="12"/>
    <row r="3320" ht="15" customHeight="1" s="12"/>
    <row r="3321" ht="15" customHeight="1" s="12"/>
    <row r="3322" ht="15" customHeight="1" s="12"/>
    <row r="3323" ht="15" customHeight="1" s="12"/>
    <row r="3324" ht="15" customHeight="1" s="12"/>
    <row r="3325" ht="15" customHeight="1" s="12"/>
    <row r="3326" ht="15" customHeight="1" s="12"/>
    <row r="3327" ht="15" customHeight="1" s="12"/>
    <row r="3328" ht="15" customHeight="1" s="12"/>
    <row r="3329" ht="15" customHeight="1" s="12"/>
    <row r="3330" ht="15" customHeight="1" s="12"/>
    <row r="3331" ht="15" customHeight="1" s="12"/>
    <row r="3332" ht="15" customHeight="1" s="12"/>
    <row r="3333" ht="15" customHeight="1" s="12"/>
    <row r="3334" ht="15" customHeight="1" s="12"/>
    <row r="3335" ht="15" customHeight="1" s="12"/>
    <row r="3336" ht="15" customHeight="1" s="12"/>
    <row r="3337" ht="15" customHeight="1" s="12"/>
    <row r="3338" ht="15" customHeight="1" s="12"/>
    <row r="3339" ht="15" customHeight="1" s="12"/>
    <row r="3340" ht="15" customHeight="1" s="12"/>
    <row r="3341" ht="15" customHeight="1" s="12"/>
    <row r="3342" ht="15" customHeight="1" s="12"/>
    <row r="3343" ht="15" customHeight="1" s="12"/>
    <row r="3344" ht="15" customHeight="1" s="12"/>
    <row r="3345" ht="15" customHeight="1" s="12"/>
    <row r="3346" ht="15" customHeight="1" s="12"/>
    <row r="3347" ht="15" customHeight="1" s="12"/>
    <row r="3348" ht="15" customHeight="1" s="12"/>
    <row r="3349" ht="15" customHeight="1" s="12"/>
    <row r="3350" ht="15" customHeight="1" s="12"/>
    <row r="3351" ht="15" customHeight="1" s="12"/>
    <row r="3352" ht="15" customHeight="1" s="12"/>
    <row r="3353" ht="15" customHeight="1" s="12"/>
    <row r="3354" ht="15" customHeight="1" s="12"/>
    <row r="3355" ht="15" customHeight="1" s="12"/>
    <row r="3356" ht="15" customHeight="1" s="12"/>
    <row r="3357" ht="15" customHeight="1" s="12"/>
    <row r="3358" ht="15" customHeight="1" s="12"/>
    <row r="3359" ht="15" customHeight="1" s="12"/>
    <row r="3360" ht="15" customHeight="1" s="12"/>
    <row r="3361" ht="15" customHeight="1" s="12"/>
    <row r="3362" ht="15" customHeight="1" s="12"/>
    <row r="3363" ht="15" customHeight="1" s="12"/>
    <row r="3364" ht="15" customHeight="1" s="12"/>
    <row r="3365" ht="15" customHeight="1" s="12"/>
    <row r="3366" ht="15" customHeight="1" s="12"/>
    <row r="3367" ht="15" customHeight="1" s="12"/>
    <row r="3368" ht="15" customHeight="1" s="12"/>
    <row r="3369" ht="15" customHeight="1" s="12"/>
    <row r="3370" ht="15" customHeight="1" s="12"/>
    <row r="3371" ht="15" customHeight="1" s="12"/>
    <row r="3372" ht="15" customHeight="1" s="12"/>
    <row r="3373" ht="15" customHeight="1" s="12"/>
    <row r="3374" ht="15" customHeight="1" s="12"/>
    <row r="3375" ht="15" customHeight="1" s="12"/>
    <row r="3376" ht="15" customHeight="1" s="12"/>
    <row r="3377" ht="15" customHeight="1" s="12"/>
    <row r="3378" ht="15" customHeight="1" s="12"/>
    <row r="3379" ht="15" customHeight="1" s="12"/>
    <row r="3380" ht="15" customHeight="1" s="12"/>
    <row r="3381" ht="15" customHeight="1" s="12"/>
    <row r="3382" ht="15" customHeight="1" s="12"/>
    <row r="3383" ht="15" customHeight="1" s="12"/>
    <row r="3384" ht="15" customHeight="1" s="12"/>
    <row r="3385" ht="15" customHeight="1" s="12"/>
    <row r="3386" ht="15" customHeight="1" s="12"/>
    <row r="3387" ht="15" customHeight="1" s="12"/>
    <row r="3388" ht="15" customHeight="1" s="12"/>
    <row r="3389" ht="15" customHeight="1" s="12"/>
    <row r="3390" ht="15" customHeight="1" s="12"/>
    <row r="3391" ht="15" customHeight="1" s="12"/>
    <row r="3392" ht="15" customHeight="1" s="12"/>
    <row r="3393" ht="15" customHeight="1" s="12"/>
    <row r="3394" ht="15" customHeight="1" s="12"/>
    <row r="3395" ht="15" customHeight="1" s="12"/>
    <row r="3396" ht="15" customHeight="1" s="12"/>
    <row r="3397" ht="15" customHeight="1" s="12"/>
    <row r="3398" ht="15" customHeight="1" s="12"/>
    <row r="3399" ht="15" customHeight="1" s="12"/>
    <row r="3400" ht="15" customHeight="1" s="12"/>
    <row r="3401" ht="15" customHeight="1" s="12"/>
    <row r="3402" ht="15" customHeight="1" s="12"/>
    <row r="3403" ht="15" customHeight="1" s="12"/>
    <row r="3404" ht="15" customHeight="1" s="12"/>
    <row r="3405" ht="15" customHeight="1" s="12"/>
    <row r="3406" ht="15" customHeight="1" s="12"/>
    <row r="3407" ht="15" customHeight="1" s="12"/>
    <row r="3408" ht="15" customHeight="1" s="12"/>
    <row r="3409" ht="15" customHeight="1" s="12"/>
    <row r="3410" ht="15" customHeight="1" s="12"/>
    <row r="3411" ht="15" customHeight="1" s="12"/>
    <row r="3412" ht="15" customHeight="1" s="12"/>
    <row r="3413" ht="15" customHeight="1" s="12"/>
    <row r="3414" ht="15" customHeight="1" s="12"/>
    <row r="3415" ht="15" customHeight="1" s="12"/>
    <row r="3416" ht="15" customHeight="1" s="12"/>
    <row r="3417" ht="15" customHeight="1" s="12"/>
    <row r="3418" ht="15" customHeight="1" s="12"/>
    <row r="3419" ht="15" customHeight="1" s="12"/>
    <row r="3420" ht="15" customHeight="1" s="12"/>
    <row r="3421" ht="15" customHeight="1" s="12"/>
    <row r="3422" ht="15" customHeight="1" s="12"/>
    <row r="3423" ht="15" customHeight="1" s="12"/>
    <row r="3424" ht="15" customHeight="1" s="12"/>
    <row r="3425" ht="15" customHeight="1" s="12"/>
    <row r="3426" ht="15" customHeight="1" s="12"/>
    <row r="3427" ht="15" customHeight="1" s="12"/>
    <row r="3428" ht="15" customHeight="1" s="12"/>
    <row r="3429" ht="15" customHeight="1" s="12"/>
    <row r="3430" ht="15" customHeight="1" s="12"/>
    <row r="3431" ht="15" customHeight="1" s="12"/>
    <row r="3432" ht="15" customHeight="1" s="12"/>
    <row r="3433" ht="15" customHeight="1" s="12"/>
    <row r="3434" ht="15" customHeight="1" s="12"/>
    <row r="3435" ht="15" customHeight="1" s="12"/>
    <row r="3436" ht="15" customHeight="1" s="12"/>
    <row r="3437" ht="15" customHeight="1" s="12"/>
    <row r="3438" ht="15" customHeight="1" s="12"/>
    <row r="3439" ht="15" customHeight="1" s="12"/>
    <row r="3440" ht="15" customHeight="1" s="12"/>
    <row r="3441" ht="15" customHeight="1" s="12"/>
    <row r="3442" ht="15" customHeight="1" s="12"/>
    <row r="3443" ht="15" customHeight="1" s="12"/>
    <row r="3444" ht="15" customHeight="1" s="12"/>
    <row r="3445" ht="15" customHeight="1" s="12"/>
    <row r="3446" ht="15" customHeight="1" s="12"/>
    <row r="3447" ht="15" customHeight="1" s="12"/>
    <row r="3448" ht="15" customHeight="1" s="12"/>
    <row r="3449" ht="15" customHeight="1" s="12"/>
    <row r="3450" ht="15" customHeight="1" s="12"/>
    <row r="3451" ht="15" customHeight="1" s="12"/>
    <row r="3452" ht="15" customHeight="1" s="12"/>
    <row r="3453" ht="15" customHeight="1" s="12"/>
    <row r="3454" ht="15" customHeight="1" s="12"/>
    <row r="3455" ht="15" customHeight="1" s="12"/>
    <row r="3456" ht="15" customHeight="1" s="12"/>
    <row r="3457" ht="15" customHeight="1" s="12"/>
    <row r="3458" ht="15" customHeight="1" s="12"/>
    <row r="3459" ht="15" customHeight="1" s="12"/>
    <row r="3460" ht="15" customHeight="1" s="12"/>
    <row r="3461" ht="15" customHeight="1" s="12"/>
    <row r="3462" ht="15" customHeight="1" s="12"/>
    <row r="3463" ht="15" customHeight="1" s="12"/>
    <row r="3464" ht="15" customHeight="1" s="12"/>
    <row r="3465" ht="15" customHeight="1" s="12"/>
    <row r="3466" ht="15" customHeight="1" s="12"/>
    <row r="3467" ht="15" customHeight="1" s="12"/>
    <row r="3468" ht="15" customHeight="1" s="12"/>
    <row r="3469" ht="15" customHeight="1" s="12"/>
    <row r="3470" ht="15" customHeight="1" s="12"/>
    <row r="3471" ht="15" customHeight="1" s="12"/>
    <row r="3472" ht="15" customHeight="1" s="12"/>
    <row r="3473" ht="15" customHeight="1" s="12"/>
    <row r="3474" ht="15" customHeight="1" s="12"/>
    <row r="3475" ht="15" customHeight="1" s="12"/>
    <row r="3476" ht="15" customHeight="1" s="12"/>
    <row r="3477" ht="15" customHeight="1" s="12"/>
    <row r="3478" ht="15" customHeight="1" s="12"/>
    <row r="3479" ht="15" customHeight="1" s="12"/>
    <row r="3480" ht="15" customHeight="1" s="12"/>
    <row r="3481" ht="15" customHeight="1" s="12"/>
    <row r="3482" ht="15" customHeight="1" s="12"/>
    <row r="3483" ht="15" customHeight="1" s="12"/>
    <row r="3484" ht="15" customHeight="1" s="12"/>
    <row r="3485" ht="15" customHeight="1" s="12"/>
    <row r="3486" ht="15" customHeight="1" s="12"/>
    <row r="3487" ht="15" customHeight="1" s="12"/>
    <row r="3488" ht="15" customHeight="1" s="12"/>
    <row r="3489" ht="15" customHeight="1" s="12"/>
    <row r="3490" ht="15" customHeight="1" s="12"/>
    <row r="3491" ht="15" customHeight="1" s="12"/>
    <row r="3492" ht="15" customHeight="1" s="12"/>
    <row r="3493" ht="15" customHeight="1" s="12"/>
    <row r="3494" ht="15" customHeight="1" s="12"/>
    <row r="3495" ht="15" customHeight="1" s="12"/>
    <row r="3496" ht="15" customHeight="1" s="12"/>
    <row r="3497" ht="15" customHeight="1" s="12"/>
    <row r="3498" ht="15" customHeight="1" s="12"/>
    <row r="3499" ht="15" customHeight="1" s="12"/>
    <row r="3500" ht="15" customHeight="1" s="12"/>
    <row r="3501" ht="15" customHeight="1" s="12"/>
    <row r="3502" ht="15" customHeight="1" s="12"/>
    <row r="3503" ht="15" customHeight="1" s="12"/>
    <row r="3504" ht="15" customHeight="1" s="12"/>
    <row r="3505" ht="15" customHeight="1" s="12"/>
    <row r="3506" ht="15" customHeight="1" s="12"/>
    <row r="3507" ht="15" customHeight="1" s="12"/>
    <row r="3508" ht="15" customHeight="1" s="12"/>
    <row r="3509" ht="15" customHeight="1" s="12"/>
    <row r="3510" ht="15" customHeight="1" s="12"/>
    <row r="3511" ht="15" customHeight="1" s="12"/>
    <row r="3512" ht="15" customHeight="1" s="12"/>
    <row r="3513" ht="15" customHeight="1" s="12"/>
    <row r="3514" ht="15" customHeight="1" s="12"/>
    <row r="3515" ht="15" customHeight="1" s="12"/>
    <row r="3516" ht="15" customHeight="1" s="12"/>
    <row r="3517" ht="15" customHeight="1" s="12"/>
    <row r="3518" ht="15" customHeight="1" s="12"/>
    <row r="3519" ht="15" customHeight="1" s="12"/>
    <row r="3520" ht="15" customHeight="1" s="12"/>
    <row r="3521" ht="15" customHeight="1" s="12"/>
    <row r="3522" ht="15" customHeight="1" s="12"/>
    <row r="3523" ht="15" customHeight="1" s="12"/>
    <row r="3524" ht="15" customHeight="1" s="12"/>
    <row r="3525" ht="15" customHeight="1" s="12"/>
    <row r="3526" ht="15" customHeight="1" s="12"/>
    <row r="3527" ht="15" customHeight="1" s="12"/>
    <row r="3528" ht="15" customHeight="1" s="12"/>
    <row r="3529" ht="15" customHeight="1" s="12"/>
    <row r="3530" ht="15" customHeight="1" s="12"/>
    <row r="3531" ht="15" customHeight="1" s="12"/>
    <row r="3532" ht="15" customHeight="1" s="12"/>
    <row r="3533" ht="15" customHeight="1" s="12"/>
    <row r="3534" ht="15" customHeight="1" s="12"/>
    <row r="3535" ht="15" customHeight="1" s="12"/>
    <row r="3536" ht="15" customHeight="1" s="12"/>
    <row r="3537" ht="15" customHeight="1" s="12"/>
    <row r="3538" ht="15" customHeight="1" s="12"/>
    <row r="3539" ht="15" customHeight="1" s="12"/>
    <row r="3540" ht="15" customHeight="1" s="12"/>
    <row r="3541" ht="15" customHeight="1" s="12"/>
    <row r="3542" ht="15" customHeight="1" s="12"/>
    <row r="3543" ht="15" customHeight="1" s="12"/>
    <row r="3544" ht="15" customHeight="1" s="12"/>
    <row r="3545" ht="15" customHeight="1" s="12"/>
    <row r="3546" ht="15" customHeight="1" s="12"/>
    <row r="3547" ht="15" customHeight="1" s="12"/>
    <row r="3548" ht="15" customHeight="1" s="12"/>
    <row r="3549" ht="15" customHeight="1" s="12"/>
    <row r="3550" ht="15" customHeight="1" s="12"/>
    <row r="3551" ht="15" customHeight="1" s="12"/>
    <row r="3552" ht="15" customHeight="1" s="12"/>
    <row r="3553" ht="15" customHeight="1" s="12"/>
    <row r="3554" ht="15" customHeight="1" s="12"/>
    <row r="3555" ht="15" customHeight="1" s="12"/>
    <row r="3556" ht="15" customHeight="1" s="12"/>
    <row r="3557" ht="15" customHeight="1" s="12"/>
    <row r="3558" ht="15" customHeight="1" s="12"/>
    <row r="3559" ht="15" customHeight="1" s="12"/>
    <row r="3560" ht="15" customHeight="1" s="12"/>
    <row r="3561" ht="15" customHeight="1" s="12"/>
    <row r="3562" ht="15" customHeight="1" s="12"/>
    <row r="3563" ht="15" customHeight="1" s="12"/>
    <row r="3564" ht="15" customHeight="1" s="12"/>
    <row r="3565" ht="15" customHeight="1" s="12"/>
    <row r="3566" ht="15" customHeight="1" s="12"/>
    <row r="3567" ht="15" customHeight="1" s="12"/>
    <row r="3568" ht="15" customHeight="1" s="12"/>
    <row r="3569" ht="15" customHeight="1" s="12"/>
    <row r="3570" ht="15" customHeight="1" s="12"/>
    <row r="3571" ht="15" customHeight="1" s="12"/>
    <row r="3572" ht="15" customHeight="1" s="12"/>
    <row r="3573" ht="15" customHeight="1" s="12"/>
    <row r="3574" ht="15" customHeight="1" s="12"/>
    <row r="3575" ht="15" customHeight="1" s="12"/>
    <row r="3576" ht="15" customHeight="1" s="12"/>
    <row r="3577" ht="15" customHeight="1" s="12"/>
    <row r="3578" ht="15" customHeight="1" s="12"/>
    <row r="3579" ht="15" customHeight="1" s="12"/>
    <row r="3580" ht="15" customHeight="1" s="12"/>
    <row r="3581" ht="15" customHeight="1" s="12"/>
    <row r="3582" ht="15" customHeight="1" s="12"/>
    <row r="3583" ht="15" customHeight="1" s="12"/>
    <row r="3584" ht="15" customHeight="1" s="12"/>
    <row r="3585" ht="15" customHeight="1" s="12"/>
    <row r="3586" ht="15" customHeight="1" s="12"/>
    <row r="3587" ht="15" customHeight="1" s="12"/>
    <row r="3588" ht="15" customHeight="1" s="12"/>
    <row r="3589" ht="15" customHeight="1" s="12"/>
    <row r="3590" ht="15" customHeight="1" s="12"/>
    <row r="3591" ht="15" customHeight="1" s="12"/>
    <row r="3592" ht="15" customHeight="1" s="12"/>
    <row r="3593" ht="15" customHeight="1" s="12"/>
    <row r="3594" ht="15" customHeight="1" s="12"/>
    <row r="3595" ht="15" customHeight="1" s="12"/>
    <row r="3596" ht="15" customHeight="1" s="12"/>
    <row r="3597" ht="15" customHeight="1" s="12"/>
    <row r="3598" ht="15" customHeight="1" s="12"/>
    <row r="3599" ht="15" customHeight="1" s="12"/>
    <row r="3600" ht="15" customHeight="1" s="12"/>
    <row r="3601" ht="15" customHeight="1" s="12"/>
    <row r="3602" ht="15" customHeight="1" s="12"/>
    <row r="3603" ht="15" customHeight="1" s="12"/>
    <row r="3604" ht="15" customHeight="1" s="12"/>
    <row r="3605" ht="15" customHeight="1" s="12"/>
    <row r="3606" ht="15" customHeight="1" s="12"/>
    <row r="3607" ht="15" customHeight="1" s="12"/>
    <row r="3608" ht="15" customHeight="1" s="12"/>
    <row r="3609" ht="15" customHeight="1" s="12"/>
    <row r="3610" ht="15" customHeight="1" s="12"/>
    <row r="3611" ht="15" customHeight="1" s="12"/>
    <row r="3612" ht="15" customHeight="1" s="12"/>
    <row r="3613" ht="15" customHeight="1" s="12"/>
    <row r="3614" ht="15" customHeight="1" s="12"/>
    <row r="3615" ht="15" customHeight="1" s="12"/>
    <row r="3616" ht="15" customHeight="1" s="12"/>
    <row r="3617" ht="15" customHeight="1" s="12"/>
    <row r="3618" ht="15" customHeight="1" s="12"/>
    <row r="3619" ht="15" customHeight="1" s="12"/>
    <row r="3620" ht="15" customHeight="1" s="12"/>
    <row r="3621" ht="15" customHeight="1" s="12"/>
    <row r="3622" ht="15" customHeight="1" s="12"/>
    <row r="3623" ht="15" customHeight="1" s="12"/>
    <row r="3624" ht="15" customHeight="1" s="12"/>
    <row r="3625" ht="15" customHeight="1" s="12"/>
    <row r="3626" ht="15" customHeight="1" s="12"/>
    <row r="3627" ht="15" customHeight="1" s="12"/>
    <row r="3628" ht="15" customHeight="1" s="12"/>
    <row r="3629" ht="15" customHeight="1" s="12"/>
    <row r="3630" ht="15" customHeight="1" s="12"/>
    <row r="3631" ht="15" customHeight="1" s="12"/>
    <row r="3632" ht="15" customHeight="1" s="12"/>
    <row r="3633" ht="15" customHeight="1" s="12"/>
    <row r="3634" ht="15" customHeight="1" s="12"/>
    <row r="3635" ht="15" customHeight="1" s="12"/>
    <row r="3636" ht="15" customHeight="1" s="12"/>
    <row r="3637" ht="15" customHeight="1" s="12"/>
    <row r="3638" ht="15" customHeight="1" s="12"/>
    <row r="3639" ht="15" customHeight="1" s="12"/>
    <row r="3640" ht="15" customHeight="1" s="12"/>
    <row r="3641" ht="15" customHeight="1" s="12"/>
    <row r="3642" ht="15" customHeight="1" s="12"/>
    <row r="3643" ht="15" customHeight="1" s="12"/>
    <row r="3644" ht="15" customHeight="1" s="12"/>
    <row r="3645" ht="15" customHeight="1" s="12"/>
    <row r="3646" ht="15" customHeight="1" s="12"/>
    <row r="3647" ht="15" customHeight="1" s="12"/>
    <row r="3648" ht="15" customHeight="1" s="12"/>
    <row r="3649" ht="15" customHeight="1" s="12"/>
    <row r="3650" ht="15" customHeight="1" s="12"/>
    <row r="3651" ht="15" customHeight="1" s="12"/>
    <row r="3652" ht="15" customHeight="1" s="12"/>
    <row r="3653" ht="15" customHeight="1" s="12"/>
    <row r="3654" ht="15" customHeight="1" s="12"/>
    <row r="3655" ht="15" customHeight="1" s="12"/>
    <row r="3656" ht="15" customHeight="1" s="12"/>
    <row r="3657" ht="15" customHeight="1" s="12"/>
    <row r="3658" ht="15" customHeight="1" s="12"/>
    <row r="3659" ht="15" customHeight="1" s="12"/>
    <row r="3660" ht="15" customHeight="1" s="12"/>
    <row r="3661" ht="15" customHeight="1" s="12"/>
    <row r="3662" ht="15" customHeight="1" s="12"/>
    <row r="3663" ht="15" customHeight="1" s="12"/>
    <row r="3664" ht="15" customHeight="1" s="12"/>
    <row r="3665" ht="15" customHeight="1" s="12"/>
    <row r="3666" ht="15" customHeight="1" s="12"/>
    <row r="3667" ht="15" customHeight="1" s="12"/>
    <row r="3668" ht="15" customHeight="1" s="12"/>
    <row r="3669" ht="15" customHeight="1" s="12"/>
    <row r="3670" ht="15" customHeight="1" s="12"/>
    <row r="3671" ht="15" customHeight="1" s="12"/>
    <row r="3672" ht="15" customHeight="1" s="12"/>
    <row r="3673" ht="15" customHeight="1" s="12"/>
    <row r="3674" ht="15" customHeight="1" s="12"/>
    <row r="3675" ht="15" customHeight="1" s="12"/>
    <row r="3676" ht="15" customHeight="1" s="12"/>
    <row r="3677" ht="15" customHeight="1" s="12"/>
    <row r="3678" ht="15" customHeight="1" s="12"/>
    <row r="3679" ht="15" customHeight="1" s="12"/>
    <row r="3680" ht="15" customHeight="1" s="12"/>
    <row r="3681" ht="15" customHeight="1" s="12"/>
    <row r="3682" ht="15" customHeight="1" s="12"/>
    <row r="3683" ht="15" customHeight="1" s="12"/>
    <row r="3684" ht="15" customHeight="1" s="12"/>
    <row r="3685" ht="15" customHeight="1" s="12"/>
    <row r="3686" ht="15" customHeight="1" s="12"/>
    <row r="3687" ht="15" customHeight="1" s="12"/>
    <row r="3688" ht="15" customHeight="1" s="12"/>
    <row r="3689" ht="15" customHeight="1" s="12"/>
    <row r="3690" ht="15" customHeight="1" s="12"/>
    <row r="3691" ht="15" customHeight="1" s="12"/>
    <row r="3692" ht="15" customHeight="1" s="12"/>
    <row r="3693" ht="15" customHeight="1" s="12"/>
    <row r="3694" ht="15" customHeight="1" s="12"/>
    <row r="3695" ht="15" customHeight="1" s="12"/>
    <row r="3696" ht="15" customHeight="1" s="12"/>
    <row r="3697" ht="15" customHeight="1" s="12"/>
    <row r="3698" ht="15" customHeight="1" s="12"/>
    <row r="3699" ht="15" customHeight="1" s="12"/>
    <row r="3700" ht="15" customHeight="1" s="12"/>
    <row r="3701" ht="15" customHeight="1" s="12"/>
    <row r="3702" ht="15" customHeight="1" s="12"/>
    <row r="3703" ht="15" customHeight="1" s="12"/>
    <row r="3704" ht="15" customHeight="1" s="12"/>
    <row r="3705" ht="15" customHeight="1" s="12"/>
    <row r="3706" ht="15" customHeight="1" s="12"/>
    <row r="3707" ht="15" customHeight="1" s="12"/>
    <row r="3708" ht="15" customHeight="1" s="12"/>
    <row r="3709" ht="15" customHeight="1" s="12"/>
    <row r="3710" ht="15" customHeight="1" s="12"/>
    <row r="3711" ht="15" customHeight="1" s="12"/>
    <row r="3712" ht="15" customHeight="1" s="12"/>
    <row r="3713" ht="15" customHeight="1" s="12"/>
    <row r="3714" ht="15" customHeight="1" s="12"/>
    <row r="3715" ht="15" customHeight="1" s="12"/>
    <row r="3716" ht="15" customHeight="1" s="12"/>
    <row r="3717" ht="15" customHeight="1" s="12"/>
    <row r="3718" ht="15" customHeight="1" s="12"/>
    <row r="3719" ht="15" customHeight="1" s="12"/>
    <row r="3720" ht="15" customHeight="1" s="12"/>
    <row r="3721" ht="15" customHeight="1" s="12"/>
    <row r="3722" ht="15" customHeight="1" s="12"/>
    <row r="3723" ht="15" customHeight="1" s="12"/>
    <row r="3724" ht="15" customHeight="1" s="12"/>
    <row r="3725" ht="15" customHeight="1" s="12"/>
    <row r="3726" ht="15" customHeight="1" s="12"/>
    <row r="3727" ht="15" customHeight="1" s="12"/>
    <row r="3728" ht="15" customHeight="1" s="12"/>
    <row r="3729" ht="15" customHeight="1" s="12"/>
    <row r="3730" ht="15" customHeight="1" s="12"/>
    <row r="3731" ht="15" customHeight="1" s="12"/>
    <row r="3732" ht="15" customHeight="1" s="12"/>
    <row r="3733" ht="15" customHeight="1" s="12"/>
    <row r="3734" ht="15" customHeight="1" s="12"/>
    <row r="3735" ht="15" customHeight="1" s="12"/>
    <row r="3736" ht="15" customHeight="1" s="12"/>
    <row r="3737" ht="15" customHeight="1" s="12"/>
    <row r="3738" ht="15" customHeight="1" s="12"/>
    <row r="3739" ht="15" customHeight="1" s="12"/>
    <row r="3740" ht="15" customHeight="1" s="12"/>
    <row r="3741" ht="15" customHeight="1" s="12"/>
    <row r="3742" ht="15" customHeight="1" s="12"/>
    <row r="3743" ht="15" customHeight="1" s="12"/>
    <row r="3744" ht="15" customHeight="1" s="12"/>
    <row r="3745" ht="15" customHeight="1" s="12"/>
    <row r="3746" ht="15" customHeight="1" s="12"/>
    <row r="3747" ht="15" customHeight="1" s="12"/>
    <row r="3748" ht="15" customHeight="1" s="12"/>
    <row r="3749" ht="15" customHeight="1" s="12"/>
    <row r="3750" ht="15" customHeight="1" s="12"/>
    <row r="3751" ht="15" customHeight="1" s="12"/>
    <row r="3752" ht="15" customHeight="1" s="12"/>
    <row r="3753" ht="15" customHeight="1" s="12"/>
    <row r="3754" ht="15" customHeight="1" s="12"/>
    <row r="3755" ht="15" customHeight="1" s="12"/>
    <row r="3756" ht="15" customHeight="1" s="12"/>
    <row r="3757" ht="15" customHeight="1" s="12"/>
    <row r="3758" ht="15" customHeight="1" s="12"/>
    <row r="3759" ht="15" customHeight="1" s="12"/>
    <row r="3760" ht="15" customHeight="1" s="12"/>
    <row r="3761" ht="15" customHeight="1" s="12"/>
    <row r="3762" ht="15" customHeight="1" s="12"/>
    <row r="3763" ht="15" customHeight="1" s="12"/>
    <row r="3764" ht="15" customHeight="1" s="12"/>
    <row r="3765" ht="15" customHeight="1" s="12"/>
    <row r="3766" ht="15" customHeight="1" s="12"/>
    <row r="3767" ht="15" customHeight="1" s="12"/>
    <row r="3768" ht="15" customHeight="1" s="12"/>
    <row r="3769" ht="15" customHeight="1" s="12"/>
    <row r="3770" ht="15" customHeight="1" s="12"/>
    <row r="3771" ht="15" customHeight="1" s="12"/>
    <row r="3772" ht="15" customHeight="1" s="12"/>
    <row r="3773" ht="15" customHeight="1" s="12"/>
    <row r="3774" ht="15" customHeight="1" s="12"/>
    <row r="3775" ht="15" customHeight="1" s="12"/>
    <row r="3776" ht="15" customHeight="1" s="12"/>
    <row r="3777" ht="15" customHeight="1" s="12"/>
    <row r="3778" ht="15" customHeight="1" s="12"/>
    <row r="3779" ht="15" customHeight="1" s="12"/>
    <row r="3780" ht="15" customHeight="1" s="12"/>
    <row r="3781" ht="15" customHeight="1" s="12"/>
    <row r="3782" ht="15" customHeight="1" s="12"/>
    <row r="3783" ht="15" customHeight="1" s="12"/>
    <row r="3784" ht="15" customHeight="1" s="12"/>
    <row r="3785" ht="15" customHeight="1" s="12"/>
    <row r="3786" ht="15" customHeight="1" s="12"/>
    <row r="3787" ht="15" customHeight="1" s="12"/>
    <row r="3788" ht="15" customHeight="1" s="12"/>
    <row r="3789" ht="15" customHeight="1" s="12"/>
    <row r="3790" ht="15" customHeight="1" s="12"/>
    <row r="3791" ht="15" customHeight="1" s="12"/>
    <row r="3792" ht="15" customHeight="1" s="12"/>
    <row r="3793" ht="15" customHeight="1" s="12"/>
    <row r="3794" ht="15" customHeight="1" s="12"/>
    <row r="3795" ht="15" customHeight="1" s="12"/>
    <row r="3796" ht="15" customHeight="1" s="12"/>
    <row r="3797" ht="15" customHeight="1" s="12"/>
    <row r="3798" ht="15" customHeight="1" s="12"/>
    <row r="3799" ht="15" customHeight="1" s="12"/>
    <row r="3800" ht="15" customHeight="1" s="12"/>
    <row r="3801" ht="15" customHeight="1" s="12"/>
    <row r="3802" ht="15" customHeight="1" s="12"/>
    <row r="3803" ht="15" customHeight="1" s="12"/>
    <row r="3804" ht="15" customHeight="1" s="12"/>
    <row r="3805" ht="15" customHeight="1" s="12"/>
    <row r="3806" ht="15" customHeight="1" s="12"/>
    <row r="3807" ht="15" customHeight="1" s="12"/>
    <row r="3808" ht="15" customHeight="1" s="12"/>
    <row r="3809" ht="15" customHeight="1" s="12"/>
    <row r="3810" ht="15" customHeight="1" s="12"/>
    <row r="3811" ht="15" customHeight="1" s="12"/>
    <row r="3812" ht="15" customHeight="1" s="12"/>
    <row r="3813" ht="15" customHeight="1" s="12"/>
    <row r="3814" ht="15" customHeight="1" s="12"/>
    <row r="3815" ht="15" customHeight="1" s="12"/>
    <row r="3816" ht="15" customHeight="1" s="12"/>
    <row r="3817" ht="15" customHeight="1" s="12"/>
    <row r="3818" ht="15" customHeight="1" s="12"/>
    <row r="3819" ht="15" customHeight="1" s="12"/>
    <row r="3820" ht="15" customHeight="1" s="12"/>
    <row r="3821" ht="15" customHeight="1" s="12"/>
    <row r="3822" ht="15" customHeight="1" s="12"/>
    <row r="3823" ht="15" customHeight="1" s="12"/>
    <row r="3824" ht="15" customHeight="1" s="12"/>
    <row r="3825" ht="15" customHeight="1" s="12"/>
    <row r="3826" ht="15" customHeight="1" s="12"/>
    <row r="3827" ht="15" customHeight="1" s="12"/>
    <row r="3828" ht="15" customHeight="1" s="12"/>
    <row r="3829" ht="15" customHeight="1" s="12"/>
    <row r="3830" ht="15" customHeight="1" s="12"/>
    <row r="3831" ht="15" customHeight="1" s="12"/>
    <row r="3832" ht="15" customHeight="1" s="12"/>
    <row r="3833" ht="15" customHeight="1" s="12"/>
    <row r="3834" ht="15" customHeight="1" s="12"/>
    <row r="3835" ht="15" customHeight="1" s="12"/>
    <row r="3836" ht="15" customHeight="1" s="12"/>
    <row r="3837" ht="15" customHeight="1" s="12"/>
    <row r="3838" ht="15" customHeight="1" s="12"/>
    <row r="3839" ht="15" customHeight="1" s="12"/>
    <row r="3840" ht="15" customHeight="1" s="12"/>
    <row r="3841" ht="15" customHeight="1" s="12"/>
    <row r="3842" ht="15" customHeight="1" s="12"/>
    <row r="3843" ht="15" customHeight="1" s="12"/>
    <row r="3844" ht="15" customHeight="1" s="12"/>
    <row r="3845" ht="15" customHeight="1" s="12"/>
    <row r="3846" ht="15" customHeight="1" s="12"/>
    <row r="3847" ht="15" customHeight="1" s="12"/>
    <row r="3848" ht="15" customHeight="1" s="12"/>
    <row r="3849" ht="15" customHeight="1" s="12"/>
    <row r="3850" ht="15" customHeight="1" s="12"/>
    <row r="3851" ht="15" customHeight="1" s="12"/>
    <row r="3852" ht="15" customHeight="1" s="12"/>
    <row r="3853" ht="15" customHeight="1" s="12"/>
    <row r="3854" ht="15" customHeight="1" s="12"/>
    <row r="3855" ht="15" customHeight="1" s="12"/>
    <row r="3856" ht="15" customHeight="1" s="12"/>
    <row r="3857" ht="15" customHeight="1" s="12"/>
    <row r="3858" ht="15" customHeight="1" s="12"/>
    <row r="3859" ht="15" customHeight="1" s="12"/>
    <row r="3860" ht="15" customHeight="1" s="12"/>
    <row r="3861" ht="15" customHeight="1" s="12"/>
    <row r="3862" ht="15" customHeight="1" s="12"/>
    <row r="3863" ht="15" customHeight="1" s="12"/>
    <row r="3864" ht="15" customHeight="1" s="12"/>
    <row r="3865" ht="15" customHeight="1" s="12"/>
    <row r="3866" ht="15" customHeight="1" s="12"/>
    <row r="3867" ht="15" customHeight="1" s="12"/>
    <row r="3868" ht="15" customHeight="1" s="12"/>
    <row r="3869" ht="15" customHeight="1" s="12"/>
    <row r="3870" ht="15" customHeight="1" s="12"/>
    <row r="3871" ht="15" customHeight="1" s="12"/>
    <row r="3872" ht="15" customHeight="1" s="12"/>
    <row r="3873" ht="15" customHeight="1" s="12"/>
    <row r="3874" ht="15" customHeight="1" s="12"/>
    <row r="3875" ht="15" customHeight="1" s="12"/>
    <row r="3876" ht="15" customHeight="1" s="12"/>
    <row r="3877" ht="15" customHeight="1" s="12"/>
    <row r="3878" ht="15" customHeight="1" s="12"/>
    <row r="3879" ht="15" customHeight="1" s="12"/>
    <row r="3880" ht="15" customHeight="1" s="12"/>
    <row r="3881" ht="15" customHeight="1" s="12"/>
    <row r="3882" ht="15" customHeight="1" s="12"/>
    <row r="3883" ht="15" customHeight="1" s="12"/>
    <row r="3884" ht="15" customHeight="1" s="12"/>
    <row r="3885" ht="15" customHeight="1" s="12"/>
    <row r="3886" ht="15" customHeight="1" s="12"/>
    <row r="3887" ht="15" customHeight="1" s="12"/>
    <row r="3888" ht="15" customHeight="1" s="12"/>
    <row r="3889" ht="15" customHeight="1" s="12"/>
    <row r="3890" ht="15" customHeight="1" s="12"/>
    <row r="3891" ht="15" customHeight="1" s="12"/>
    <row r="3892" ht="15" customHeight="1" s="12"/>
    <row r="3893" ht="15" customHeight="1" s="12"/>
    <row r="3894" ht="15" customHeight="1" s="12"/>
    <row r="3895" ht="15" customHeight="1" s="12"/>
    <row r="3896" ht="15" customHeight="1" s="12"/>
    <row r="3897" ht="15" customHeight="1" s="12"/>
    <row r="3898" ht="15" customHeight="1" s="12"/>
    <row r="3899" ht="15" customHeight="1" s="12"/>
    <row r="3900" ht="15" customHeight="1" s="12"/>
    <row r="3901" ht="15" customHeight="1" s="12"/>
    <row r="3902" ht="15" customHeight="1" s="12"/>
    <row r="3903" ht="15" customHeight="1" s="12"/>
    <row r="3904" ht="15" customHeight="1" s="12"/>
    <row r="3905" ht="15" customHeight="1" s="12"/>
    <row r="3906" ht="15" customHeight="1" s="12"/>
    <row r="3907" ht="15" customHeight="1" s="12"/>
    <row r="3908" ht="15" customHeight="1" s="12"/>
    <row r="3909" ht="15" customHeight="1" s="12"/>
    <row r="3910" ht="15" customHeight="1" s="12"/>
    <row r="3911" ht="15" customHeight="1" s="12"/>
    <row r="3912" ht="15" customHeight="1" s="12"/>
    <row r="3913" ht="15" customHeight="1" s="12"/>
    <row r="3914" ht="15" customHeight="1" s="12"/>
    <row r="3915" ht="15" customHeight="1" s="12"/>
    <row r="3916" ht="15" customHeight="1" s="12"/>
    <row r="3917" ht="15" customHeight="1" s="12"/>
    <row r="3918" ht="15" customHeight="1" s="12"/>
    <row r="3919" ht="15" customHeight="1" s="12"/>
    <row r="3920" ht="15" customHeight="1" s="12"/>
    <row r="3921" ht="15" customHeight="1" s="12"/>
    <row r="3922" ht="15" customHeight="1" s="12"/>
    <row r="3923" ht="15" customHeight="1" s="12"/>
    <row r="3924" ht="15" customHeight="1" s="12"/>
    <row r="3925" ht="15" customHeight="1" s="12"/>
    <row r="3926" ht="15" customHeight="1" s="12"/>
    <row r="3927" ht="15" customHeight="1" s="12"/>
    <row r="3928" ht="15" customHeight="1" s="12"/>
    <row r="3929" ht="15" customHeight="1" s="12"/>
    <row r="3930" ht="15" customHeight="1" s="12"/>
    <row r="3931" ht="15" customHeight="1" s="12"/>
    <row r="3932" ht="15" customHeight="1" s="12"/>
    <row r="3933" ht="15" customHeight="1" s="12"/>
    <row r="3934" ht="15" customHeight="1" s="12"/>
    <row r="3935" ht="15" customHeight="1" s="12"/>
    <row r="3936" ht="15" customHeight="1" s="12"/>
    <row r="3937" ht="15" customHeight="1" s="12"/>
    <row r="3938" ht="15" customHeight="1" s="12"/>
    <row r="3939" ht="15" customHeight="1" s="12"/>
    <row r="3940" ht="15" customHeight="1" s="12"/>
    <row r="3941" ht="15" customHeight="1" s="12"/>
    <row r="3942" ht="15" customHeight="1" s="12"/>
    <row r="3943" ht="15" customHeight="1" s="12"/>
    <row r="3944" ht="15" customHeight="1" s="12"/>
    <row r="3945" ht="15" customHeight="1" s="12"/>
    <row r="3946" ht="15" customHeight="1" s="12"/>
    <row r="3947" ht="15" customHeight="1" s="12"/>
    <row r="3948" ht="15" customHeight="1" s="12"/>
    <row r="3949" ht="15" customHeight="1" s="12"/>
    <row r="3950" ht="15" customHeight="1" s="12"/>
    <row r="3951" ht="15" customHeight="1" s="12"/>
    <row r="3952" ht="15" customHeight="1" s="12"/>
    <row r="3953" ht="15" customHeight="1" s="12"/>
    <row r="3954" ht="15" customHeight="1" s="12"/>
    <row r="3955" ht="15" customHeight="1" s="12"/>
    <row r="3956" ht="15" customHeight="1" s="12"/>
    <row r="3957" ht="15" customHeight="1" s="12"/>
    <row r="3958" ht="15" customHeight="1" s="12"/>
    <row r="3959" ht="15" customHeight="1" s="12"/>
    <row r="3960" ht="15" customHeight="1" s="12"/>
    <row r="3961" ht="15" customHeight="1" s="12"/>
    <row r="3962" ht="15" customHeight="1" s="12"/>
    <row r="3963" ht="15" customHeight="1" s="12"/>
    <row r="3964" ht="15" customHeight="1" s="12"/>
    <row r="3965" ht="15" customHeight="1" s="12"/>
    <row r="3966" ht="15" customHeight="1" s="12"/>
    <row r="3967" ht="15" customHeight="1" s="12"/>
    <row r="3968" ht="15" customHeight="1" s="12"/>
    <row r="3969" ht="15" customHeight="1" s="12"/>
    <row r="3970" ht="15" customHeight="1" s="12"/>
    <row r="3971" ht="15" customHeight="1" s="12"/>
    <row r="3972" ht="15" customHeight="1" s="12"/>
    <row r="3973" ht="15" customHeight="1" s="12"/>
    <row r="3974" ht="15" customHeight="1" s="12"/>
    <row r="3975" ht="15" customHeight="1" s="12"/>
    <row r="3976" ht="15" customHeight="1" s="12"/>
    <row r="3977" ht="15" customHeight="1" s="12"/>
    <row r="3978" ht="15" customHeight="1" s="12"/>
    <row r="3979" ht="15" customHeight="1" s="12"/>
    <row r="3980" ht="15" customHeight="1" s="12"/>
    <row r="3981" ht="15" customHeight="1" s="12"/>
    <row r="3982" ht="15" customHeight="1" s="12"/>
    <row r="3983" ht="15" customHeight="1" s="12"/>
    <row r="3984" ht="15" customHeight="1" s="12"/>
    <row r="3985" ht="15" customHeight="1" s="12"/>
    <row r="3986" ht="15" customHeight="1" s="12"/>
    <row r="3987" ht="15" customHeight="1" s="12"/>
    <row r="3988" ht="15" customHeight="1" s="12"/>
    <row r="3989" ht="15" customHeight="1" s="12"/>
    <row r="3990" ht="15" customHeight="1" s="12"/>
    <row r="3991" ht="15" customHeight="1" s="12"/>
    <row r="3992" ht="15" customHeight="1" s="12"/>
    <row r="3993" ht="15" customHeight="1" s="12"/>
    <row r="3994" ht="15" customHeight="1" s="12"/>
    <row r="3995" ht="15" customHeight="1" s="12"/>
    <row r="3996" ht="15" customHeight="1" s="12"/>
    <row r="3997" ht="15" customHeight="1" s="12"/>
    <row r="3998" ht="15" customHeight="1" s="12"/>
    <row r="3999" ht="15" customHeight="1" s="12"/>
    <row r="4000" ht="15" customHeight="1" s="12"/>
    <row r="4001" ht="15" customHeight="1" s="12"/>
    <row r="4002" ht="15" customHeight="1" s="12"/>
    <row r="4003" ht="15" customHeight="1" s="12"/>
    <row r="4004" ht="15" customHeight="1" s="12"/>
    <row r="4005" ht="15" customHeight="1" s="12"/>
    <row r="4006" ht="15" customHeight="1" s="12"/>
    <row r="4007" ht="15" customHeight="1" s="12"/>
    <row r="4008" ht="15" customHeight="1" s="12"/>
    <row r="4009" ht="15" customHeight="1" s="12"/>
    <row r="4010" ht="15" customHeight="1" s="12"/>
    <row r="4011" ht="15" customHeight="1" s="12"/>
    <row r="4012" ht="15" customHeight="1" s="12"/>
    <row r="4013" ht="15" customHeight="1" s="12"/>
    <row r="4014" ht="15" customHeight="1" s="12"/>
    <row r="4015" ht="15" customHeight="1" s="12"/>
    <row r="4016" ht="15" customHeight="1" s="12"/>
    <row r="4017" ht="15" customHeight="1" s="12"/>
    <row r="4018" ht="15" customHeight="1" s="12"/>
    <row r="4019" ht="15" customHeight="1" s="12"/>
    <row r="4020" ht="15" customHeight="1" s="12"/>
    <row r="4021" ht="15" customHeight="1" s="12"/>
    <row r="4022" ht="15" customHeight="1" s="12"/>
    <row r="4023" ht="15" customHeight="1" s="12"/>
    <row r="4024" ht="15" customHeight="1" s="12"/>
    <row r="4025" ht="15" customHeight="1" s="12"/>
    <row r="4026" ht="15" customHeight="1" s="12"/>
    <row r="4027" ht="15" customHeight="1" s="12"/>
    <row r="4028" ht="15" customHeight="1" s="12"/>
    <row r="4029" ht="15" customHeight="1" s="12"/>
    <row r="4030" ht="15" customHeight="1" s="12"/>
    <row r="4031" ht="15" customHeight="1" s="12"/>
    <row r="4032" ht="15" customHeight="1" s="12"/>
    <row r="4033" ht="15" customHeight="1" s="12"/>
    <row r="4034" ht="15" customHeight="1" s="12"/>
    <row r="4035" ht="15" customHeight="1" s="12"/>
    <row r="4036" ht="15" customHeight="1" s="12"/>
    <row r="4037" ht="15" customHeight="1" s="12"/>
    <row r="4038" ht="15" customHeight="1" s="12"/>
    <row r="4039" ht="15" customHeight="1" s="12"/>
    <row r="4040" ht="15" customHeight="1" s="12"/>
    <row r="4041" ht="15" customHeight="1" s="12"/>
    <row r="4042" ht="15" customHeight="1" s="12"/>
    <row r="4043" ht="15" customHeight="1" s="12"/>
    <row r="4044" ht="15" customHeight="1" s="12"/>
    <row r="4045" ht="15" customHeight="1" s="12"/>
    <row r="4046" ht="15" customHeight="1" s="12"/>
    <row r="4047" ht="15" customHeight="1" s="12"/>
    <row r="4048" ht="15" customHeight="1" s="12"/>
    <row r="4049" ht="15" customHeight="1" s="12"/>
    <row r="4050" ht="15" customHeight="1" s="12"/>
    <row r="4051" ht="15" customHeight="1" s="12"/>
    <row r="4052" ht="15" customHeight="1" s="12"/>
    <row r="4053" ht="15" customHeight="1" s="12"/>
    <row r="4054" ht="15" customHeight="1" s="12"/>
    <row r="4055" ht="15" customHeight="1" s="12"/>
    <row r="4056" ht="15" customHeight="1" s="12"/>
    <row r="4057" ht="15" customHeight="1" s="12"/>
    <row r="4058" ht="15" customHeight="1" s="12"/>
    <row r="4059" ht="15" customHeight="1" s="12"/>
    <row r="4060" ht="15" customHeight="1" s="12"/>
    <row r="4061" ht="15" customHeight="1" s="12"/>
    <row r="4062" ht="15" customHeight="1" s="12"/>
    <row r="4063" ht="15" customHeight="1" s="12"/>
    <row r="4064" ht="15" customHeight="1" s="12"/>
    <row r="4065" ht="15" customHeight="1" s="12"/>
    <row r="4066" ht="15" customHeight="1" s="12"/>
    <row r="4067" ht="15" customHeight="1" s="12"/>
    <row r="4068" ht="15" customHeight="1" s="12"/>
    <row r="4069" ht="15" customHeight="1" s="12"/>
    <row r="4070" ht="15" customHeight="1" s="12"/>
    <row r="4071" ht="15" customHeight="1" s="12"/>
    <row r="4072" ht="15" customHeight="1" s="12"/>
    <row r="4073" ht="15" customHeight="1" s="12"/>
    <row r="4074" ht="15" customHeight="1" s="12"/>
    <row r="4075" ht="15" customHeight="1" s="12"/>
    <row r="4076" ht="15" customHeight="1" s="12"/>
    <row r="4077" ht="15" customHeight="1" s="12"/>
    <row r="4078" ht="15" customHeight="1" s="12"/>
    <row r="4079" ht="15" customHeight="1" s="12"/>
    <row r="4080" ht="15" customHeight="1" s="12"/>
    <row r="4081" ht="15" customHeight="1" s="12"/>
    <row r="4082" ht="15" customHeight="1" s="12"/>
    <row r="4083" ht="15" customHeight="1" s="12"/>
    <row r="4084" ht="15" customHeight="1" s="12"/>
    <row r="4085" ht="15" customHeight="1" s="12"/>
    <row r="4086" ht="15" customHeight="1" s="12"/>
    <row r="4087" ht="15" customHeight="1" s="12"/>
    <row r="4088" ht="15" customHeight="1" s="12"/>
    <row r="4089" ht="15" customHeight="1" s="12"/>
    <row r="4090" ht="15" customHeight="1" s="12"/>
    <row r="4091" ht="15" customHeight="1" s="12"/>
    <row r="4092" ht="15" customHeight="1" s="12"/>
    <row r="4093" ht="15" customHeight="1" s="12"/>
    <row r="4094" ht="15" customHeight="1" s="12"/>
    <row r="4095" ht="15" customHeight="1" s="12"/>
    <row r="4096" ht="15" customHeight="1" s="12"/>
    <row r="4097" ht="15" customHeight="1" s="12"/>
    <row r="4098" ht="15" customHeight="1" s="12"/>
    <row r="4099" ht="15" customHeight="1" s="12"/>
    <row r="4100" ht="15" customHeight="1" s="12"/>
    <row r="4101" ht="15" customHeight="1" s="12"/>
    <row r="4102" ht="15" customHeight="1" s="12"/>
    <row r="4103" ht="15" customHeight="1" s="12"/>
    <row r="4104" ht="15" customHeight="1" s="12"/>
    <row r="4105" ht="15" customHeight="1" s="12"/>
    <row r="4106" ht="15" customHeight="1" s="12"/>
    <row r="4107" ht="15" customHeight="1" s="12"/>
    <row r="4108" ht="15" customHeight="1" s="12"/>
    <row r="4109" ht="15" customHeight="1" s="12"/>
    <row r="4110" ht="15" customHeight="1" s="12"/>
    <row r="4111" ht="15" customHeight="1" s="12"/>
    <row r="4112" ht="15" customHeight="1" s="12"/>
    <row r="4113" ht="15" customHeight="1" s="12"/>
    <row r="4114" ht="15" customHeight="1" s="12"/>
    <row r="4115" ht="15" customHeight="1" s="12"/>
    <row r="4116" ht="15" customHeight="1" s="12"/>
    <row r="4117" ht="15" customHeight="1" s="12"/>
    <row r="4118" ht="15" customHeight="1" s="12"/>
    <row r="4119" ht="15" customHeight="1" s="12"/>
    <row r="4120" ht="15" customHeight="1" s="12"/>
    <row r="4121" ht="15" customHeight="1" s="12"/>
    <row r="4122" ht="15" customHeight="1" s="12"/>
    <row r="4123" ht="15" customHeight="1" s="12"/>
    <row r="4124" ht="15" customHeight="1" s="12"/>
    <row r="4125" ht="15" customHeight="1" s="12"/>
    <row r="4126" ht="15" customHeight="1" s="12"/>
    <row r="4127" ht="15" customHeight="1" s="12"/>
    <row r="4128" ht="15" customHeight="1" s="12"/>
    <row r="4129" ht="15" customHeight="1" s="12"/>
    <row r="4130" ht="15" customHeight="1" s="12"/>
    <row r="4131" ht="15" customHeight="1" s="12"/>
    <row r="4132" ht="15" customHeight="1" s="12"/>
    <row r="4133" ht="15" customHeight="1" s="12"/>
    <row r="4134" ht="15" customHeight="1" s="12"/>
    <row r="4135" ht="15" customHeight="1" s="12"/>
    <row r="4136" ht="15" customHeight="1" s="12"/>
    <row r="4137" ht="15" customHeight="1" s="12"/>
    <row r="4138" ht="15" customHeight="1" s="12"/>
    <row r="4139" ht="15" customHeight="1" s="12"/>
    <row r="4140" ht="15" customHeight="1" s="12"/>
    <row r="4141" ht="15" customHeight="1" s="12"/>
    <row r="4142" ht="15" customHeight="1" s="12"/>
    <row r="4143" ht="15" customHeight="1" s="12"/>
    <row r="4144" ht="15" customHeight="1" s="12"/>
    <row r="4145" ht="15" customHeight="1" s="12"/>
    <row r="4146" ht="15" customHeight="1" s="12"/>
    <row r="4147" ht="15" customHeight="1" s="12"/>
    <row r="4148" ht="15" customHeight="1" s="12"/>
    <row r="4149" ht="15" customHeight="1" s="12"/>
    <row r="4150" ht="15" customHeight="1" s="12"/>
    <row r="4151" ht="15" customHeight="1" s="12"/>
    <row r="4152" ht="15" customHeight="1" s="12"/>
    <row r="4153" ht="15" customHeight="1" s="12"/>
    <row r="4154" ht="15" customHeight="1" s="12"/>
    <row r="4155" ht="15" customHeight="1" s="12"/>
    <row r="4156" ht="15" customHeight="1" s="12"/>
    <row r="4157" ht="15" customHeight="1" s="12"/>
    <row r="4158" ht="15" customHeight="1" s="12"/>
    <row r="4159" ht="15" customHeight="1" s="12"/>
    <row r="4160" ht="15" customHeight="1" s="12"/>
    <row r="4161" ht="15" customHeight="1" s="12"/>
    <row r="4162" ht="15" customHeight="1" s="12"/>
    <row r="4163" ht="15" customHeight="1" s="12"/>
    <row r="4164" ht="15" customHeight="1" s="12"/>
    <row r="4165" ht="15" customHeight="1" s="12"/>
    <row r="4166" ht="15" customHeight="1" s="12"/>
    <row r="4167" ht="15" customHeight="1" s="12"/>
    <row r="4168" ht="15" customHeight="1" s="12"/>
    <row r="4169" ht="15" customHeight="1" s="12"/>
    <row r="4170" ht="15" customHeight="1" s="12"/>
    <row r="4171" ht="15" customHeight="1" s="12"/>
    <row r="4172" ht="15" customHeight="1" s="12"/>
    <row r="4173" ht="15" customHeight="1" s="12"/>
    <row r="4174" ht="15" customHeight="1" s="12"/>
    <row r="4175" ht="15" customHeight="1" s="12"/>
    <row r="4176" ht="15" customHeight="1" s="12"/>
    <row r="4177" ht="15" customHeight="1" s="12"/>
    <row r="4178" ht="15" customHeight="1" s="12"/>
    <row r="4179" ht="15" customHeight="1" s="12"/>
    <row r="4180" ht="15" customHeight="1" s="12"/>
    <row r="4181" ht="15" customHeight="1" s="12"/>
    <row r="4182" ht="15" customHeight="1" s="12"/>
    <row r="4183" ht="15" customHeight="1" s="12"/>
    <row r="4184" ht="15" customHeight="1" s="12"/>
    <row r="4185" ht="15" customHeight="1" s="12"/>
    <row r="4186" ht="15" customHeight="1" s="12"/>
    <row r="4187" ht="15" customHeight="1" s="12"/>
    <row r="4188" ht="15" customHeight="1" s="12"/>
    <row r="4189" ht="15" customHeight="1" s="12"/>
    <row r="4190" ht="15" customHeight="1" s="12"/>
    <row r="4191" ht="15" customHeight="1" s="12"/>
    <row r="4192" ht="15" customHeight="1" s="12"/>
    <row r="4193" ht="15" customHeight="1" s="12"/>
    <row r="4194" ht="15" customHeight="1" s="12"/>
    <row r="4195" ht="15" customHeight="1" s="12"/>
    <row r="4196" ht="15" customHeight="1" s="12"/>
    <row r="4197" ht="15" customHeight="1" s="12"/>
    <row r="4198" ht="15" customHeight="1" s="12"/>
    <row r="4199" ht="15" customHeight="1" s="12"/>
    <row r="4200" ht="15" customHeight="1" s="12"/>
    <row r="4201" ht="15" customHeight="1" s="12"/>
    <row r="4202" ht="15" customHeight="1" s="12"/>
    <row r="4203" ht="15" customHeight="1" s="12"/>
    <row r="4204" ht="15" customHeight="1" s="12"/>
    <row r="4205" ht="15" customHeight="1" s="12"/>
    <row r="4206" ht="15" customHeight="1" s="12"/>
    <row r="4207" ht="15" customHeight="1" s="12"/>
    <row r="4208" ht="15" customHeight="1" s="12"/>
    <row r="4209" ht="15" customHeight="1" s="12"/>
    <row r="4210" ht="15" customHeight="1" s="12"/>
    <row r="4211" ht="15" customHeight="1" s="12"/>
    <row r="4212" ht="15" customHeight="1" s="12"/>
    <row r="4213" ht="15" customHeight="1" s="12"/>
    <row r="4214" ht="15" customHeight="1" s="12"/>
    <row r="4215" ht="15" customHeight="1" s="12"/>
    <row r="4216" ht="15" customHeight="1" s="12"/>
    <row r="4217" ht="15" customHeight="1" s="12"/>
    <row r="4218" ht="15" customHeight="1" s="12"/>
    <row r="4219" ht="15" customHeight="1" s="12"/>
    <row r="4220" ht="15" customHeight="1" s="12"/>
    <row r="4221" ht="15" customHeight="1" s="12"/>
    <row r="4222" ht="15" customHeight="1" s="12"/>
    <row r="4223" ht="15" customHeight="1" s="12"/>
    <row r="4224" ht="15" customHeight="1" s="12"/>
    <row r="4225" ht="15" customHeight="1" s="12"/>
    <row r="4226" ht="15" customHeight="1" s="12"/>
    <row r="4227" ht="15" customHeight="1" s="12"/>
    <row r="4228" ht="15" customHeight="1" s="12"/>
    <row r="4229" ht="15" customHeight="1" s="12"/>
    <row r="4230" ht="15" customHeight="1" s="12"/>
    <row r="4231" ht="15" customHeight="1" s="12"/>
    <row r="4232" ht="15" customHeight="1" s="12"/>
    <row r="4233" ht="15" customHeight="1" s="12"/>
    <row r="4234" ht="15" customHeight="1" s="12"/>
    <row r="4235" ht="15" customHeight="1" s="12"/>
    <row r="4236" ht="15" customHeight="1" s="12"/>
    <row r="4237" ht="15" customHeight="1" s="12"/>
    <row r="4238" ht="15" customHeight="1" s="12"/>
    <row r="4239" ht="15" customHeight="1" s="12"/>
    <row r="4240" ht="15" customHeight="1" s="12"/>
    <row r="4241" ht="15" customHeight="1" s="12"/>
    <row r="4242" ht="15" customHeight="1" s="12"/>
    <row r="4243" ht="15" customHeight="1" s="12"/>
    <row r="4244" ht="15" customHeight="1" s="12"/>
    <row r="4245" ht="15" customHeight="1" s="12"/>
    <row r="4246" ht="15" customHeight="1" s="12"/>
    <row r="4247" ht="15" customHeight="1" s="12"/>
    <row r="4248" ht="15" customHeight="1" s="12"/>
    <row r="4249" ht="15" customHeight="1" s="12"/>
    <row r="4250" ht="15" customHeight="1" s="12"/>
    <row r="4251" ht="15" customHeight="1" s="12"/>
    <row r="4252" ht="15" customHeight="1" s="12"/>
    <row r="4253" ht="15" customHeight="1" s="12"/>
    <row r="4254" ht="15" customHeight="1" s="12"/>
    <row r="4255" ht="15" customHeight="1" s="12"/>
    <row r="4256" ht="15" customHeight="1" s="12"/>
    <row r="4257" ht="15" customHeight="1" s="12"/>
    <row r="4258" ht="15" customHeight="1" s="12"/>
    <row r="4259" ht="15" customHeight="1" s="12"/>
    <row r="4260" ht="15" customHeight="1" s="12"/>
    <row r="4261" ht="15" customHeight="1" s="12"/>
    <row r="4262" ht="15" customHeight="1" s="12"/>
    <row r="4263" ht="15" customHeight="1" s="12"/>
    <row r="4264" ht="15" customHeight="1" s="12"/>
    <row r="4265" ht="15" customHeight="1" s="12"/>
    <row r="4266" ht="15" customHeight="1" s="12"/>
    <row r="4267" ht="15" customHeight="1" s="12"/>
    <row r="4268" ht="15" customHeight="1" s="12"/>
    <row r="4269" ht="15" customHeight="1" s="12"/>
    <row r="4270" ht="15" customHeight="1" s="12"/>
    <row r="4271" ht="15" customHeight="1" s="12"/>
    <row r="4272" ht="15" customHeight="1" s="12"/>
    <row r="4273" ht="15" customHeight="1" s="12"/>
    <row r="4274" ht="15" customHeight="1" s="12"/>
    <row r="4275" ht="15" customHeight="1" s="12"/>
    <row r="4276" ht="15" customHeight="1" s="12"/>
    <row r="4277" ht="15" customHeight="1" s="12"/>
    <row r="4278" ht="15" customHeight="1" s="12"/>
    <row r="4279" ht="15" customHeight="1" s="12"/>
    <row r="4280" ht="15" customHeight="1" s="12"/>
    <row r="4281" ht="15" customHeight="1" s="12"/>
    <row r="4282" ht="15" customHeight="1" s="12"/>
    <row r="4283" ht="15" customHeight="1" s="12"/>
    <row r="4284" ht="15" customHeight="1" s="12"/>
    <row r="4285" ht="15" customHeight="1" s="12"/>
    <row r="4286" ht="15" customHeight="1" s="12"/>
    <row r="4287" ht="15" customHeight="1" s="12"/>
    <row r="4288" ht="15" customHeight="1" s="12"/>
    <row r="4289" ht="15" customHeight="1" s="12"/>
    <row r="4290" ht="15" customHeight="1" s="12"/>
    <row r="4291" ht="15" customHeight="1" s="12"/>
    <row r="4292" ht="15" customHeight="1" s="12"/>
    <row r="4293" ht="15" customHeight="1" s="12"/>
    <row r="4294" ht="15" customHeight="1" s="12"/>
    <row r="4295" ht="15" customHeight="1" s="12"/>
    <row r="4296" ht="15" customHeight="1" s="12"/>
    <row r="4297" ht="15" customHeight="1" s="12"/>
    <row r="4298" ht="15" customHeight="1" s="12"/>
    <row r="4299" ht="15" customHeight="1" s="12"/>
    <row r="4300" ht="15" customHeight="1" s="12"/>
    <row r="4301" ht="15" customHeight="1" s="12"/>
    <row r="4302" ht="15" customHeight="1" s="12"/>
    <row r="4303" ht="15" customHeight="1" s="12"/>
    <row r="4304" ht="15" customHeight="1" s="12"/>
    <row r="4305" ht="15" customHeight="1" s="12"/>
    <row r="4306" ht="15" customHeight="1" s="12"/>
    <row r="4307" ht="15" customHeight="1" s="12"/>
    <row r="4308" ht="15" customHeight="1" s="12"/>
    <row r="4309" ht="15" customHeight="1" s="12"/>
    <row r="4310" ht="15" customHeight="1" s="12"/>
    <row r="4311" ht="15" customHeight="1" s="12"/>
    <row r="4312" ht="15" customHeight="1" s="12"/>
    <row r="4313" ht="15" customHeight="1" s="12"/>
    <row r="4314" ht="15" customHeight="1" s="12"/>
    <row r="4315" ht="15" customHeight="1" s="12"/>
    <row r="4316" ht="15" customHeight="1" s="12"/>
    <row r="4317" ht="15" customHeight="1" s="12"/>
    <row r="4318" ht="15" customHeight="1" s="12"/>
    <row r="4319" ht="15" customHeight="1" s="12"/>
    <row r="4320" ht="15" customHeight="1" s="12"/>
    <row r="4321" ht="15" customHeight="1" s="12"/>
    <row r="4322" ht="15" customHeight="1" s="12"/>
    <row r="4323" ht="15" customHeight="1" s="12"/>
    <row r="4324" ht="15" customHeight="1" s="12"/>
    <row r="4325" ht="15" customHeight="1" s="12"/>
    <row r="4326" ht="15" customHeight="1" s="12"/>
    <row r="4327" ht="15" customHeight="1" s="12"/>
    <row r="4328" ht="15" customHeight="1" s="12"/>
    <row r="4329" ht="15" customHeight="1" s="12"/>
    <row r="4330" ht="15" customHeight="1" s="12"/>
    <row r="4331" ht="15" customHeight="1" s="12"/>
    <row r="4332" ht="15" customHeight="1" s="12"/>
    <row r="4333" ht="15" customHeight="1" s="12"/>
    <row r="4334" ht="15" customHeight="1" s="12"/>
    <row r="4335" ht="15" customHeight="1" s="12"/>
    <row r="4336" ht="15" customHeight="1" s="12"/>
    <row r="4337" ht="15" customHeight="1" s="12"/>
    <row r="4338" ht="15" customHeight="1" s="12"/>
    <row r="4339" ht="15" customHeight="1" s="12"/>
    <row r="4340" ht="15" customHeight="1" s="12"/>
    <row r="4341" ht="15" customHeight="1" s="12"/>
    <row r="4342" ht="15" customHeight="1" s="12"/>
    <row r="4343" ht="15" customHeight="1" s="12"/>
    <row r="4344" ht="15" customHeight="1" s="12"/>
    <row r="4345" ht="15" customHeight="1" s="12"/>
    <row r="4346" ht="15" customHeight="1" s="12"/>
    <row r="4347" ht="15" customHeight="1" s="12"/>
    <row r="4348" ht="15" customHeight="1" s="12"/>
    <row r="4349" ht="15" customHeight="1" s="12"/>
    <row r="4350" ht="15" customHeight="1" s="12"/>
    <row r="4351" ht="15" customHeight="1" s="12"/>
    <row r="4352" ht="15" customHeight="1" s="12"/>
    <row r="4353" ht="15" customHeight="1" s="12"/>
    <row r="4354" ht="15" customHeight="1" s="12"/>
    <row r="4355" ht="15" customHeight="1" s="12"/>
    <row r="4356" ht="15" customHeight="1" s="12"/>
    <row r="4357" ht="15" customHeight="1" s="12"/>
    <row r="4358" ht="15" customHeight="1" s="12"/>
    <row r="4359" ht="15" customHeight="1" s="12"/>
    <row r="4360" ht="15" customHeight="1" s="12"/>
    <row r="4361" ht="15" customHeight="1" s="12"/>
    <row r="4362" ht="15" customHeight="1" s="12"/>
    <row r="4363" ht="15" customHeight="1" s="12"/>
    <row r="4364" ht="15" customHeight="1" s="12"/>
    <row r="4365" ht="15" customHeight="1" s="12"/>
    <row r="4366" ht="15" customHeight="1" s="12"/>
    <row r="4367" ht="15" customHeight="1" s="12"/>
    <row r="4368" ht="15" customHeight="1" s="12"/>
    <row r="4369" ht="15" customHeight="1" s="12"/>
    <row r="4370" ht="15" customHeight="1" s="12"/>
    <row r="4371" ht="15" customHeight="1" s="12"/>
    <row r="4372" ht="15" customHeight="1" s="12"/>
    <row r="4373" ht="15" customHeight="1" s="12"/>
    <row r="4374" ht="15" customHeight="1" s="12"/>
    <row r="4375" ht="15" customHeight="1" s="12"/>
    <row r="4376" ht="15" customHeight="1" s="12"/>
    <row r="4377" ht="15" customHeight="1" s="12"/>
    <row r="4378" ht="15" customHeight="1" s="12"/>
    <row r="4379" ht="15" customHeight="1" s="12"/>
    <row r="4380" ht="15" customHeight="1" s="12"/>
    <row r="4381" ht="15" customHeight="1" s="12"/>
    <row r="4382" ht="15" customHeight="1" s="12"/>
    <row r="4383" ht="15" customHeight="1" s="12"/>
    <row r="4384" ht="15" customHeight="1" s="12"/>
    <row r="4385" ht="15" customHeight="1" s="12"/>
    <row r="4386" ht="15" customHeight="1" s="12"/>
    <row r="4387" ht="15" customHeight="1" s="12"/>
    <row r="4388" ht="15" customHeight="1" s="12"/>
    <row r="4389" ht="15" customHeight="1" s="12"/>
    <row r="4390" ht="15" customHeight="1" s="12"/>
    <row r="4391" ht="15" customHeight="1" s="12"/>
    <row r="4392" ht="15" customHeight="1" s="12"/>
    <row r="4393" ht="15" customHeight="1" s="12"/>
    <row r="4394" ht="15" customHeight="1" s="12"/>
    <row r="4395" ht="15" customHeight="1" s="12"/>
    <row r="4396" ht="15" customHeight="1" s="12"/>
    <row r="4397" ht="15" customHeight="1" s="12"/>
    <row r="4398" ht="15" customHeight="1" s="12"/>
    <row r="4399" ht="15" customHeight="1" s="12"/>
    <row r="4400" ht="15" customHeight="1" s="12"/>
    <row r="4401" ht="15" customHeight="1" s="12"/>
    <row r="4402" ht="15" customHeight="1" s="12"/>
    <row r="4403" ht="15" customHeight="1" s="12"/>
    <row r="4404" ht="15" customHeight="1" s="12"/>
    <row r="4405" ht="15" customHeight="1" s="12"/>
    <row r="4406" ht="15" customHeight="1" s="12"/>
    <row r="4407" ht="15" customHeight="1" s="12"/>
    <row r="4408" ht="15" customHeight="1" s="12"/>
    <row r="4409" ht="15" customHeight="1" s="12"/>
    <row r="4410" ht="15" customHeight="1" s="12"/>
    <row r="4411" ht="15" customHeight="1" s="12"/>
    <row r="4412" ht="15" customHeight="1" s="12"/>
    <row r="4413" ht="15" customHeight="1" s="12"/>
    <row r="4414" ht="15" customHeight="1" s="12"/>
    <row r="4415" ht="15" customHeight="1" s="12"/>
    <row r="4416" ht="15" customHeight="1" s="12"/>
    <row r="4417" ht="15" customHeight="1" s="12"/>
    <row r="4418" ht="15" customHeight="1" s="12"/>
    <row r="4419" ht="15" customHeight="1" s="12"/>
    <row r="4420" ht="15" customHeight="1" s="12"/>
    <row r="4421" ht="15" customHeight="1" s="12"/>
    <row r="4422" ht="15" customHeight="1" s="12"/>
    <row r="4423" ht="15" customHeight="1" s="12"/>
    <row r="4424" ht="15" customHeight="1" s="12"/>
    <row r="4425" ht="15" customHeight="1" s="12"/>
    <row r="4426" ht="15" customHeight="1" s="12"/>
    <row r="4427" ht="15" customHeight="1" s="12"/>
    <row r="4428" ht="15" customHeight="1" s="12"/>
    <row r="4429" ht="15" customHeight="1" s="12"/>
    <row r="4430" ht="15" customHeight="1" s="12"/>
    <row r="4431" ht="15" customHeight="1" s="12"/>
    <row r="4432" ht="15" customHeight="1" s="12"/>
    <row r="4433" ht="15" customHeight="1" s="12"/>
    <row r="4434" ht="15" customHeight="1" s="12"/>
    <row r="4435" ht="15" customHeight="1" s="12"/>
    <row r="4436" ht="15" customHeight="1" s="12"/>
    <row r="4437" ht="15" customHeight="1" s="12"/>
    <row r="4438" ht="15" customHeight="1" s="12"/>
    <row r="4439" ht="15" customHeight="1" s="12"/>
    <row r="4440" ht="15" customHeight="1" s="12"/>
    <row r="4441" ht="15" customHeight="1" s="12"/>
    <row r="4442" ht="15" customHeight="1" s="12"/>
    <row r="4443" ht="15" customHeight="1" s="12"/>
    <row r="4444" ht="15" customHeight="1" s="12"/>
    <row r="4445" ht="15" customHeight="1" s="12"/>
    <row r="4446" ht="15" customHeight="1" s="12"/>
    <row r="4447" ht="15" customHeight="1" s="12"/>
    <row r="4448" ht="15" customHeight="1" s="12"/>
    <row r="4449" ht="15" customHeight="1" s="12"/>
    <row r="4450" ht="15" customHeight="1" s="12"/>
    <row r="4451" ht="15" customHeight="1" s="12"/>
    <row r="4452" ht="15" customHeight="1" s="12"/>
    <row r="4453" ht="15" customHeight="1" s="12"/>
    <row r="4454" ht="15" customHeight="1" s="12"/>
    <row r="4455" ht="15" customHeight="1" s="12"/>
    <row r="4456" ht="15" customHeight="1" s="12"/>
    <row r="4457" ht="15" customHeight="1" s="12"/>
    <row r="4458" ht="15" customHeight="1" s="12"/>
    <row r="4459" ht="15" customHeight="1" s="12"/>
    <row r="4460" ht="15" customHeight="1" s="12"/>
    <row r="4461" ht="15" customHeight="1" s="12"/>
    <row r="4462" ht="15" customHeight="1" s="12"/>
    <row r="4463" ht="15" customHeight="1" s="12"/>
    <row r="4464" ht="15" customHeight="1" s="12"/>
    <row r="4465" ht="15" customHeight="1" s="12"/>
    <row r="4466" ht="15" customHeight="1" s="12"/>
    <row r="4467" ht="15" customHeight="1" s="12"/>
    <row r="4468" ht="15" customHeight="1" s="12"/>
    <row r="4469" ht="15" customHeight="1" s="12"/>
    <row r="4470" ht="15" customHeight="1" s="12"/>
    <row r="4471" ht="15" customHeight="1" s="12"/>
    <row r="4472" ht="15" customHeight="1" s="12"/>
    <row r="4473" ht="15" customHeight="1" s="12"/>
    <row r="4474" ht="15" customHeight="1" s="12"/>
    <row r="4475" ht="15" customHeight="1" s="12"/>
    <row r="4476" ht="15" customHeight="1" s="12"/>
    <row r="4477" ht="15" customHeight="1" s="12"/>
    <row r="4478" ht="15" customHeight="1" s="12"/>
    <row r="4479" ht="15" customHeight="1" s="12"/>
    <row r="4480" ht="15" customHeight="1" s="12"/>
    <row r="4481" ht="15" customHeight="1" s="12"/>
    <row r="4482" ht="15" customHeight="1" s="12"/>
    <row r="4483" ht="15" customHeight="1" s="12"/>
    <row r="4484" ht="15" customHeight="1" s="12"/>
    <row r="4485" ht="15" customHeight="1" s="12"/>
    <row r="4486" ht="15" customHeight="1" s="12"/>
    <row r="4487" ht="15" customHeight="1" s="12"/>
    <row r="4488" ht="15" customHeight="1" s="12"/>
    <row r="4489" ht="15" customHeight="1" s="12"/>
    <row r="4490" ht="15" customHeight="1" s="12"/>
    <row r="4491" ht="15" customHeight="1" s="12"/>
    <row r="4492" ht="15" customHeight="1" s="12"/>
    <row r="4493" ht="15" customHeight="1" s="12"/>
    <row r="4494" ht="15" customHeight="1" s="12"/>
    <row r="4495" ht="15" customHeight="1" s="12"/>
    <row r="4496" ht="15" customHeight="1" s="12"/>
    <row r="4497" ht="15" customHeight="1" s="12"/>
    <row r="4498" ht="15" customHeight="1" s="12"/>
    <row r="4499" ht="15" customHeight="1" s="12"/>
    <row r="4500" ht="15" customHeight="1" s="12"/>
    <row r="4501" ht="15" customHeight="1" s="12"/>
    <row r="4502" ht="15" customHeight="1" s="12"/>
    <row r="4503" ht="15" customHeight="1" s="12"/>
    <row r="4504" ht="15" customHeight="1" s="12"/>
    <row r="4505" ht="15" customHeight="1" s="12"/>
    <row r="4506" ht="15" customHeight="1" s="12"/>
    <row r="4507" ht="15" customHeight="1" s="12"/>
    <row r="4508" ht="15" customHeight="1" s="12"/>
    <row r="4509" ht="15" customHeight="1" s="12"/>
    <row r="4510" ht="15" customHeight="1" s="12"/>
    <row r="4511" ht="15" customHeight="1" s="12"/>
    <row r="4512" ht="15" customHeight="1" s="12"/>
    <row r="4513" ht="15" customHeight="1" s="12"/>
    <row r="4514" ht="15" customHeight="1" s="12"/>
    <row r="4515" ht="15" customHeight="1" s="12"/>
    <row r="4516" ht="15" customHeight="1" s="12"/>
    <row r="4517" ht="15" customHeight="1" s="12"/>
    <row r="4518" ht="15" customHeight="1" s="12"/>
    <row r="4519" ht="15" customHeight="1" s="12"/>
    <row r="4520" ht="15" customHeight="1" s="12"/>
    <row r="4521" ht="15" customHeight="1" s="12"/>
    <row r="4522" ht="15" customHeight="1" s="12"/>
    <row r="4523" ht="15" customHeight="1" s="12"/>
    <row r="4524" ht="15" customHeight="1" s="12"/>
    <row r="4525" ht="15" customHeight="1" s="12"/>
    <row r="4526" ht="15" customHeight="1" s="12"/>
    <row r="4527" ht="15" customHeight="1" s="12"/>
    <row r="4528" ht="15" customHeight="1" s="12"/>
    <row r="4529" ht="15" customHeight="1" s="12"/>
    <row r="4530" ht="15" customHeight="1" s="12"/>
    <row r="4531" ht="15" customHeight="1" s="12"/>
    <row r="4532" ht="15" customHeight="1" s="12"/>
    <row r="4533" ht="15" customHeight="1" s="12"/>
    <row r="4534" ht="15" customHeight="1" s="12"/>
    <row r="4535" ht="15" customHeight="1" s="12"/>
    <row r="4536" ht="15" customHeight="1" s="12"/>
    <row r="4537" ht="15" customHeight="1" s="12"/>
    <row r="4538" ht="15" customHeight="1" s="12"/>
    <row r="4539" ht="15" customHeight="1" s="12"/>
    <row r="4540" ht="15" customHeight="1" s="12"/>
    <row r="4541" ht="15" customHeight="1" s="12"/>
    <row r="4542" ht="15" customHeight="1" s="12"/>
    <row r="4543" ht="15" customHeight="1" s="12"/>
    <row r="4544" ht="15" customHeight="1" s="12"/>
    <row r="4545" ht="15" customHeight="1" s="12"/>
    <row r="4546" ht="15" customHeight="1" s="12"/>
    <row r="4547" ht="15" customHeight="1" s="12"/>
    <row r="4548" ht="15" customHeight="1" s="12"/>
    <row r="4549" ht="15" customHeight="1" s="12"/>
    <row r="4550" ht="15" customHeight="1" s="12"/>
    <row r="4551" ht="15" customHeight="1" s="12"/>
    <row r="4552" ht="15" customHeight="1" s="12"/>
    <row r="4553" ht="15" customHeight="1" s="12"/>
    <row r="4554" ht="15" customHeight="1" s="12"/>
    <row r="4555" ht="15" customHeight="1" s="12"/>
    <row r="4556" ht="15" customHeight="1" s="12"/>
    <row r="4557" ht="15" customHeight="1" s="12"/>
    <row r="4558" ht="15" customHeight="1" s="12"/>
    <row r="4559" ht="15" customHeight="1" s="12"/>
    <row r="4560" ht="15" customHeight="1" s="12"/>
    <row r="4561" ht="15" customHeight="1" s="12"/>
    <row r="4562" ht="15" customHeight="1" s="12"/>
    <row r="4563" ht="15" customHeight="1" s="12"/>
    <row r="4564" ht="15" customHeight="1" s="12"/>
    <row r="4565" ht="15" customHeight="1" s="12"/>
    <row r="4566" ht="15" customHeight="1" s="12"/>
    <row r="4567" ht="15" customHeight="1" s="12"/>
    <row r="4568" ht="15" customHeight="1" s="12"/>
    <row r="4569" ht="15" customHeight="1" s="12"/>
    <row r="4570" ht="15" customHeight="1" s="12"/>
    <row r="4571" ht="15" customHeight="1" s="12"/>
    <row r="4572" ht="15" customHeight="1" s="12"/>
    <row r="4573" ht="15" customHeight="1" s="12"/>
    <row r="4574" ht="15" customHeight="1" s="12"/>
    <row r="4575" ht="15" customHeight="1" s="12"/>
    <row r="4576" ht="15" customHeight="1" s="12"/>
    <row r="4577" ht="15" customHeight="1" s="12"/>
    <row r="4578" ht="15" customHeight="1" s="12"/>
    <row r="4579" ht="15" customHeight="1" s="12"/>
    <row r="4580" ht="15" customHeight="1" s="12"/>
    <row r="4581" ht="15" customHeight="1" s="12"/>
    <row r="4582" ht="15" customHeight="1" s="12"/>
    <row r="4583" ht="15" customHeight="1" s="12"/>
    <row r="4584" ht="15" customHeight="1" s="12"/>
    <row r="4585" ht="15" customHeight="1" s="12"/>
    <row r="4586" ht="15" customHeight="1" s="12"/>
    <row r="4587" ht="15" customHeight="1" s="12"/>
    <row r="4588" ht="15" customHeight="1" s="12"/>
    <row r="4589" ht="15" customHeight="1" s="12"/>
    <row r="4590" ht="15" customHeight="1" s="12"/>
    <row r="4591" ht="15" customHeight="1" s="12"/>
    <row r="4592" ht="15" customHeight="1" s="12"/>
    <row r="4593" ht="15" customHeight="1" s="12"/>
    <row r="4594" ht="15" customHeight="1" s="12"/>
    <row r="4595" ht="15" customHeight="1" s="12"/>
    <row r="4596" ht="15" customHeight="1" s="12"/>
    <row r="4597" ht="15" customHeight="1" s="12"/>
    <row r="4598" ht="15" customHeight="1" s="12"/>
    <row r="4599" ht="15" customHeight="1" s="12"/>
    <row r="4600" ht="15" customHeight="1" s="12"/>
    <row r="4601" ht="15" customHeight="1" s="12"/>
    <row r="4602" ht="15" customHeight="1" s="12"/>
    <row r="4603" ht="15" customHeight="1" s="12"/>
    <row r="4604" ht="15" customHeight="1" s="12"/>
    <row r="4605" ht="15" customHeight="1" s="12"/>
    <row r="4606" ht="15" customHeight="1" s="12"/>
    <row r="4607" ht="15" customHeight="1" s="12"/>
    <row r="4608" ht="15" customHeight="1" s="12"/>
    <row r="4609" ht="15" customHeight="1" s="12"/>
    <row r="4610" ht="15" customHeight="1" s="12"/>
    <row r="4611" ht="15" customHeight="1" s="12"/>
    <row r="4612" ht="15" customHeight="1" s="12"/>
    <row r="4613" ht="15" customHeight="1" s="12"/>
    <row r="4614" ht="15" customHeight="1" s="12"/>
    <row r="4615" ht="15" customHeight="1" s="12"/>
    <row r="4616" ht="15" customHeight="1" s="12"/>
    <row r="4617" ht="15" customHeight="1" s="12"/>
    <row r="4618" ht="15" customHeight="1" s="12"/>
    <row r="4619" ht="15" customHeight="1" s="12"/>
    <row r="4620" ht="15" customHeight="1" s="12"/>
    <row r="4621" ht="15" customHeight="1" s="12"/>
    <row r="4622" ht="15" customHeight="1" s="12"/>
    <row r="4623" ht="15" customHeight="1" s="12"/>
    <row r="4624" ht="15" customHeight="1" s="12"/>
    <row r="4625" ht="15" customHeight="1" s="12"/>
    <row r="4626" ht="15" customHeight="1" s="12"/>
    <row r="4627" ht="15" customHeight="1" s="12"/>
    <row r="4628" ht="15" customHeight="1" s="12"/>
    <row r="4629" ht="15" customHeight="1" s="12"/>
    <row r="4630" ht="15" customHeight="1" s="12"/>
    <row r="4631" ht="15" customHeight="1" s="12"/>
    <row r="4632" ht="15" customHeight="1" s="12"/>
    <row r="4633" ht="15" customHeight="1" s="12"/>
    <row r="4634" ht="15" customHeight="1" s="12"/>
    <row r="4635" ht="15" customHeight="1" s="12"/>
    <row r="4636" ht="15" customHeight="1" s="12"/>
    <row r="4637" ht="15" customHeight="1" s="12"/>
    <row r="4638" ht="15" customHeight="1" s="12"/>
    <row r="4639" ht="15" customHeight="1" s="12"/>
    <row r="4640" ht="15" customHeight="1" s="12"/>
    <row r="4641" ht="15" customHeight="1" s="12"/>
    <row r="4642" ht="15" customHeight="1" s="12"/>
    <row r="4643" ht="15" customHeight="1" s="12"/>
    <row r="4644" ht="15" customHeight="1" s="12"/>
    <row r="4645" ht="15" customHeight="1" s="12"/>
    <row r="4646" ht="15" customHeight="1" s="12"/>
    <row r="4647" ht="15" customHeight="1" s="12"/>
    <row r="4648" ht="15" customHeight="1" s="12"/>
    <row r="4649" ht="15" customHeight="1" s="12"/>
    <row r="4650" ht="15" customHeight="1" s="12"/>
    <row r="4651" ht="15" customHeight="1" s="12"/>
    <row r="4652" ht="15" customHeight="1" s="12"/>
    <row r="4653" ht="15" customHeight="1" s="12"/>
    <row r="4654" ht="15" customHeight="1" s="12"/>
    <row r="4655" ht="15" customHeight="1" s="12"/>
    <row r="4656" ht="15" customHeight="1" s="12"/>
    <row r="4657" ht="15" customHeight="1" s="12"/>
    <row r="4658" ht="15" customHeight="1" s="12"/>
    <row r="4659" ht="15" customHeight="1" s="12"/>
    <row r="4660" ht="15" customHeight="1" s="12"/>
    <row r="4661" ht="15" customHeight="1" s="12"/>
    <row r="4662" ht="15" customHeight="1" s="12"/>
    <row r="4663" ht="15" customHeight="1" s="12"/>
    <row r="4664" ht="15" customHeight="1" s="12"/>
    <row r="4665" ht="15" customHeight="1" s="12"/>
    <row r="4666" ht="15" customHeight="1" s="12"/>
    <row r="4667" ht="15" customHeight="1" s="12"/>
    <row r="4668" ht="15" customHeight="1" s="12"/>
    <row r="4669" ht="15" customHeight="1" s="12"/>
    <row r="4670" ht="15" customHeight="1" s="12"/>
    <row r="4671" ht="15" customHeight="1" s="12"/>
    <row r="4672" ht="15" customHeight="1" s="12"/>
    <row r="4673" ht="15" customHeight="1" s="12"/>
    <row r="4674" ht="15" customHeight="1" s="12"/>
    <row r="4675" ht="15" customHeight="1" s="12"/>
    <row r="4676" ht="15" customHeight="1" s="12"/>
    <row r="4677" ht="15" customHeight="1" s="12"/>
    <row r="4678" ht="15" customHeight="1" s="12"/>
    <row r="4679" ht="15" customHeight="1" s="12"/>
    <row r="4680" ht="15" customHeight="1" s="12"/>
    <row r="4681" ht="15" customHeight="1" s="12"/>
    <row r="4682" ht="15" customHeight="1" s="12"/>
    <row r="4683" ht="15" customHeight="1" s="12"/>
    <row r="4684" ht="15" customHeight="1" s="12"/>
    <row r="4685" ht="15" customHeight="1" s="12"/>
    <row r="4686" ht="15" customHeight="1" s="12"/>
    <row r="4687" ht="15" customHeight="1" s="12"/>
    <row r="4688" ht="15" customHeight="1" s="12"/>
    <row r="4689" ht="15" customHeight="1" s="12"/>
    <row r="4690" ht="15" customHeight="1" s="12"/>
    <row r="4691" ht="15" customHeight="1" s="12"/>
    <row r="4692" ht="15" customHeight="1" s="12"/>
    <row r="4693" ht="15" customHeight="1" s="12"/>
    <row r="4694" ht="15" customHeight="1" s="12"/>
    <row r="4695" ht="15" customHeight="1" s="12"/>
    <row r="4696" ht="15" customHeight="1" s="12"/>
    <row r="4697" ht="15" customHeight="1" s="12"/>
    <row r="4698" ht="15" customHeight="1" s="12"/>
    <row r="4699" ht="15" customHeight="1" s="12"/>
    <row r="4700" ht="15" customHeight="1" s="12"/>
    <row r="4701" ht="15" customHeight="1" s="12"/>
    <row r="4702" ht="15" customHeight="1" s="12"/>
    <row r="4703" ht="15" customHeight="1" s="12"/>
    <row r="4704" ht="15" customHeight="1" s="12"/>
    <row r="4705" ht="15" customHeight="1" s="12"/>
    <row r="4706" ht="15" customHeight="1" s="12"/>
    <row r="4707" ht="15" customHeight="1" s="12"/>
    <row r="4708" ht="15" customHeight="1" s="12"/>
    <row r="4709" ht="15" customHeight="1" s="12"/>
    <row r="4710" ht="15" customHeight="1" s="12"/>
    <row r="4711" ht="15" customHeight="1" s="12"/>
    <row r="4712" ht="15" customHeight="1" s="12"/>
    <row r="4713" ht="15" customHeight="1" s="12"/>
    <row r="4714" ht="15" customHeight="1" s="12"/>
    <row r="4715" ht="15" customHeight="1" s="12"/>
    <row r="4716" ht="15" customHeight="1" s="12"/>
    <row r="4717" ht="15" customHeight="1" s="12"/>
    <row r="4718" ht="15" customHeight="1" s="12"/>
    <row r="4719" ht="15" customHeight="1" s="12"/>
    <row r="4720" ht="15" customHeight="1" s="12"/>
    <row r="4721" ht="15" customHeight="1" s="12"/>
    <row r="4722" ht="15" customHeight="1" s="12"/>
    <row r="4723" ht="15" customHeight="1" s="12"/>
    <row r="4724" ht="15" customHeight="1" s="12"/>
    <row r="4725" ht="15" customHeight="1" s="12"/>
    <row r="4726" ht="15" customHeight="1" s="12"/>
    <row r="4727" ht="15" customHeight="1" s="12"/>
    <row r="4728" ht="15" customHeight="1" s="12"/>
    <row r="4729" ht="15" customHeight="1" s="12"/>
    <row r="4730" ht="15" customHeight="1" s="12"/>
    <row r="4731" ht="15" customHeight="1" s="12"/>
    <row r="4732" ht="15" customHeight="1" s="12"/>
    <row r="4733" ht="15" customHeight="1" s="12"/>
    <row r="4734" ht="15" customHeight="1" s="12"/>
    <row r="4735" ht="15" customHeight="1" s="12"/>
    <row r="4736" ht="15" customHeight="1" s="12"/>
    <row r="4737" ht="15" customHeight="1" s="12"/>
    <row r="4738" ht="15" customHeight="1" s="12"/>
    <row r="4739" ht="15" customHeight="1" s="12"/>
    <row r="4740" ht="15" customHeight="1" s="12"/>
    <row r="4741" ht="15" customHeight="1" s="12"/>
    <row r="4742" ht="15" customHeight="1" s="12"/>
    <row r="4743" ht="15" customHeight="1" s="12"/>
    <row r="4744" ht="15" customHeight="1" s="12"/>
    <row r="4745" ht="15" customHeight="1" s="12"/>
    <row r="4746" ht="15" customHeight="1" s="12"/>
    <row r="4747" ht="15" customHeight="1" s="12"/>
    <row r="4748" ht="15" customHeight="1" s="12"/>
    <row r="4749" ht="15" customHeight="1" s="12"/>
    <row r="4750" ht="15" customHeight="1" s="12"/>
    <row r="4751" ht="15" customHeight="1" s="12"/>
    <row r="4752" ht="15" customHeight="1" s="12"/>
    <row r="4753" ht="15" customHeight="1" s="12"/>
    <row r="4754" ht="15" customHeight="1" s="12"/>
    <row r="4755" ht="15" customHeight="1" s="12"/>
    <row r="4756" ht="15" customHeight="1" s="12"/>
    <row r="4757" ht="15" customHeight="1" s="12"/>
    <row r="4758" ht="15" customHeight="1" s="12"/>
    <row r="4759" ht="15" customHeight="1" s="12"/>
    <row r="4760" ht="15" customHeight="1" s="12"/>
    <row r="4761" ht="15" customHeight="1" s="12"/>
    <row r="4762" ht="15" customHeight="1" s="12"/>
    <row r="4763" ht="15" customHeight="1" s="12"/>
    <row r="4764" ht="15" customHeight="1" s="12"/>
    <row r="4765" ht="15" customHeight="1" s="12"/>
    <row r="4766" ht="15" customHeight="1" s="12"/>
    <row r="4767" ht="15" customHeight="1" s="12"/>
    <row r="4768" ht="15" customHeight="1" s="12"/>
    <row r="4769" ht="15" customHeight="1" s="12"/>
    <row r="4770" ht="15" customHeight="1" s="12"/>
    <row r="4771" ht="15" customHeight="1" s="12"/>
    <row r="4772" ht="15" customHeight="1" s="12"/>
    <row r="4773" ht="15" customHeight="1" s="12"/>
    <row r="4774" ht="15" customHeight="1" s="12"/>
    <row r="4775" ht="15" customHeight="1" s="12"/>
    <row r="4776" ht="15" customHeight="1" s="12"/>
    <row r="4777" ht="15" customHeight="1" s="12"/>
    <row r="4778" ht="15" customHeight="1" s="12"/>
    <row r="4779" ht="15" customHeight="1" s="12"/>
    <row r="4780" ht="15" customHeight="1" s="12"/>
    <row r="4781" ht="15" customHeight="1" s="12"/>
    <row r="4782" ht="15" customHeight="1" s="12"/>
    <row r="4783" ht="15" customHeight="1" s="12"/>
    <row r="4784" ht="15" customHeight="1" s="12"/>
    <row r="4785" ht="15" customHeight="1" s="12"/>
    <row r="4786" ht="15" customHeight="1" s="12"/>
    <row r="4787" ht="15" customHeight="1" s="12"/>
    <row r="4788" ht="15" customHeight="1" s="12"/>
    <row r="4789" ht="15" customHeight="1" s="12"/>
    <row r="4790" ht="15" customHeight="1" s="12"/>
    <row r="4791" ht="15" customHeight="1" s="12"/>
    <row r="4792" ht="15" customHeight="1" s="12"/>
    <row r="4793" ht="15" customHeight="1" s="12"/>
    <row r="4794" ht="15" customHeight="1" s="12"/>
    <row r="4795" ht="15" customHeight="1" s="12"/>
    <row r="4796" ht="15" customHeight="1" s="12"/>
    <row r="4797" ht="15" customHeight="1" s="12"/>
    <row r="4798" ht="15" customHeight="1" s="12"/>
    <row r="4799" ht="15" customHeight="1" s="12"/>
    <row r="4800" ht="15" customHeight="1" s="12"/>
    <row r="4801" ht="15" customHeight="1" s="12"/>
    <row r="4802" ht="15" customHeight="1" s="12"/>
    <row r="4803" ht="15" customHeight="1" s="12"/>
    <row r="4804" ht="15" customHeight="1" s="12"/>
    <row r="4805" ht="15" customHeight="1" s="12"/>
    <row r="4806" ht="15" customHeight="1" s="12"/>
    <row r="4807" ht="15" customHeight="1" s="12"/>
    <row r="4808" ht="15" customHeight="1" s="12"/>
    <row r="4809" ht="15" customHeight="1" s="12"/>
    <row r="4810" ht="15" customHeight="1" s="12"/>
    <row r="4811" ht="15" customHeight="1" s="12"/>
    <row r="4812" ht="15" customHeight="1" s="12"/>
    <row r="4813" ht="15" customHeight="1" s="12"/>
    <row r="4814" ht="15" customHeight="1" s="12"/>
    <row r="4815" ht="15" customHeight="1" s="12"/>
    <row r="4816" ht="15" customHeight="1" s="12"/>
    <row r="4817" ht="15" customHeight="1" s="12"/>
    <row r="4818" ht="15" customHeight="1" s="12"/>
    <row r="4819" ht="15" customHeight="1" s="12"/>
    <row r="4820" ht="15" customHeight="1" s="12"/>
    <row r="4821" ht="15" customHeight="1" s="12"/>
    <row r="4822" ht="15" customHeight="1" s="12"/>
    <row r="4823" ht="15" customHeight="1" s="12"/>
    <row r="4824" ht="15" customHeight="1" s="12"/>
    <row r="4825" ht="15" customHeight="1" s="12"/>
    <row r="4826" ht="15" customHeight="1" s="12"/>
    <row r="4827" ht="15" customHeight="1" s="12"/>
    <row r="4828" ht="15" customHeight="1" s="12"/>
    <row r="4829" ht="15" customHeight="1" s="12"/>
    <row r="4830" ht="15" customHeight="1" s="12"/>
    <row r="4831" ht="15" customHeight="1" s="12"/>
    <row r="4832" ht="15" customHeight="1" s="12"/>
    <row r="4833" ht="15" customHeight="1" s="12"/>
    <row r="4834" ht="15" customHeight="1" s="12"/>
    <row r="4835" ht="15" customHeight="1" s="12"/>
    <row r="4836" ht="15" customHeight="1" s="12"/>
    <row r="4837" ht="15" customHeight="1" s="12"/>
    <row r="4838" ht="15" customHeight="1" s="12"/>
    <row r="4839" ht="15" customHeight="1" s="12"/>
    <row r="4840" ht="15" customHeight="1" s="12"/>
    <row r="4841" ht="15" customHeight="1" s="12"/>
    <row r="4842" ht="15" customHeight="1" s="12"/>
    <row r="4843" ht="15" customHeight="1" s="12"/>
    <row r="4844" ht="15" customHeight="1" s="12"/>
    <row r="4845" ht="15" customHeight="1" s="12"/>
    <row r="4846" ht="15" customHeight="1" s="12"/>
    <row r="4847" ht="15" customHeight="1" s="12"/>
    <row r="4848" ht="15" customHeight="1" s="12"/>
    <row r="4849" ht="15" customHeight="1" s="12"/>
    <row r="4850" ht="15" customHeight="1" s="12"/>
    <row r="4851" ht="15" customHeight="1" s="12"/>
    <row r="4852" ht="15" customHeight="1" s="12"/>
    <row r="4853" ht="15" customHeight="1" s="12"/>
    <row r="4854" ht="15" customHeight="1" s="12"/>
    <row r="4855" ht="15" customHeight="1" s="12"/>
    <row r="4856" ht="15" customHeight="1" s="12"/>
    <row r="4857" ht="15" customHeight="1" s="12"/>
    <row r="4858" ht="15" customHeight="1" s="12"/>
    <row r="4859" ht="15" customHeight="1" s="12"/>
    <row r="4860" ht="15" customHeight="1" s="12"/>
    <row r="4861" ht="15" customHeight="1" s="12"/>
    <row r="4862" ht="15" customHeight="1" s="12"/>
    <row r="4863" ht="15" customHeight="1" s="12"/>
    <row r="4864" ht="15" customHeight="1" s="12"/>
    <row r="4865" ht="15" customHeight="1" s="12"/>
    <row r="4866" ht="15" customHeight="1" s="12"/>
    <row r="4867" ht="15" customHeight="1" s="12"/>
    <row r="4868" ht="15" customHeight="1" s="12"/>
    <row r="4869" ht="15" customHeight="1" s="12"/>
    <row r="4870" ht="15" customHeight="1" s="12"/>
    <row r="4871" ht="15" customHeight="1" s="12"/>
    <row r="4872" ht="15" customHeight="1" s="12"/>
    <row r="4873" ht="15" customHeight="1" s="12"/>
    <row r="4874" ht="15" customHeight="1" s="12"/>
    <row r="4875" ht="15" customHeight="1" s="12"/>
    <row r="4876" ht="15" customHeight="1" s="12"/>
    <row r="4877" ht="15" customHeight="1" s="12"/>
    <row r="4878" ht="15" customHeight="1" s="12"/>
    <row r="4879" ht="15" customHeight="1" s="12"/>
    <row r="4880" ht="15" customHeight="1" s="12"/>
    <row r="4881" ht="15" customHeight="1" s="12"/>
    <row r="4882" ht="15" customHeight="1" s="12"/>
    <row r="4883" ht="15" customHeight="1" s="12"/>
    <row r="4884" ht="15" customHeight="1" s="12"/>
    <row r="4885" ht="15" customHeight="1" s="12"/>
    <row r="4886" ht="15" customHeight="1" s="12"/>
    <row r="4887" ht="15" customHeight="1" s="12"/>
    <row r="4888" ht="15" customHeight="1" s="12"/>
    <row r="4889" ht="15" customHeight="1" s="12"/>
    <row r="4890" ht="15" customHeight="1" s="12"/>
    <row r="4891" ht="15" customHeight="1" s="12"/>
    <row r="4892" ht="15" customHeight="1" s="12"/>
    <row r="4893" ht="15" customHeight="1" s="12"/>
    <row r="4894" ht="15" customHeight="1" s="12"/>
    <row r="4895" ht="15" customHeight="1" s="12"/>
    <row r="4896" ht="15" customHeight="1" s="12"/>
    <row r="4897" ht="15" customHeight="1" s="12"/>
    <row r="4898" ht="15" customHeight="1" s="12"/>
    <row r="4899" ht="15" customHeight="1" s="12"/>
    <row r="4900" ht="15" customHeight="1" s="12"/>
    <row r="4901" ht="15" customHeight="1" s="12"/>
    <row r="4902" ht="15" customHeight="1" s="12"/>
    <row r="4903" ht="15" customHeight="1" s="12"/>
    <row r="4904" ht="15" customHeight="1" s="12"/>
    <row r="4905" ht="15" customHeight="1" s="12"/>
    <row r="4906" ht="15" customHeight="1" s="12"/>
    <row r="4907" ht="15" customHeight="1" s="12"/>
    <row r="4908" ht="15" customHeight="1" s="12"/>
    <row r="4909" ht="15" customHeight="1" s="12"/>
    <row r="4910" ht="15" customHeight="1" s="12"/>
    <row r="4911" ht="15" customHeight="1" s="12"/>
    <row r="4912" ht="15" customHeight="1" s="12"/>
    <row r="4913" ht="15" customHeight="1" s="12"/>
    <row r="4914" ht="15" customHeight="1" s="12"/>
    <row r="4915" ht="15" customHeight="1" s="12"/>
    <row r="4916" ht="15" customHeight="1" s="12"/>
    <row r="4917" ht="15" customHeight="1" s="12"/>
    <row r="4918" ht="15" customHeight="1" s="12"/>
    <row r="4919" ht="15" customHeight="1" s="12"/>
    <row r="4920" ht="15" customHeight="1" s="12"/>
    <row r="4921" ht="15" customHeight="1" s="12"/>
    <row r="4922" ht="15" customHeight="1" s="12"/>
    <row r="4923" ht="15" customHeight="1" s="12"/>
    <row r="4924" ht="15" customHeight="1" s="12"/>
    <row r="4925" ht="15" customHeight="1" s="12"/>
    <row r="4926" ht="15" customHeight="1" s="12"/>
    <row r="4927" ht="15" customHeight="1" s="12"/>
    <row r="4928" ht="15" customHeight="1" s="12"/>
    <row r="4929" ht="15" customHeight="1" s="12"/>
    <row r="4930" ht="15" customHeight="1" s="12"/>
    <row r="4931" ht="15" customHeight="1" s="12"/>
    <row r="4932" ht="15" customHeight="1" s="12"/>
    <row r="4933" ht="15" customHeight="1" s="12"/>
    <row r="4934" ht="15" customHeight="1" s="12"/>
    <row r="4935" ht="15" customHeight="1" s="12"/>
    <row r="4936" ht="15" customHeight="1" s="12"/>
    <row r="4937" ht="15" customHeight="1" s="12"/>
    <row r="4938" ht="15" customHeight="1" s="12"/>
    <row r="4939" ht="15" customHeight="1" s="12"/>
    <row r="4940" ht="15" customHeight="1" s="12"/>
    <row r="4941" ht="15" customHeight="1" s="12"/>
    <row r="4942" ht="15" customHeight="1" s="12"/>
    <row r="4943" ht="15" customHeight="1" s="12"/>
    <row r="4944" ht="15" customHeight="1" s="12"/>
    <row r="4945" ht="15" customHeight="1" s="12"/>
    <row r="4946" ht="15" customHeight="1" s="12"/>
    <row r="4947" ht="15" customHeight="1" s="12"/>
    <row r="4948" ht="15" customHeight="1" s="12"/>
    <row r="4949" ht="15" customHeight="1" s="12"/>
    <row r="4950" ht="15" customHeight="1" s="12"/>
    <row r="4951" ht="15" customHeight="1" s="12"/>
    <row r="4952" ht="15" customHeight="1" s="12"/>
    <row r="4953" ht="15" customHeight="1" s="12"/>
    <row r="4954" ht="15" customHeight="1" s="12"/>
    <row r="4955" ht="15" customHeight="1" s="12"/>
    <row r="4956" ht="15" customHeight="1" s="12"/>
    <row r="4957" ht="15" customHeight="1" s="12"/>
    <row r="4958" ht="15" customHeight="1" s="12"/>
    <row r="4959" ht="15" customHeight="1" s="12"/>
    <row r="4960" ht="15" customHeight="1" s="12"/>
    <row r="4961" ht="15" customHeight="1" s="12"/>
    <row r="4962" ht="15" customHeight="1" s="12"/>
    <row r="4963" ht="15" customHeight="1" s="12"/>
    <row r="4964" ht="15" customHeight="1" s="12"/>
    <row r="4965" ht="15" customHeight="1" s="12"/>
    <row r="4966" ht="15" customHeight="1" s="12"/>
    <row r="4967" ht="15" customHeight="1" s="12"/>
    <row r="4968" ht="15" customHeight="1" s="12"/>
    <row r="4969" ht="15" customHeight="1" s="12"/>
    <row r="4970" ht="15" customHeight="1" s="12"/>
    <row r="4971" ht="15" customHeight="1" s="12"/>
    <row r="4972" ht="15" customHeight="1" s="12"/>
    <row r="4973" ht="15" customHeight="1" s="12"/>
    <row r="4974" ht="15" customHeight="1" s="12"/>
    <row r="4975" ht="15" customHeight="1" s="12"/>
    <row r="4976" ht="15" customHeight="1" s="12"/>
    <row r="4977" ht="15" customHeight="1" s="12"/>
    <row r="4978" ht="15" customHeight="1" s="12"/>
    <row r="4979" ht="15" customHeight="1" s="12"/>
    <row r="4980" ht="15" customHeight="1" s="12"/>
    <row r="4981" ht="15" customHeight="1" s="12"/>
    <row r="4982" ht="15" customHeight="1" s="12"/>
    <row r="4983" ht="15" customHeight="1" s="12"/>
    <row r="4984" ht="15" customHeight="1" s="12"/>
    <row r="4985" ht="15" customHeight="1" s="12"/>
    <row r="4986" ht="15" customHeight="1" s="12"/>
    <row r="4987" ht="15" customHeight="1" s="12"/>
    <row r="4988" ht="15" customHeight="1" s="12"/>
    <row r="4989" ht="15" customHeight="1" s="12"/>
    <row r="4990" ht="15" customHeight="1" s="12"/>
    <row r="4991" ht="15" customHeight="1" s="12"/>
    <row r="4992" ht="15" customHeight="1" s="12"/>
    <row r="4993" ht="15" customHeight="1" s="12"/>
    <row r="4994" ht="15" customHeight="1" s="12"/>
    <row r="4995" ht="15" customHeight="1" s="12"/>
    <row r="4996" ht="15" customHeight="1" s="12"/>
    <row r="4997" ht="15" customHeight="1" s="12"/>
    <row r="4998" ht="15" customHeight="1" s="12"/>
    <row r="4999" ht="15" customHeight="1" s="12"/>
    <row r="5000" ht="15" customHeight="1" s="12"/>
    <row r="5001" ht="15" customHeight="1" s="12"/>
    <row r="5002" ht="15" customHeight="1" s="12"/>
    <row r="5003" ht="15" customHeight="1" s="12"/>
    <row r="5004" ht="15" customHeight="1" s="12"/>
    <row r="5005" ht="15" customHeight="1" s="12"/>
    <row r="5006" ht="15" customHeight="1" s="12"/>
    <row r="5007" ht="15" customHeight="1" s="12"/>
    <row r="5008" ht="15" customHeight="1" s="12"/>
    <row r="5009" ht="15" customHeight="1" s="12"/>
    <row r="5010" ht="15" customHeight="1" s="12"/>
    <row r="5011" ht="15" customHeight="1" s="12"/>
    <row r="5012" ht="15" customHeight="1" s="12"/>
    <row r="5013" ht="15" customHeight="1" s="12"/>
    <row r="5014" ht="15" customHeight="1" s="12"/>
    <row r="5015" ht="15" customHeight="1" s="12"/>
    <row r="5016" ht="15" customHeight="1" s="12"/>
    <row r="5017" ht="15" customHeight="1" s="12"/>
    <row r="5018" ht="15" customHeight="1" s="12"/>
    <row r="5019" ht="15" customHeight="1" s="12"/>
    <row r="5020" ht="15" customHeight="1" s="12"/>
    <row r="5021" ht="15" customHeight="1" s="12"/>
    <row r="5022" ht="15" customHeight="1" s="12"/>
    <row r="5023" ht="15" customHeight="1" s="12"/>
    <row r="5024" ht="15" customHeight="1" s="12"/>
    <row r="5025" ht="15" customHeight="1" s="12"/>
    <row r="5026" ht="15" customHeight="1" s="12"/>
    <row r="5027" ht="15" customHeight="1" s="12"/>
    <row r="5028" ht="15" customHeight="1" s="12"/>
    <row r="5029" ht="15" customHeight="1" s="12"/>
    <row r="5030" ht="15" customHeight="1" s="12"/>
    <row r="5031" ht="15" customHeight="1" s="12"/>
    <row r="5032" ht="15" customHeight="1" s="12"/>
    <row r="5033" ht="15" customHeight="1" s="12"/>
    <row r="5034" ht="15" customHeight="1" s="12"/>
    <row r="5035" ht="15" customHeight="1" s="12"/>
    <row r="5036" ht="15" customHeight="1" s="12"/>
    <row r="5037" ht="15" customHeight="1" s="12"/>
    <row r="5038" ht="15" customHeight="1" s="12"/>
    <row r="5039" ht="15" customHeight="1" s="12"/>
    <row r="5040" ht="15" customHeight="1" s="12"/>
    <row r="5041" ht="15" customHeight="1" s="12"/>
    <row r="5042" ht="15" customHeight="1" s="12"/>
    <row r="5043" ht="15" customHeight="1" s="12"/>
    <row r="5044" ht="15" customHeight="1" s="12"/>
    <row r="5045" ht="15" customHeight="1" s="12"/>
    <row r="5046" ht="15" customHeight="1" s="12"/>
    <row r="5047" ht="15" customHeight="1" s="12"/>
    <row r="5048" ht="15" customHeight="1" s="12"/>
    <row r="5049" ht="15" customHeight="1" s="12"/>
    <row r="5050" ht="15" customHeight="1" s="12"/>
    <row r="5051" ht="15" customHeight="1" s="12"/>
    <row r="5052" ht="15" customHeight="1" s="12"/>
    <row r="5053" ht="15" customHeight="1" s="12"/>
    <row r="5054" ht="15" customHeight="1" s="12"/>
    <row r="5055" ht="15" customHeight="1" s="12"/>
    <row r="5056" ht="15" customHeight="1" s="12"/>
    <row r="5057" ht="15" customHeight="1" s="12"/>
    <row r="5058" ht="15" customHeight="1" s="12"/>
    <row r="5059" ht="15" customHeight="1" s="12"/>
    <row r="5060" ht="15" customHeight="1" s="12"/>
    <row r="5061" ht="15" customHeight="1" s="12"/>
    <row r="5062" ht="15" customHeight="1" s="12"/>
    <row r="5063" ht="15" customHeight="1" s="12"/>
    <row r="5064" ht="15" customHeight="1" s="12"/>
    <row r="5065" ht="15" customHeight="1" s="12"/>
    <row r="5066" ht="15" customHeight="1" s="12"/>
    <row r="5067" ht="15" customHeight="1" s="12"/>
    <row r="5068" ht="15" customHeight="1" s="12"/>
    <row r="5069" ht="15" customHeight="1" s="12"/>
    <row r="5070" ht="15" customHeight="1" s="12"/>
    <row r="5071" ht="15" customHeight="1" s="12"/>
    <row r="5072" ht="15" customHeight="1" s="12"/>
    <row r="5073" ht="15" customHeight="1" s="12"/>
    <row r="5074" ht="15" customHeight="1" s="12"/>
    <row r="5075" ht="15" customHeight="1" s="12"/>
    <row r="5076" ht="15" customHeight="1" s="12"/>
    <row r="5077" ht="15" customHeight="1" s="12"/>
    <row r="5078" ht="15" customHeight="1" s="12"/>
    <row r="5079" ht="15" customHeight="1" s="12"/>
    <row r="5080" ht="15" customHeight="1" s="12"/>
    <row r="5081" ht="15" customHeight="1" s="12"/>
    <row r="5082" ht="15" customHeight="1" s="12"/>
    <row r="5083" ht="15" customHeight="1" s="12"/>
    <row r="5084" ht="15" customHeight="1" s="12"/>
    <row r="5085" ht="15" customHeight="1" s="12"/>
    <row r="5086" ht="15" customHeight="1" s="12"/>
    <row r="5087" ht="15" customHeight="1" s="12"/>
    <row r="5088" ht="15" customHeight="1" s="12"/>
    <row r="5089" ht="15" customHeight="1" s="12"/>
    <row r="5090" ht="15" customHeight="1" s="12"/>
    <row r="5091" ht="15" customHeight="1" s="12"/>
    <row r="5092" ht="15" customHeight="1" s="12"/>
    <row r="5093" ht="15" customHeight="1" s="12"/>
    <row r="5094" ht="15" customHeight="1" s="12"/>
    <row r="5095" ht="15" customHeight="1" s="12"/>
    <row r="5096" ht="15" customHeight="1" s="12"/>
    <row r="5097" ht="15" customHeight="1" s="12"/>
    <row r="5098" ht="15" customHeight="1" s="12"/>
    <row r="5099" ht="15" customHeight="1" s="12"/>
    <row r="5100" ht="15" customHeight="1" s="12"/>
    <row r="5101" ht="15" customHeight="1" s="12"/>
    <row r="5102" ht="15" customHeight="1" s="12"/>
    <row r="5103" ht="15" customHeight="1" s="12"/>
    <row r="5104" ht="15" customHeight="1" s="12"/>
    <row r="5105" ht="15" customHeight="1" s="12"/>
    <row r="5106" ht="15" customHeight="1" s="12"/>
    <row r="5107" ht="15" customHeight="1" s="12"/>
    <row r="5108" ht="15" customHeight="1" s="12"/>
    <row r="5109" ht="15" customHeight="1" s="12"/>
    <row r="5110" ht="15" customHeight="1" s="12"/>
    <row r="5111" ht="15" customHeight="1" s="12"/>
    <row r="5112" ht="15" customHeight="1" s="12"/>
    <row r="5113" ht="15" customHeight="1" s="12"/>
    <row r="5114" ht="15" customHeight="1" s="12"/>
    <row r="5115" ht="15" customHeight="1" s="12"/>
    <row r="5116" ht="15" customHeight="1" s="12"/>
    <row r="5117" ht="15" customHeight="1" s="12"/>
    <row r="5118" ht="15" customHeight="1" s="12"/>
    <row r="5119" ht="15" customHeight="1" s="12"/>
    <row r="5120" ht="15" customHeight="1" s="12"/>
    <row r="5121" ht="15" customHeight="1" s="12"/>
    <row r="5122" ht="15" customHeight="1" s="12"/>
    <row r="5123" ht="15" customHeight="1" s="12"/>
    <row r="5124" ht="15" customHeight="1" s="12"/>
    <row r="5125" ht="15" customHeight="1" s="12"/>
    <row r="5126" ht="15" customHeight="1" s="12"/>
    <row r="5127" ht="15" customHeight="1" s="12"/>
    <row r="5128" ht="15" customHeight="1" s="12"/>
    <row r="5129" ht="15" customHeight="1" s="12"/>
    <row r="5130" ht="15" customHeight="1" s="12"/>
    <row r="5131" ht="15" customHeight="1" s="12"/>
    <row r="5132" ht="15" customHeight="1" s="12"/>
    <row r="5133" ht="15" customHeight="1" s="12"/>
    <row r="5134" ht="15" customHeight="1" s="12"/>
    <row r="5135" ht="15" customHeight="1" s="12"/>
    <row r="5136" ht="15" customHeight="1" s="12"/>
    <row r="5137" ht="15" customHeight="1" s="12"/>
    <row r="5138" ht="15" customHeight="1" s="12"/>
    <row r="5139" ht="15" customHeight="1" s="12"/>
    <row r="5140" ht="15" customHeight="1" s="12"/>
    <row r="5141" ht="15" customHeight="1" s="12"/>
    <row r="5142" ht="15" customHeight="1" s="12"/>
    <row r="5143" ht="15" customHeight="1" s="12"/>
    <row r="5144" ht="15" customHeight="1" s="12"/>
    <row r="5145" ht="15" customHeight="1" s="12"/>
    <row r="5146" ht="15" customHeight="1" s="12"/>
    <row r="5147" ht="15" customHeight="1" s="12"/>
    <row r="5148" ht="15" customHeight="1" s="12"/>
    <row r="5149" ht="15" customHeight="1" s="12"/>
    <row r="5150" ht="15" customHeight="1" s="12"/>
    <row r="5151" ht="15" customHeight="1" s="12"/>
    <row r="5152" ht="15" customHeight="1" s="12"/>
    <row r="5153" ht="15" customHeight="1" s="12"/>
    <row r="5154" ht="15" customHeight="1" s="12"/>
    <row r="5155" ht="15" customHeight="1" s="12"/>
    <row r="5156" ht="15" customHeight="1" s="12"/>
    <row r="5157" ht="15" customHeight="1" s="12"/>
    <row r="5158" ht="15" customHeight="1" s="12"/>
    <row r="5159" ht="15" customHeight="1" s="12"/>
    <row r="5160" ht="15" customHeight="1" s="12"/>
    <row r="5161" ht="15" customHeight="1" s="12"/>
    <row r="5162" ht="15" customHeight="1" s="12"/>
    <row r="5163" ht="15" customHeight="1" s="12"/>
    <row r="5164" ht="15" customHeight="1" s="12"/>
    <row r="5165" ht="15" customHeight="1" s="12"/>
    <row r="5166" ht="15" customHeight="1" s="12"/>
    <row r="5167" ht="15" customHeight="1" s="12"/>
    <row r="5168" ht="15" customHeight="1" s="12"/>
    <row r="5169" ht="15" customHeight="1" s="12"/>
    <row r="5170" ht="15" customHeight="1" s="12"/>
    <row r="5171" ht="15" customHeight="1" s="12"/>
    <row r="5172" ht="15" customHeight="1" s="12"/>
    <row r="5173" ht="15" customHeight="1" s="12"/>
    <row r="5174" ht="15" customHeight="1" s="12"/>
    <row r="5175" ht="15" customHeight="1" s="12"/>
    <row r="5176" ht="15" customHeight="1" s="12"/>
    <row r="5177" ht="15" customHeight="1" s="12"/>
    <row r="5178" ht="15" customHeight="1" s="12"/>
    <row r="5179" ht="15" customHeight="1" s="12"/>
    <row r="5180" ht="15" customHeight="1" s="12"/>
    <row r="5181" ht="15" customHeight="1" s="12"/>
    <row r="5182" ht="15" customHeight="1" s="12"/>
    <row r="5183" ht="15" customHeight="1" s="12"/>
    <row r="5184" ht="15" customHeight="1" s="12"/>
    <row r="5185" ht="15" customHeight="1" s="12"/>
    <row r="5186" ht="15" customHeight="1" s="12"/>
    <row r="5187" ht="15" customHeight="1" s="12"/>
    <row r="5188" ht="15" customHeight="1" s="12"/>
    <row r="5189" ht="15" customHeight="1" s="12"/>
    <row r="5190" ht="15" customHeight="1" s="12"/>
    <row r="5191" ht="15" customHeight="1" s="12"/>
    <row r="5192" ht="15" customHeight="1" s="12"/>
    <row r="5193" ht="15" customHeight="1" s="12"/>
    <row r="5194" ht="15" customHeight="1" s="12"/>
    <row r="5195" ht="15" customHeight="1" s="12"/>
    <row r="5196" ht="15" customHeight="1" s="12"/>
    <row r="5197" ht="15" customHeight="1" s="12"/>
    <row r="5198" ht="15" customHeight="1" s="12"/>
    <row r="5199" ht="15" customHeight="1" s="12"/>
    <row r="5200" ht="15" customHeight="1" s="12"/>
    <row r="5201" ht="15" customHeight="1" s="12"/>
    <row r="5202" ht="15" customHeight="1" s="12"/>
    <row r="5203" ht="15" customHeight="1" s="12"/>
    <row r="5204" ht="15" customHeight="1" s="12"/>
    <row r="5205" ht="15" customHeight="1" s="12"/>
    <row r="5206" ht="15" customHeight="1" s="12"/>
    <row r="5207" ht="15" customHeight="1" s="12"/>
    <row r="5208" ht="15" customHeight="1" s="12"/>
    <row r="5209" ht="15" customHeight="1" s="12"/>
    <row r="5210" ht="15" customHeight="1" s="12"/>
    <row r="5211" ht="15" customHeight="1" s="12"/>
    <row r="5212" ht="15" customHeight="1" s="12"/>
    <row r="5213" ht="15" customHeight="1" s="12"/>
    <row r="5214" ht="15" customHeight="1" s="12"/>
    <row r="5215" ht="15" customHeight="1" s="12"/>
    <row r="5216" ht="15" customHeight="1" s="12"/>
    <row r="5217" ht="15" customHeight="1" s="12"/>
    <row r="5218" ht="15" customHeight="1" s="12"/>
    <row r="5219" ht="15" customHeight="1" s="12"/>
    <row r="5220" ht="15" customHeight="1" s="12"/>
    <row r="5221" ht="15" customHeight="1" s="12"/>
    <row r="5222" ht="15" customHeight="1" s="12"/>
    <row r="5223" ht="15" customHeight="1" s="12"/>
    <row r="5224" ht="15" customHeight="1" s="12"/>
    <row r="5225" ht="15" customHeight="1" s="12"/>
    <row r="5226" ht="15" customHeight="1" s="12"/>
    <row r="5227" ht="15" customHeight="1" s="12"/>
    <row r="5228" ht="15" customHeight="1" s="12"/>
    <row r="5229" ht="15" customHeight="1" s="12"/>
    <row r="5230" ht="15" customHeight="1" s="12"/>
    <row r="5231" ht="15" customHeight="1" s="12"/>
    <row r="5232" ht="15" customHeight="1" s="12"/>
    <row r="5233" ht="15" customHeight="1" s="12"/>
    <row r="5234" ht="15" customHeight="1" s="12"/>
    <row r="5235" ht="15" customHeight="1" s="12"/>
    <row r="5236" ht="15" customHeight="1" s="12"/>
    <row r="5237" ht="15" customHeight="1" s="12"/>
    <row r="5238" ht="15" customHeight="1" s="12"/>
    <row r="5239" ht="15" customHeight="1" s="12"/>
    <row r="5240" ht="15" customHeight="1" s="12"/>
    <row r="5241" ht="15" customHeight="1" s="12"/>
    <row r="5242" ht="15" customHeight="1" s="12"/>
    <row r="5243" ht="15" customHeight="1" s="12"/>
    <row r="5244" ht="15" customHeight="1" s="12"/>
    <row r="5245" ht="15" customHeight="1" s="12"/>
    <row r="5246" ht="15" customHeight="1" s="12"/>
    <row r="5247" ht="15" customHeight="1" s="12"/>
    <row r="5248" ht="15" customHeight="1" s="12"/>
    <row r="5249" ht="15" customHeight="1" s="12"/>
    <row r="5250" ht="15" customHeight="1" s="12"/>
    <row r="5251" ht="15" customHeight="1" s="12"/>
    <row r="5252" ht="15" customHeight="1" s="12"/>
    <row r="5253" ht="15" customHeight="1" s="12"/>
    <row r="5254" ht="15" customHeight="1" s="12"/>
    <row r="5255" ht="15" customHeight="1" s="12"/>
    <row r="5256" ht="15" customHeight="1" s="12"/>
    <row r="5257" ht="15" customHeight="1" s="12"/>
    <row r="5258" ht="15" customHeight="1" s="12"/>
    <row r="5259" ht="15" customHeight="1" s="12"/>
    <row r="5260" ht="15" customHeight="1" s="12"/>
    <row r="5261" ht="15" customHeight="1" s="12"/>
    <row r="5262" ht="15" customHeight="1" s="12"/>
    <row r="5263" ht="15" customHeight="1" s="12"/>
    <row r="5264" ht="15" customHeight="1" s="12"/>
    <row r="5265" ht="15" customHeight="1" s="12"/>
    <row r="5266" ht="15" customHeight="1" s="12"/>
    <row r="5267" ht="15" customHeight="1" s="12"/>
    <row r="5268" ht="15" customHeight="1" s="12"/>
    <row r="5269" ht="15" customHeight="1" s="12"/>
    <row r="5270" ht="15" customHeight="1" s="12"/>
    <row r="5271" ht="15" customHeight="1" s="12"/>
    <row r="5272" ht="15" customHeight="1" s="12"/>
    <row r="5273" ht="15" customHeight="1" s="12"/>
    <row r="5274" ht="15" customHeight="1" s="12"/>
    <row r="5275" ht="15" customHeight="1" s="12"/>
    <row r="5276" ht="15" customHeight="1" s="12"/>
    <row r="5277" ht="15" customHeight="1" s="12"/>
    <row r="5278" ht="15" customHeight="1" s="12"/>
    <row r="5279" ht="15" customHeight="1" s="12"/>
    <row r="5280" ht="15" customHeight="1" s="12"/>
    <row r="5281" ht="15" customHeight="1" s="12"/>
    <row r="5282" ht="15" customHeight="1" s="12"/>
    <row r="5283" ht="15" customHeight="1" s="12"/>
    <row r="5284" ht="15" customHeight="1" s="12"/>
    <row r="5285" ht="15" customHeight="1" s="12"/>
    <row r="5286" ht="15" customHeight="1" s="12"/>
    <row r="5287" ht="15" customHeight="1" s="12"/>
    <row r="5288" ht="15" customHeight="1" s="12"/>
    <row r="5289" ht="15" customHeight="1" s="12"/>
    <row r="5290" ht="15" customHeight="1" s="12"/>
    <row r="5291" ht="15" customHeight="1" s="12"/>
    <row r="5292" ht="15" customHeight="1" s="12"/>
    <row r="5293" ht="15" customHeight="1" s="12"/>
    <row r="5294" ht="15" customHeight="1" s="12"/>
    <row r="5295" ht="15" customHeight="1" s="12"/>
    <row r="5296" ht="15" customHeight="1" s="12"/>
    <row r="5297" ht="15" customHeight="1" s="12"/>
    <row r="5298" ht="15" customHeight="1" s="12"/>
    <row r="5299" ht="15" customHeight="1" s="12"/>
    <row r="5300" ht="15" customHeight="1" s="12"/>
    <row r="5301" ht="15" customHeight="1" s="12"/>
    <row r="5302" ht="15" customHeight="1" s="12"/>
    <row r="5303" ht="15" customHeight="1" s="12"/>
    <row r="5304" ht="15" customHeight="1" s="12"/>
    <row r="5305" ht="15" customHeight="1" s="12"/>
    <row r="5306" ht="15" customHeight="1" s="12"/>
    <row r="5307" ht="15" customHeight="1" s="12"/>
    <row r="5308" ht="15" customHeight="1" s="12"/>
    <row r="5309" ht="15" customHeight="1" s="12"/>
    <row r="5310" ht="15" customHeight="1" s="12"/>
    <row r="5311" ht="15" customHeight="1" s="12"/>
    <row r="5312" ht="15" customHeight="1" s="12"/>
    <row r="5313" ht="15" customHeight="1" s="12"/>
    <row r="5314" ht="15" customHeight="1" s="12"/>
    <row r="5315" ht="15" customHeight="1" s="12"/>
    <row r="5316" ht="15" customHeight="1" s="12"/>
    <row r="5317" ht="15" customHeight="1" s="12"/>
    <row r="5318" ht="15" customHeight="1" s="12"/>
    <row r="5319" ht="15" customHeight="1" s="12"/>
    <row r="5320" ht="15" customHeight="1" s="12"/>
    <row r="5321" ht="15" customHeight="1" s="12"/>
    <row r="5322" ht="15" customHeight="1" s="12"/>
    <row r="5323" ht="15" customHeight="1" s="12"/>
    <row r="5324" ht="15" customHeight="1" s="12"/>
    <row r="5325" ht="15" customHeight="1" s="12"/>
    <row r="5326" ht="15" customHeight="1" s="12"/>
    <row r="5327" ht="15" customHeight="1" s="12"/>
    <row r="5328" ht="15" customHeight="1" s="12"/>
    <row r="5329" ht="15" customHeight="1" s="12"/>
    <row r="5330" ht="15" customHeight="1" s="12"/>
    <row r="5331" ht="15" customHeight="1" s="12"/>
    <row r="5332" ht="15" customHeight="1" s="12"/>
    <row r="5333" ht="15" customHeight="1" s="12"/>
    <row r="5334" ht="15" customHeight="1" s="12"/>
    <row r="5335" ht="15" customHeight="1" s="12"/>
    <row r="5336" ht="15" customHeight="1" s="12"/>
    <row r="5337" ht="15" customHeight="1" s="12"/>
    <row r="5338" ht="15" customHeight="1" s="12"/>
    <row r="5339" ht="15" customHeight="1" s="12"/>
    <row r="5340" ht="15" customHeight="1" s="12"/>
    <row r="5341" ht="15" customHeight="1" s="12"/>
    <row r="5342" ht="15" customHeight="1" s="12"/>
    <row r="5343" ht="15" customHeight="1" s="12"/>
    <row r="5344" ht="15" customHeight="1" s="12"/>
    <row r="5345" ht="15" customHeight="1" s="12"/>
    <row r="5346" ht="15" customHeight="1" s="12"/>
    <row r="5347" ht="15" customHeight="1" s="12"/>
    <row r="5348" ht="15" customHeight="1" s="12"/>
    <row r="5349" ht="15" customHeight="1" s="12"/>
    <row r="5350" ht="15" customHeight="1" s="12"/>
    <row r="5351" ht="15" customHeight="1" s="12"/>
    <row r="5352" ht="15" customHeight="1" s="12"/>
    <row r="5353" ht="15" customHeight="1" s="12"/>
    <row r="5354" ht="15" customHeight="1" s="12"/>
    <row r="5355" ht="15" customHeight="1" s="12"/>
    <row r="5356" ht="15" customHeight="1" s="12"/>
    <row r="5357" ht="15" customHeight="1" s="12"/>
    <row r="5358" ht="15" customHeight="1" s="12"/>
    <row r="5359" ht="15" customHeight="1" s="12"/>
    <row r="5360" ht="15" customHeight="1" s="12"/>
    <row r="5361" ht="15" customHeight="1" s="12"/>
    <row r="5362" ht="15" customHeight="1" s="12"/>
    <row r="5363" ht="15" customHeight="1" s="12"/>
    <row r="5364" ht="15" customHeight="1" s="12"/>
    <row r="5365" ht="15" customHeight="1" s="12"/>
    <row r="5366" ht="15" customHeight="1" s="12"/>
    <row r="5367" ht="15" customHeight="1" s="12"/>
    <row r="5368" ht="15" customHeight="1" s="12"/>
    <row r="5369" ht="15" customHeight="1" s="12"/>
    <row r="5370" ht="15" customHeight="1" s="12"/>
    <row r="5371" ht="15" customHeight="1" s="12"/>
    <row r="5372" ht="15" customHeight="1" s="12"/>
    <row r="5373" ht="15" customHeight="1" s="12"/>
    <row r="5374" ht="15" customHeight="1" s="12"/>
    <row r="5375" ht="15" customHeight="1" s="12"/>
    <row r="5376" ht="15" customHeight="1" s="12"/>
    <row r="5377" ht="15" customHeight="1" s="12"/>
    <row r="5378" ht="15" customHeight="1" s="12"/>
    <row r="5379" ht="15" customHeight="1" s="12"/>
    <row r="5380" ht="15" customHeight="1" s="12"/>
    <row r="5381" ht="15" customHeight="1" s="12"/>
    <row r="5382" ht="15" customHeight="1" s="12"/>
    <row r="5383" ht="15" customHeight="1" s="12"/>
    <row r="5384" ht="15" customHeight="1" s="12"/>
    <row r="5385" ht="15" customHeight="1" s="12"/>
    <row r="5386" ht="15" customHeight="1" s="12"/>
    <row r="5387" ht="15" customHeight="1" s="12"/>
    <row r="5388" ht="15" customHeight="1" s="12"/>
    <row r="5389" ht="15" customHeight="1" s="12"/>
    <row r="5390" ht="15" customHeight="1" s="12"/>
    <row r="5391" ht="15" customHeight="1" s="12"/>
    <row r="5392" ht="15" customHeight="1" s="12"/>
    <row r="5393" ht="15" customHeight="1" s="12"/>
    <row r="5394" ht="15" customHeight="1" s="12"/>
    <row r="5395" ht="15" customHeight="1" s="12"/>
    <row r="5396" ht="15" customHeight="1" s="12"/>
    <row r="5397" ht="15" customHeight="1" s="12"/>
    <row r="5398" ht="15" customHeight="1" s="12"/>
    <row r="5399" ht="15" customHeight="1" s="12"/>
    <row r="5400" ht="15" customHeight="1" s="12"/>
    <row r="5401" ht="15" customHeight="1" s="12"/>
    <row r="5402" ht="15" customHeight="1" s="12"/>
    <row r="5403" ht="15" customHeight="1" s="12"/>
    <row r="5404" ht="15" customHeight="1" s="12"/>
    <row r="5405" ht="15" customHeight="1" s="12"/>
    <row r="5406" ht="15" customHeight="1" s="12"/>
    <row r="5407" ht="15" customHeight="1" s="12"/>
    <row r="5408" ht="15" customHeight="1" s="12"/>
    <row r="5409" ht="15" customHeight="1" s="12"/>
    <row r="5410" ht="15" customHeight="1" s="12"/>
    <row r="5411" ht="15" customHeight="1" s="12"/>
    <row r="5412" ht="15" customHeight="1" s="12"/>
    <row r="5413" ht="15" customHeight="1" s="12"/>
    <row r="5414" ht="15" customHeight="1" s="12"/>
    <row r="5415" ht="15" customHeight="1" s="12"/>
    <row r="5416" ht="15" customHeight="1" s="12"/>
    <row r="5417" ht="15" customHeight="1" s="12"/>
    <row r="5418" ht="15" customHeight="1" s="12"/>
    <row r="5419" ht="15" customHeight="1" s="12"/>
    <row r="5420" ht="15" customHeight="1" s="12"/>
    <row r="5421" ht="15" customHeight="1" s="12"/>
    <row r="5422" ht="15" customHeight="1" s="12"/>
    <row r="5423" ht="15" customHeight="1" s="12"/>
    <row r="5424" ht="15" customHeight="1" s="12"/>
    <row r="5425" ht="15" customHeight="1" s="12"/>
    <row r="5426" ht="15" customHeight="1" s="12"/>
    <row r="5427" ht="15" customHeight="1" s="12"/>
    <row r="5428" ht="15" customHeight="1" s="12"/>
    <row r="5429" ht="15" customHeight="1" s="12"/>
    <row r="5430" ht="15" customHeight="1" s="12"/>
    <row r="5431" ht="15" customHeight="1" s="12"/>
    <row r="5432" ht="15" customHeight="1" s="12"/>
    <row r="5433" ht="15" customHeight="1" s="12"/>
    <row r="5434" ht="15" customHeight="1" s="12"/>
    <row r="5435" ht="15" customHeight="1" s="12"/>
    <row r="5436" ht="15" customHeight="1" s="12"/>
    <row r="5437" ht="15" customHeight="1" s="12"/>
    <row r="5438" ht="15" customHeight="1" s="12"/>
    <row r="5439" ht="15" customHeight="1" s="12"/>
    <row r="5440" ht="15" customHeight="1" s="12"/>
    <row r="5441" ht="15" customHeight="1" s="12"/>
    <row r="5442" ht="15" customHeight="1" s="12"/>
    <row r="5443" ht="15" customHeight="1" s="12"/>
    <row r="5444" ht="15" customHeight="1" s="12"/>
    <row r="5445" ht="15" customHeight="1" s="12"/>
    <row r="5446" ht="15" customHeight="1" s="12"/>
    <row r="5447" ht="15" customHeight="1" s="12"/>
    <row r="5448" ht="15" customHeight="1" s="12"/>
    <row r="5449" ht="15" customHeight="1" s="12"/>
    <row r="5450" ht="15" customHeight="1" s="12"/>
    <row r="5451" ht="15" customHeight="1" s="12"/>
    <row r="5452" ht="15" customHeight="1" s="12"/>
    <row r="5453" ht="15" customHeight="1" s="12"/>
    <row r="5454" ht="15" customHeight="1" s="12"/>
    <row r="5455" ht="15" customHeight="1" s="12"/>
    <row r="5456" ht="15" customHeight="1" s="12"/>
    <row r="5457" ht="15" customHeight="1" s="12"/>
    <row r="5458" ht="15" customHeight="1" s="12"/>
    <row r="5459" ht="15" customHeight="1" s="12"/>
    <row r="5460" ht="15" customHeight="1" s="12"/>
    <row r="5461" ht="15" customHeight="1" s="12"/>
    <row r="5462" ht="15" customHeight="1" s="12"/>
    <row r="5463" ht="15" customHeight="1" s="12"/>
    <row r="5464" ht="15" customHeight="1" s="12"/>
    <row r="5465" ht="15" customHeight="1" s="12"/>
    <row r="5466" ht="15" customHeight="1" s="12"/>
    <row r="5467" ht="15" customHeight="1" s="12"/>
    <row r="5468" ht="15" customHeight="1" s="12"/>
    <row r="5469" ht="15" customHeight="1" s="12"/>
    <row r="5470" ht="15" customHeight="1" s="12"/>
    <row r="5471" ht="15" customHeight="1" s="12"/>
    <row r="5472" ht="15" customHeight="1" s="12"/>
    <row r="5473" ht="15" customHeight="1" s="12"/>
    <row r="5474" ht="15" customHeight="1" s="12"/>
    <row r="5475" ht="15" customHeight="1" s="12"/>
    <row r="5476" ht="15" customHeight="1" s="12"/>
    <row r="5477" ht="15" customHeight="1" s="12"/>
    <row r="5478" ht="15" customHeight="1" s="12"/>
    <row r="5479" ht="15" customHeight="1" s="12"/>
    <row r="5480" ht="15" customHeight="1" s="12"/>
    <row r="5481" ht="15" customHeight="1" s="12"/>
    <row r="5482" ht="15" customHeight="1" s="12"/>
    <row r="5483" ht="15" customHeight="1" s="12"/>
    <row r="5484" ht="15" customHeight="1" s="12"/>
    <row r="5485" ht="15" customHeight="1" s="12"/>
    <row r="5486" ht="15" customHeight="1" s="12"/>
    <row r="5487" ht="15" customHeight="1" s="12"/>
    <row r="5488" ht="15" customHeight="1" s="12"/>
    <row r="5489" ht="15" customHeight="1" s="12"/>
    <row r="5490" ht="15" customHeight="1" s="12"/>
    <row r="5491" ht="15" customHeight="1" s="12"/>
    <row r="5492" ht="15" customHeight="1" s="12"/>
    <row r="5493" ht="15" customHeight="1" s="12"/>
    <row r="5494" ht="15" customHeight="1" s="12"/>
    <row r="5495" ht="15" customHeight="1" s="12"/>
    <row r="5496" ht="15" customHeight="1" s="12"/>
    <row r="5497" ht="15" customHeight="1" s="12"/>
    <row r="5498" ht="15" customHeight="1" s="12"/>
    <row r="5499" ht="15" customHeight="1" s="12"/>
    <row r="5500" ht="15" customHeight="1" s="12"/>
    <row r="5501" ht="15" customHeight="1" s="12"/>
    <row r="5502" ht="15" customHeight="1" s="12"/>
    <row r="5503" ht="15" customHeight="1" s="12"/>
    <row r="5504" ht="15" customHeight="1" s="12"/>
    <row r="5505" ht="15" customHeight="1" s="12"/>
    <row r="5506" ht="15" customHeight="1" s="12"/>
    <row r="5507" ht="15" customHeight="1" s="12"/>
    <row r="5508" ht="15" customHeight="1" s="12"/>
    <row r="5509" ht="15" customHeight="1" s="12"/>
    <row r="5510" ht="15" customHeight="1" s="12"/>
    <row r="5511" ht="15" customHeight="1" s="12"/>
    <row r="5512" ht="15" customHeight="1" s="12"/>
    <row r="5513" ht="15" customHeight="1" s="12"/>
    <row r="5514" ht="15" customHeight="1" s="12"/>
    <row r="5515" ht="15" customHeight="1" s="12"/>
    <row r="5516" ht="15" customHeight="1" s="12"/>
    <row r="5517" ht="15" customHeight="1" s="12"/>
    <row r="5518" ht="15" customHeight="1" s="12"/>
    <row r="5519" ht="15" customHeight="1" s="12"/>
    <row r="5520" ht="15" customHeight="1" s="12"/>
    <row r="5521" ht="15" customHeight="1" s="12"/>
    <row r="5522" ht="15" customHeight="1" s="12"/>
    <row r="5523" ht="15" customHeight="1" s="12"/>
    <row r="5524" ht="15" customHeight="1" s="12"/>
    <row r="5525" ht="15" customHeight="1" s="12"/>
    <row r="5526" ht="15" customHeight="1" s="12"/>
    <row r="5527" ht="15" customHeight="1" s="12"/>
    <row r="5528" ht="15" customHeight="1" s="12"/>
    <row r="5529" ht="15" customHeight="1" s="12"/>
    <row r="5530" ht="15" customHeight="1" s="12"/>
    <row r="5531" ht="15" customHeight="1" s="12"/>
    <row r="5532" ht="15" customHeight="1" s="12"/>
    <row r="5533" ht="15" customHeight="1" s="12"/>
    <row r="5534" ht="15" customHeight="1" s="12"/>
    <row r="5535" ht="15" customHeight="1" s="12"/>
    <row r="5536" ht="15" customHeight="1" s="12"/>
    <row r="5537" ht="15" customHeight="1" s="12"/>
    <row r="5538" ht="15" customHeight="1" s="12"/>
    <row r="5539" ht="15" customHeight="1" s="12"/>
    <row r="5540" ht="15" customHeight="1" s="12"/>
    <row r="5541" ht="15" customHeight="1" s="12"/>
    <row r="5542" ht="15" customHeight="1" s="12"/>
    <row r="5543" ht="15" customHeight="1" s="12"/>
    <row r="5544" ht="15" customHeight="1" s="12"/>
    <row r="5545" ht="15" customHeight="1" s="12"/>
    <row r="5546" ht="15" customHeight="1" s="12"/>
    <row r="5547" ht="15" customHeight="1" s="12"/>
    <row r="5548" ht="15" customHeight="1" s="12"/>
    <row r="5549" ht="15" customHeight="1" s="12"/>
    <row r="5550" ht="15" customHeight="1" s="12"/>
    <row r="5551" ht="15" customHeight="1" s="12"/>
    <row r="5552" ht="15" customHeight="1" s="12"/>
    <row r="5553" ht="15" customHeight="1" s="12"/>
    <row r="5554" ht="15" customHeight="1" s="12"/>
    <row r="5555" ht="15" customHeight="1" s="12"/>
    <row r="5556" ht="15" customHeight="1" s="12"/>
    <row r="5557" ht="15" customHeight="1" s="12"/>
    <row r="5558" ht="15" customHeight="1" s="12"/>
    <row r="5559" ht="15" customHeight="1" s="12"/>
    <row r="5560" ht="15" customHeight="1" s="12"/>
    <row r="5561" ht="15" customHeight="1" s="12"/>
    <row r="5562" ht="15" customHeight="1" s="12"/>
    <row r="5563" ht="15" customHeight="1" s="12"/>
    <row r="5564" ht="15" customHeight="1" s="12"/>
    <row r="5565" ht="15" customHeight="1" s="12"/>
    <row r="5566" ht="15" customHeight="1" s="12"/>
    <row r="5567" ht="15" customHeight="1" s="12"/>
    <row r="5568" ht="15" customHeight="1" s="12"/>
    <row r="5569" ht="15" customHeight="1" s="12"/>
    <row r="5570" ht="15" customHeight="1" s="12"/>
    <row r="5571" ht="15" customHeight="1" s="12"/>
    <row r="5572" ht="15" customHeight="1" s="12"/>
    <row r="5573" ht="15" customHeight="1" s="12"/>
    <row r="5574" ht="15" customHeight="1" s="12"/>
    <row r="5575" ht="15" customHeight="1" s="12"/>
    <row r="5576" ht="15" customHeight="1" s="12"/>
    <row r="5577" ht="15" customHeight="1" s="12"/>
    <row r="5578" ht="15" customHeight="1" s="12"/>
    <row r="5579" ht="15" customHeight="1" s="12"/>
    <row r="5580" ht="15" customHeight="1" s="12"/>
    <row r="5581" ht="15" customHeight="1" s="12"/>
    <row r="5582" ht="15" customHeight="1" s="12"/>
    <row r="5583" ht="15" customHeight="1" s="12"/>
    <row r="5584" ht="15" customHeight="1" s="12"/>
    <row r="5585" ht="15" customHeight="1" s="12"/>
    <row r="5586" ht="15" customHeight="1" s="12"/>
    <row r="5587" ht="15" customHeight="1" s="12"/>
    <row r="5588" ht="15" customHeight="1" s="12"/>
    <row r="5589" ht="15" customHeight="1" s="12"/>
    <row r="5590" ht="15" customHeight="1" s="12"/>
    <row r="5591" ht="15" customHeight="1" s="12"/>
    <row r="5592" ht="15" customHeight="1" s="12"/>
    <row r="5593" ht="15" customHeight="1" s="12"/>
    <row r="5594" ht="15" customHeight="1" s="12"/>
    <row r="5595" ht="15" customHeight="1" s="12"/>
    <row r="5596" ht="15" customHeight="1" s="12"/>
    <row r="5597" ht="15" customHeight="1" s="12"/>
    <row r="5598" ht="15" customHeight="1" s="12"/>
    <row r="5599" ht="15" customHeight="1" s="12"/>
    <row r="5600" ht="15" customHeight="1" s="12"/>
    <row r="5601" ht="15" customHeight="1" s="12"/>
    <row r="5602" ht="15" customHeight="1" s="12"/>
    <row r="5603" ht="15" customHeight="1" s="12"/>
    <row r="5604" ht="15" customHeight="1" s="12"/>
    <row r="5605" ht="15" customHeight="1" s="12"/>
    <row r="5606" ht="15" customHeight="1" s="12"/>
    <row r="5607" ht="15" customHeight="1" s="12"/>
    <row r="5608" ht="15" customHeight="1" s="12"/>
    <row r="5609" ht="15" customHeight="1" s="12"/>
    <row r="5610" ht="15" customHeight="1" s="12"/>
    <row r="5611" ht="15" customHeight="1" s="12"/>
    <row r="5612" ht="15" customHeight="1" s="12"/>
    <row r="5613" ht="15" customHeight="1" s="12"/>
    <row r="5614" ht="15" customHeight="1" s="12"/>
    <row r="5615" ht="15" customHeight="1" s="12"/>
    <row r="5616" ht="15" customHeight="1" s="12"/>
    <row r="5617" ht="15" customHeight="1" s="12"/>
    <row r="5618" ht="15" customHeight="1" s="12"/>
    <row r="5619" ht="15" customHeight="1" s="12"/>
    <row r="5620" ht="15" customHeight="1" s="12"/>
    <row r="5621" ht="15" customHeight="1" s="12"/>
    <row r="5622" ht="15" customHeight="1" s="12"/>
    <row r="5623" ht="15" customHeight="1" s="12"/>
    <row r="5624" ht="15" customHeight="1" s="12"/>
    <row r="5625" ht="15" customHeight="1" s="12"/>
    <row r="5626" ht="15" customHeight="1" s="12"/>
    <row r="5627" ht="15" customHeight="1" s="12"/>
    <row r="5628" ht="15" customHeight="1" s="12"/>
    <row r="5629" ht="15" customHeight="1" s="12"/>
    <row r="5630" ht="15" customHeight="1" s="12"/>
    <row r="5631" ht="15" customHeight="1" s="12"/>
    <row r="5632" ht="15" customHeight="1" s="12"/>
    <row r="5633" ht="15" customHeight="1" s="12"/>
    <row r="5634" ht="15" customHeight="1" s="12"/>
    <row r="5635" ht="15" customHeight="1" s="12"/>
    <row r="5636" ht="15" customHeight="1" s="12"/>
    <row r="5637" ht="15" customHeight="1" s="12"/>
    <row r="5638" ht="15" customHeight="1" s="12"/>
    <row r="5639" ht="15" customHeight="1" s="12"/>
    <row r="5640" ht="15" customHeight="1" s="12"/>
    <row r="5641" ht="15" customHeight="1" s="12"/>
    <row r="5642" ht="15" customHeight="1" s="12"/>
    <row r="5643" ht="15" customHeight="1" s="12"/>
    <row r="5644" ht="15" customHeight="1" s="12"/>
    <row r="5645" ht="15" customHeight="1" s="12"/>
    <row r="5646" ht="15" customHeight="1" s="12"/>
    <row r="5647" ht="15" customHeight="1" s="12"/>
    <row r="5648" ht="15" customHeight="1" s="12"/>
    <row r="5649" ht="15" customHeight="1" s="12"/>
    <row r="5650" ht="15" customHeight="1" s="12"/>
    <row r="5651" ht="15" customHeight="1" s="12"/>
    <row r="5652" ht="15" customHeight="1" s="12"/>
    <row r="5653" ht="15" customHeight="1" s="12"/>
    <row r="5654" ht="15" customHeight="1" s="12"/>
    <row r="5655" ht="15" customHeight="1" s="12"/>
    <row r="5656" ht="15" customHeight="1" s="12"/>
    <row r="5657" ht="15" customHeight="1" s="12"/>
    <row r="5658" ht="15" customHeight="1" s="12"/>
    <row r="5659" ht="15" customHeight="1" s="12"/>
    <row r="5660" ht="15" customHeight="1" s="12"/>
    <row r="5661" ht="15" customHeight="1" s="12"/>
    <row r="5662" ht="15" customHeight="1" s="12"/>
    <row r="5663" ht="15" customHeight="1" s="12"/>
    <row r="5664" ht="15" customHeight="1" s="12"/>
    <row r="5665" ht="15" customHeight="1" s="12"/>
    <row r="5666" ht="15" customHeight="1" s="12"/>
    <row r="5667" ht="15" customHeight="1" s="12"/>
    <row r="5668" ht="15" customHeight="1" s="12"/>
    <row r="5669" ht="15" customHeight="1" s="12"/>
    <row r="5670" ht="15" customHeight="1" s="12"/>
    <row r="5671" ht="15" customHeight="1" s="12"/>
    <row r="5672" ht="15" customHeight="1" s="12"/>
    <row r="5673" ht="15" customHeight="1" s="12"/>
    <row r="5674" ht="15" customHeight="1" s="12"/>
    <row r="5675" ht="15" customHeight="1" s="12"/>
    <row r="5676" ht="15" customHeight="1" s="12"/>
    <row r="5677" ht="15" customHeight="1" s="12"/>
    <row r="5678" ht="15" customHeight="1" s="12"/>
    <row r="5679" ht="15" customHeight="1" s="12"/>
    <row r="5680" ht="15" customHeight="1" s="12"/>
    <row r="5681" ht="15" customHeight="1" s="12"/>
    <row r="5682" ht="15" customHeight="1" s="12"/>
    <row r="5683" ht="15" customHeight="1" s="12"/>
    <row r="5684" ht="15" customHeight="1" s="12"/>
    <row r="5685" ht="15" customHeight="1" s="12"/>
    <row r="5686" ht="15" customHeight="1" s="12"/>
    <row r="5687" ht="15" customHeight="1" s="12"/>
    <row r="5688" ht="15" customHeight="1" s="12"/>
    <row r="5689" ht="15" customHeight="1" s="12"/>
    <row r="5690" ht="15" customHeight="1" s="12"/>
    <row r="5691" ht="15" customHeight="1" s="12"/>
    <row r="5692" ht="15" customHeight="1" s="12"/>
    <row r="5693" ht="15" customHeight="1" s="12"/>
    <row r="5694" ht="15" customHeight="1" s="12"/>
    <row r="5695" ht="15" customHeight="1" s="12"/>
    <row r="5696" ht="15" customHeight="1" s="12"/>
    <row r="5697" ht="15" customHeight="1" s="12"/>
    <row r="5698" ht="15" customHeight="1" s="12"/>
    <row r="5699" ht="15" customHeight="1" s="12"/>
    <row r="5700" ht="15" customHeight="1" s="12"/>
    <row r="5701" ht="15" customHeight="1" s="12"/>
    <row r="5702" ht="15" customHeight="1" s="12"/>
    <row r="5703" ht="15" customHeight="1" s="12"/>
    <row r="5704" ht="15" customHeight="1" s="12"/>
    <row r="5705" ht="15" customHeight="1" s="12"/>
    <row r="5706" ht="15" customHeight="1" s="12"/>
    <row r="5707" ht="15" customHeight="1" s="12"/>
    <row r="5708" ht="15" customHeight="1" s="12"/>
    <row r="5709" ht="15" customHeight="1" s="12"/>
    <row r="5710" ht="15" customHeight="1" s="12"/>
    <row r="5711" ht="15" customHeight="1" s="12"/>
    <row r="5712" ht="15" customHeight="1" s="12"/>
    <row r="5713" ht="15" customHeight="1" s="12"/>
    <row r="5714" ht="15" customHeight="1" s="12"/>
    <row r="5715" ht="15" customHeight="1" s="12"/>
    <row r="5716" ht="15" customHeight="1" s="12"/>
    <row r="5717" ht="15" customHeight="1" s="12"/>
    <row r="5718" ht="15" customHeight="1" s="12"/>
    <row r="5719" ht="15" customHeight="1" s="12"/>
    <row r="5720" ht="15" customHeight="1" s="12"/>
    <row r="5721" ht="15" customHeight="1" s="12"/>
    <row r="5722" ht="15" customHeight="1" s="12"/>
    <row r="5723" ht="15" customHeight="1" s="12"/>
    <row r="5724" ht="15" customHeight="1" s="12"/>
    <row r="5725" ht="15" customHeight="1" s="12"/>
    <row r="5726" ht="15" customHeight="1" s="12"/>
    <row r="5727" ht="15" customHeight="1" s="12"/>
    <row r="5728" ht="15" customHeight="1" s="12"/>
    <row r="5729" ht="15" customHeight="1" s="12"/>
    <row r="5730" ht="15" customHeight="1" s="12"/>
    <row r="5731" ht="15" customHeight="1" s="12"/>
    <row r="5732" ht="15" customHeight="1" s="12"/>
    <row r="5733" ht="15" customHeight="1" s="12"/>
    <row r="5734" ht="15" customHeight="1" s="12"/>
    <row r="5735" ht="15" customHeight="1" s="12"/>
    <row r="5736" ht="15" customHeight="1" s="12"/>
    <row r="5737" ht="15" customHeight="1" s="12"/>
    <row r="5738" ht="15" customHeight="1" s="12"/>
    <row r="5739" ht="15" customHeight="1" s="12"/>
    <row r="5740" ht="15" customHeight="1" s="12"/>
    <row r="5741" ht="15" customHeight="1" s="12"/>
    <row r="5742" ht="15" customHeight="1" s="12"/>
    <row r="5743" ht="15" customHeight="1" s="12"/>
    <row r="5744" ht="15" customHeight="1" s="12"/>
    <row r="5745" ht="15" customHeight="1" s="12"/>
    <row r="5746" ht="15" customHeight="1" s="12"/>
    <row r="5747" ht="15" customHeight="1" s="12"/>
    <row r="5748" ht="15" customHeight="1" s="12"/>
    <row r="5749" ht="15" customHeight="1" s="12"/>
    <row r="5750" ht="15" customHeight="1" s="12"/>
    <row r="5751" ht="15" customHeight="1" s="12"/>
    <row r="5752" ht="15" customHeight="1" s="12"/>
    <row r="5753" ht="15" customHeight="1" s="12"/>
    <row r="5754" ht="15" customHeight="1" s="12"/>
    <row r="5755" ht="15" customHeight="1" s="12"/>
    <row r="5756" ht="15" customHeight="1" s="12"/>
    <row r="5757" ht="15" customHeight="1" s="12"/>
    <row r="5758" ht="15" customHeight="1" s="12"/>
    <row r="5759" ht="15" customHeight="1" s="12"/>
    <row r="5760" ht="15" customHeight="1" s="12"/>
    <row r="5761" ht="15" customHeight="1" s="12"/>
    <row r="5762" ht="15" customHeight="1" s="12"/>
    <row r="5763" ht="15" customHeight="1" s="12"/>
    <row r="5764" ht="15" customHeight="1" s="12"/>
    <row r="5765" ht="15" customHeight="1" s="12"/>
    <row r="5766" ht="15" customHeight="1" s="12"/>
    <row r="5767" ht="15" customHeight="1" s="12"/>
    <row r="5768" ht="15" customHeight="1" s="12"/>
    <row r="5769" ht="15" customHeight="1" s="12"/>
    <row r="5770" ht="15" customHeight="1" s="12"/>
    <row r="5771" ht="15" customHeight="1" s="12"/>
    <row r="5772" ht="15" customHeight="1" s="12"/>
    <row r="5773" ht="15" customHeight="1" s="12"/>
    <row r="5774" ht="15" customHeight="1" s="12"/>
    <row r="5775" ht="15" customHeight="1" s="12"/>
    <row r="5776" ht="15" customHeight="1" s="12"/>
    <row r="5777" ht="15" customHeight="1" s="12"/>
    <row r="5778" ht="15" customHeight="1" s="12"/>
    <row r="5779" ht="15" customHeight="1" s="12"/>
    <row r="5780" ht="15" customHeight="1" s="12"/>
    <row r="5781" ht="15" customHeight="1" s="12"/>
    <row r="5782" ht="15" customHeight="1" s="12"/>
    <row r="5783" ht="15" customHeight="1" s="12"/>
    <row r="5784" ht="15" customHeight="1" s="12"/>
    <row r="5785" ht="15" customHeight="1" s="12"/>
    <row r="5786" ht="15" customHeight="1" s="12"/>
    <row r="5787" ht="15" customHeight="1" s="12"/>
    <row r="5788" ht="15" customHeight="1" s="12"/>
    <row r="5789" ht="15" customHeight="1" s="12"/>
    <row r="5790" ht="15" customHeight="1" s="12"/>
    <row r="5791" ht="15" customHeight="1" s="12"/>
    <row r="5792" ht="15" customHeight="1" s="12"/>
    <row r="5793" ht="15" customHeight="1" s="12"/>
    <row r="5794" ht="15" customHeight="1" s="12"/>
    <row r="5795" ht="15" customHeight="1" s="12"/>
    <row r="5796" ht="15" customHeight="1" s="12"/>
    <row r="5797" ht="15" customHeight="1" s="12"/>
    <row r="5798" ht="15" customHeight="1" s="12"/>
    <row r="5799" ht="15" customHeight="1" s="12"/>
    <row r="5800" ht="15" customHeight="1" s="12"/>
    <row r="5801" ht="15" customHeight="1" s="12"/>
    <row r="5802" ht="15" customHeight="1" s="12"/>
    <row r="5803" ht="15" customHeight="1" s="12"/>
    <row r="5804" ht="15" customHeight="1" s="12"/>
    <row r="5805" ht="15" customHeight="1" s="12"/>
    <row r="5806" ht="15" customHeight="1" s="12"/>
    <row r="5807" ht="15" customHeight="1" s="12"/>
    <row r="5808" ht="15" customHeight="1" s="12"/>
    <row r="5809" ht="15" customHeight="1" s="12"/>
    <row r="5810" ht="15" customHeight="1" s="12"/>
    <row r="5811" ht="15" customHeight="1" s="12"/>
    <row r="5812" ht="15" customHeight="1" s="12"/>
    <row r="5813" ht="15" customHeight="1" s="12"/>
    <row r="5814" ht="15" customHeight="1" s="12"/>
    <row r="5815" ht="15" customHeight="1" s="12"/>
    <row r="5816" ht="15" customHeight="1" s="12"/>
    <row r="5817" ht="15" customHeight="1" s="12"/>
    <row r="5818" ht="15" customHeight="1" s="12"/>
    <row r="5819" ht="15" customHeight="1" s="12"/>
    <row r="5820" ht="15" customHeight="1" s="12"/>
    <row r="5821" ht="15" customHeight="1" s="12"/>
    <row r="5822" ht="15" customHeight="1" s="12"/>
    <row r="5823" ht="15" customHeight="1" s="12"/>
    <row r="5824" ht="15" customHeight="1" s="12"/>
    <row r="5825" ht="15" customHeight="1" s="12"/>
    <row r="5826" ht="15" customHeight="1" s="12"/>
    <row r="5827" ht="15" customHeight="1" s="12"/>
    <row r="5828" ht="15" customHeight="1" s="12"/>
    <row r="5829" ht="15" customHeight="1" s="12"/>
    <row r="5830" ht="15" customHeight="1" s="12"/>
    <row r="5831" ht="15" customHeight="1" s="12"/>
    <row r="5832" ht="15" customHeight="1" s="12"/>
    <row r="5833" ht="15" customHeight="1" s="12"/>
    <row r="5834" ht="15" customHeight="1" s="12"/>
    <row r="5835" ht="15" customHeight="1" s="12"/>
    <row r="5836" ht="15" customHeight="1" s="12"/>
    <row r="5837" ht="15" customHeight="1" s="12"/>
    <row r="5838" ht="15" customHeight="1" s="12"/>
    <row r="5839" ht="15" customHeight="1" s="12"/>
    <row r="5840" ht="15" customHeight="1" s="12"/>
    <row r="5841" ht="15" customHeight="1" s="12"/>
    <row r="5842" ht="15" customHeight="1" s="12"/>
    <row r="5843" ht="15" customHeight="1" s="12"/>
    <row r="5844" ht="15" customHeight="1" s="12"/>
    <row r="5845" ht="15" customHeight="1" s="12"/>
    <row r="5846" ht="15" customHeight="1" s="12"/>
    <row r="5847" ht="15" customHeight="1" s="12"/>
    <row r="5848" ht="15" customHeight="1" s="12"/>
    <row r="5849" ht="15" customHeight="1" s="12"/>
    <row r="5850" ht="15" customHeight="1" s="12"/>
    <row r="5851" ht="15" customHeight="1" s="12"/>
    <row r="5852" ht="15" customHeight="1" s="12"/>
    <row r="5853" ht="15" customHeight="1" s="12"/>
    <row r="5854" ht="15" customHeight="1" s="12"/>
    <row r="5855" ht="15" customHeight="1" s="12"/>
    <row r="5856" ht="15" customHeight="1" s="12"/>
    <row r="5857" ht="15" customHeight="1" s="12"/>
    <row r="5858" ht="15" customHeight="1" s="12"/>
    <row r="5859" ht="15" customHeight="1" s="12"/>
    <row r="5860" ht="15" customHeight="1" s="12"/>
    <row r="5861" ht="15" customHeight="1" s="12"/>
    <row r="5862" ht="15" customHeight="1" s="12"/>
    <row r="5863" ht="15" customHeight="1" s="12"/>
    <row r="5864" ht="15" customHeight="1" s="12"/>
    <row r="5865" ht="15" customHeight="1" s="12"/>
    <row r="5866" ht="15" customHeight="1" s="12"/>
    <row r="5867" ht="15" customHeight="1" s="12"/>
    <row r="5868" ht="15" customHeight="1" s="12"/>
    <row r="5869" ht="15" customHeight="1" s="12"/>
    <row r="5870" ht="15" customHeight="1" s="12"/>
    <row r="5871" ht="15" customHeight="1" s="12"/>
    <row r="5872" ht="15" customHeight="1" s="12"/>
    <row r="5873" ht="15" customHeight="1" s="12"/>
    <row r="5874" ht="15" customHeight="1" s="12"/>
    <row r="5875" ht="15" customHeight="1" s="12"/>
    <row r="5876" ht="15" customHeight="1" s="12"/>
    <row r="5877" ht="15" customHeight="1" s="12"/>
    <row r="5878" ht="15" customHeight="1" s="12"/>
    <row r="5879" ht="15" customHeight="1" s="12"/>
    <row r="5880" ht="15" customHeight="1" s="12"/>
    <row r="5881" ht="15" customHeight="1" s="12"/>
    <row r="5882" ht="15" customHeight="1" s="12"/>
    <row r="5883" ht="15" customHeight="1" s="12"/>
    <row r="5884" ht="15" customHeight="1" s="12"/>
    <row r="5885" ht="15" customHeight="1" s="12"/>
    <row r="5886" ht="15" customHeight="1" s="12"/>
    <row r="5887" ht="15" customHeight="1" s="12"/>
    <row r="5888" ht="15" customHeight="1" s="12"/>
    <row r="5889" ht="15" customHeight="1" s="12"/>
    <row r="5890" ht="15" customHeight="1" s="12"/>
    <row r="5891" ht="15" customHeight="1" s="12"/>
    <row r="5892" ht="15" customHeight="1" s="12"/>
    <row r="5893" ht="15" customHeight="1" s="12"/>
    <row r="5894" ht="15" customHeight="1" s="12"/>
    <row r="5895" ht="15" customHeight="1" s="12"/>
    <row r="5896" ht="15" customHeight="1" s="12"/>
    <row r="5897" ht="15" customHeight="1" s="12"/>
    <row r="5898" ht="15" customHeight="1" s="12"/>
    <row r="5899" ht="15" customHeight="1" s="12"/>
    <row r="5900" ht="15" customHeight="1" s="12"/>
    <row r="5901" ht="15" customHeight="1" s="12"/>
    <row r="5902" ht="15" customHeight="1" s="12"/>
    <row r="5903" ht="15" customHeight="1" s="12"/>
    <row r="5904" ht="15" customHeight="1" s="12"/>
    <row r="5905" ht="15" customHeight="1" s="12"/>
    <row r="5906" ht="15" customHeight="1" s="12"/>
    <row r="5907" ht="15" customHeight="1" s="12"/>
    <row r="5908" ht="15" customHeight="1" s="12"/>
    <row r="5909" ht="15" customHeight="1" s="12"/>
    <row r="5910" ht="15" customHeight="1" s="12"/>
    <row r="5911" ht="15" customHeight="1" s="12"/>
    <row r="5912" ht="15" customHeight="1" s="12"/>
    <row r="5913" ht="15" customHeight="1" s="12"/>
    <row r="5914" ht="15" customHeight="1" s="12"/>
    <row r="5915" ht="15" customHeight="1" s="12"/>
    <row r="5916" ht="15" customHeight="1" s="12"/>
    <row r="5917" ht="15" customHeight="1" s="12"/>
    <row r="5918" ht="15" customHeight="1" s="12"/>
    <row r="5919" ht="15" customHeight="1" s="12"/>
    <row r="5920" ht="15" customHeight="1" s="12"/>
    <row r="5921" ht="15" customHeight="1" s="12"/>
    <row r="5922" ht="15" customHeight="1" s="12"/>
    <row r="5923" ht="15" customHeight="1" s="12"/>
    <row r="5924" ht="15" customHeight="1" s="12"/>
    <row r="5925" ht="15" customHeight="1" s="12"/>
    <row r="5926" ht="15" customHeight="1" s="12"/>
    <row r="5927" ht="15" customHeight="1" s="12"/>
    <row r="5928" ht="15" customHeight="1" s="12"/>
    <row r="5929" ht="15" customHeight="1" s="12"/>
    <row r="5930" ht="15" customHeight="1" s="12"/>
    <row r="5931" ht="15" customHeight="1" s="12"/>
    <row r="5932" ht="15" customHeight="1" s="12"/>
    <row r="5933" ht="15" customHeight="1" s="12"/>
    <row r="5934" ht="15" customHeight="1" s="12"/>
    <row r="5935" ht="15" customHeight="1" s="12"/>
    <row r="5936" ht="15" customHeight="1" s="12"/>
    <row r="5937" ht="15" customHeight="1" s="12"/>
    <row r="5938" ht="15" customHeight="1" s="12"/>
    <row r="5939" ht="15" customHeight="1" s="12"/>
    <row r="5940" ht="15" customHeight="1" s="12"/>
    <row r="5941" ht="15" customHeight="1" s="12"/>
    <row r="5942" ht="15" customHeight="1" s="12"/>
    <row r="5943" ht="15" customHeight="1" s="12"/>
    <row r="5944" ht="15" customHeight="1" s="12"/>
    <row r="5945" ht="15" customHeight="1" s="12"/>
    <row r="5946" ht="15" customHeight="1" s="12"/>
    <row r="5947" ht="15" customHeight="1" s="12"/>
    <row r="5948" ht="15" customHeight="1" s="12"/>
    <row r="5949" ht="15" customHeight="1" s="12"/>
    <row r="5950" ht="15" customHeight="1" s="12"/>
    <row r="5951" ht="15" customHeight="1" s="12"/>
    <row r="5952" ht="15" customHeight="1" s="12"/>
    <row r="5953" ht="15" customHeight="1" s="12"/>
    <row r="5954" ht="15" customHeight="1" s="12"/>
    <row r="5955" ht="15" customHeight="1" s="12"/>
    <row r="5956" ht="15" customHeight="1" s="12"/>
    <row r="5957" ht="15" customHeight="1" s="12"/>
    <row r="5958" ht="15" customHeight="1" s="12"/>
    <row r="5959" ht="15" customHeight="1" s="12"/>
    <row r="5960" ht="15" customHeight="1" s="12"/>
    <row r="5961" ht="15" customHeight="1" s="12"/>
    <row r="5962" ht="15" customHeight="1" s="12"/>
    <row r="5963" ht="15" customHeight="1" s="12"/>
    <row r="5964" ht="15" customHeight="1" s="12"/>
    <row r="5965" ht="15" customHeight="1" s="12"/>
    <row r="5966" ht="15" customHeight="1" s="12"/>
    <row r="5967" ht="15" customHeight="1" s="12"/>
    <row r="5968" ht="15" customHeight="1" s="12"/>
    <row r="5969" ht="15" customHeight="1" s="12"/>
    <row r="5970" ht="15" customHeight="1" s="12"/>
    <row r="5971" ht="15" customHeight="1" s="12"/>
    <row r="5972" ht="15" customHeight="1" s="12"/>
    <row r="5973" ht="15" customHeight="1" s="12"/>
    <row r="5974" ht="15" customHeight="1" s="12"/>
    <row r="5975" ht="15" customHeight="1" s="12"/>
    <row r="5976" ht="15" customHeight="1" s="12"/>
    <row r="5977" ht="15" customHeight="1" s="12"/>
    <row r="5978" ht="15" customHeight="1" s="12"/>
    <row r="5979" ht="15" customHeight="1" s="12"/>
    <row r="5980" ht="15" customHeight="1" s="12"/>
    <row r="5981" ht="15" customHeight="1" s="12"/>
    <row r="5982" ht="15" customHeight="1" s="12"/>
    <row r="5983" ht="15" customHeight="1" s="12"/>
    <row r="5984" ht="15" customHeight="1" s="12"/>
    <row r="5985" ht="15" customHeight="1" s="12"/>
    <row r="5986" ht="15" customHeight="1" s="12"/>
    <row r="5987" ht="15" customHeight="1" s="12"/>
    <row r="5988" ht="15" customHeight="1" s="12"/>
    <row r="5989" ht="15" customHeight="1" s="12"/>
    <row r="5990" ht="15" customHeight="1" s="12"/>
    <row r="5991" ht="15" customHeight="1" s="12"/>
    <row r="5992" ht="15" customHeight="1" s="12"/>
    <row r="5993" ht="15" customHeight="1" s="12"/>
    <row r="5994" ht="15" customHeight="1" s="12"/>
    <row r="5995" ht="15" customHeight="1" s="12"/>
    <row r="5996" ht="15" customHeight="1" s="12"/>
    <row r="5997" ht="15" customHeight="1" s="12"/>
    <row r="5998" ht="15" customHeight="1" s="12"/>
    <row r="5999" ht="15" customHeight="1" s="12"/>
    <row r="6000" ht="15" customHeight="1" s="12"/>
    <row r="6001" ht="15" customHeight="1" s="12"/>
    <row r="6002" ht="15" customHeight="1" s="12"/>
    <row r="6003" ht="15" customHeight="1" s="12"/>
    <row r="6004" ht="15" customHeight="1" s="12"/>
    <row r="6005" ht="15" customHeight="1" s="12"/>
    <row r="6006" ht="15" customHeight="1" s="12"/>
    <row r="6007" ht="15" customHeight="1" s="12"/>
    <row r="6008" ht="15" customHeight="1" s="12"/>
    <row r="6009" ht="15" customHeight="1" s="12"/>
    <row r="6010" ht="15" customHeight="1" s="12"/>
    <row r="6011" ht="15" customHeight="1" s="12"/>
    <row r="6012" ht="15" customHeight="1" s="12"/>
    <row r="6013" ht="15" customHeight="1" s="12"/>
    <row r="6014" ht="15" customHeight="1" s="12"/>
    <row r="6015" ht="15" customHeight="1" s="12"/>
    <row r="6016" ht="15" customHeight="1" s="12"/>
    <row r="6017" ht="15" customHeight="1" s="12"/>
    <row r="6018" ht="15" customHeight="1" s="12"/>
    <row r="6019" ht="15" customHeight="1" s="12"/>
    <row r="6020" ht="15" customHeight="1" s="12"/>
    <row r="6021" ht="15" customHeight="1" s="12"/>
    <row r="6022" ht="15" customHeight="1" s="12"/>
    <row r="6023" ht="15" customHeight="1" s="12"/>
    <row r="6024" ht="15" customHeight="1" s="12"/>
    <row r="6025" ht="15" customHeight="1" s="12"/>
    <row r="6026" ht="15" customHeight="1" s="12"/>
    <row r="6027" ht="15" customHeight="1" s="12"/>
    <row r="6028" ht="15" customHeight="1" s="12"/>
    <row r="6029" ht="15" customHeight="1" s="12"/>
    <row r="6030" ht="15" customHeight="1" s="12"/>
    <row r="6031" ht="15" customHeight="1" s="12"/>
    <row r="6032" ht="15" customHeight="1" s="12"/>
    <row r="6033" ht="15" customHeight="1" s="12"/>
    <row r="6034" ht="15" customHeight="1" s="12"/>
    <row r="6035" ht="15" customHeight="1" s="12"/>
    <row r="6036" ht="15" customHeight="1" s="12"/>
    <row r="6037" ht="15" customHeight="1" s="12"/>
    <row r="6038" ht="15" customHeight="1" s="12"/>
    <row r="6039" ht="15" customHeight="1" s="12"/>
    <row r="6040" ht="15" customHeight="1" s="12"/>
    <row r="6041" ht="15" customHeight="1" s="12"/>
    <row r="6042" ht="15" customHeight="1" s="12"/>
    <row r="6043" ht="15" customHeight="1" s="12"/>
    <row r="6044" ht="15" customHeight="1" s="12"/>
    <row r="6045" ht="15" customHeight="1" s="12"/>
    <row r="6046" ht="15" customHeight="1" s="12"/>
    <row r="6047" ht="15" customHeight="1" s="12"/>
    <row r="6048" ht="15" customHeight="1" s="12"/>
    <row r="6049" ht="15" customHeight="1" s="12"/>
    <row r="6050" ht="15" customHeight="1" s="12"/>
    <row r="6051" ht="15" customHeight="1" s="12"/>
    <row r="6052" ht="15" customHeight="1" s="12"/>
    <row r="6053" ht="15" customHeight="1" s="12"/>
    <row r="6054" ht="15" customHeight="1" s="12"/>
    <row r="6055" ht="15" customHeight="1" s="12"/>
    <row r="6056" ht="15" customHeight="1" s="12"/>
    <row r="6057" ht="15" customHeight="1" s="12"/>
    <row r="6058" ht="15" customHeight="1" s="12"/>
    <row r="6059" ht="15" customHeight="1" s="12"/>
    <row r="6060" ht="15" customHeight="1" s="12"/>
    <row r="6061" ht="15" customHeight="1" s="12"/>
    <row r="6062" ht="15" customHeight="1" s="12"/>
    <row r="6063" ht="15" customHeight="1" s="12"/>
    <row r="6064" ht="15" customHeight="1" s="12"/>
    <row r="6065" ht="15" customHeight="1" s="12"/>
    <row r="6066" ht="15" customHeight="1" s="12"/>
    <row r="6067" ht="15" customHeight="1" s="12"/>
    <row r="6068" ht="15" customHeight="1" s="12"/>
    <row r="6069" ht="15" customHeight="1" s="12"/>
    <row r="6070" ht="15" customHeight="1" s="12"/>
    <row r="6071" ht="15" customHeight="1" s="12"/>
    <row r="6072" ht="15" customHeight="1" s="12"/>
    <row r="6073" ht="15" customHeight="1" s="12"/>
    <row r="6074" ht="15" customHeight="1" s="12"/>
    <row r="6075" ht="15" customHeight="1" s="12"/>
    <row r="6076" ht="15" customHeight="1" s="12"/>
    <row r="6077" ht="15" customHeight="1" s="12"/>
    <row r="6078" ht="15" customHeight="1" s="12"/>
    <row r="6079" ht="15" customHeight="1" s="12"/>
    <row r="6080" ht="15" customHeight="1" s="12"/>
    <row r="6081" ht="15" customHeight="1" s="12"/>
    <row r="6082" ht="15" customHeight="1" s="12"/>
    <row r="6083" ht="15" customHeight="1" s="12"/>
    <row r="6084" ht="15" customHeight="1" s="12"/>
    <row r="6085" ht="15" customHeight="1" s="12"/>
    <row r="6086" ht="15" customHeight="1" s="12"/>
    <row r="6087" ht="15" customHeight="1" s="12"/>
    <row r="6088" ht="15" customHeight="1" s="12"/>
    <row r="6089" ht="15" customHeight="1" s="12"/>
    <row r="6090" ht="15" customHeight="1" s="12"/>
    <row r="6091" ht="15" customHeight="1" s="12"/>
    <row r="6092" ht="15" customHeight="1" s="12"/>
    <row r="6093" ht="15" customHeight="1" s="12"/>
    <row r="6094" ht="15" customHeight="1" s="12"/>
    <row r="6095" ht="15" customHeight="1" s="12"/>
    <row r="6096" ht="15" customHeight="1" s="12"/>
    <row r="6097" ht="15" customHeight="1" s="12"/>
    <row r="6098" ht="15" customHeight="1" s="12"/>
    <row r="6099" ht="15" customHeight="1" s="12"/>
    <row r="6100" ht="15" customHeight="1" s="12"/>
    <row r="6101" ht="15" customHeight="1" s="12"/>
    <row r="6102" ht="15" customHeight="1" s="12"/>
    <row r="6103" ht="15" customHeight="1" s="12"/>
    <row r="6104" ht="15" customHeight="1" s="12"/>
    <row r="6105" ht="15" customHeight="1" s="12"/>
    <row r="6106" ht="15" customHeight="1" s="12"/>
    <row r="6107" ht="15" customHeight="1" s="12"/>
    <row r="6108" ht="15" customHeight="1" s="12"/>
    <row r="6109" ht="15" customHeight="1" s="12"/>
    <row r="6110" ht="15" customHeight="1" s="12"/>
    <row r="6111" ht="15" customHeight="1" s="12"/>
    <row r="6112" ht="15" customHeight="1" s="12"/>
    <row r="6113" ht="15" customHeight="1" s="12"/>
    <row r="6114" ht="15" customHeight="1" s="12"/>
    <row r="6115" ht="15" customHeight="1" s="12"/>
    <row r="6116" ht="15" customHeight="1" s="12"/>
    <row r="6117" ht="15" customHeight="1" s="12"/>
    <row r="6118" ht="15" customHeight="1" s="12"/>
    <row r="6119" ht="15" customHeight="1" s="12"/>
    <row r="6120" ht="15" customHeight="1" s="12"/>
    <row r="6121" ht="15" customHeight="1" s="12"/>
    <row r="6122" ht="15" customHeight="1" s="12"/>
    <row r="6123" ht="15" customHeight="1" s="12"/>
    <row r="6124" ht="15" customHeight="1" s="12"/>
    <row r="6125" ht="15" customHeight="1" s="12"/>
    <row r="6126" ht="15" customHeight="1" s="12"/>
    <row r="6127" ht="15" customHeight="1" s="12"/>
    <row r="6128" ht="15" customHeight="1" s="12"/>
    <row r="6129" ht="15" customHeight="1" s="12"/>
    <row r="6130" ht="15" customHeight="1" s="12"/>
    <row r="6131" ht="15" customHeight="1" s="12"/>
    <row r="6132" ht="15" customHeight="1" s="12"/>
    <row r="6133" ht="15" customHeight="1" s="12"/>
    <row r="6134" ht="15" customHeight="1" s="12"/>
    <row r="6135" ht="15" customHeight="1" s="12"/>
    <row r="6136" ht="15" customHeight="1" s="12"/>
    <row r="6137" ht="15" customHeight="1" s="12"/>
    <row r="6138" ht="15" customHeight="1" s="12"/>
    <row r="6139" ht="15" customHeight="1" s="12"/>
    <row r="6140" ht="15" customHeight="1" s="12"/>
    <row r="6141" ht="15" customHeight="1" s="12"/>
    <row r="6142" ht="15" customHeight="1" s="12"/>
    <row r="6143" ht="15" customHeight="1" s="12"/>
    <row r="6144" ht="15" customHeight="1" s="12"/>
    <row r="6145" ht="15" customHeight="1" s="12"/>
    <row r="6146" ht="15" customHeight="1" s="12"/>
    <row r="6147" ht="15" customHeight="1" s="12"/>
    <row r="6148" ht="15" customHeight="1" s="12"/>
    <row r="6149" ht="15" customHeight="1" s="12"/>
    <row r="6150" ht="15" customHeight="1" s="12"/>
    <row r="6151" ht="15" customHeight="1" s="12"/>
    <row r="6152" ht="15" customHeight="1" s="12"/>
    <row r="6153" ht="15" customHeight="1" s="12"/>
    <row r="6154" ht="15" customHeight="1" s="12"/>
    <row r="6155" ht="15" customHeight="1" s="12"/>
    <row r="6156" ht="15" customHeight="1" s="12"/>
    <row r="6157" ht="15" customHeight="1" s="12"/>
    <row r="6158" ht="15" customHeight="1" s="12"/>
    <row r="6159" ht="15" customHeight="1" s="12"/>
    <row r="6160" ht="15" customHeight="1" s="12"/>
    <row r="6161" ht="15" customHeight="1" s="12"/>
    <row r="6162" ht="15" customHeight="1" s="12"/>
    <row r="6163" ht="15" customHeight="1" s="12"/>
    <row r="6164" ht="15" customHeight="1" s="12"/>
    <row r="6165" ht="15" customHeight="1" s="12"/>
    <row r="6166" ht="15" customHeight="1" s="12"/>
    <row r="6167" ht="15" customHeight="1" s="12"/>
    <row r="6168" ht="15" customHeight="1" s="12"/>
    <row r="6169" ht="15" customHeight="1" s="12"/>
    <row r="6170" ht="15" customHeight="1" s="12"/>
    <row r="6171" ht="15" customHeight="1" s="12"/>
    <row r="6172" ht="15" customHeight="1" s="12"/>
    <row r="6173" ht="15" customHeight="1" s="12"/>
    <row r="6174" ht="15" customHeight="1" s="12"/>
    <row r="6175" ht="15" customHeight="1" s="12"/>
    <row r="6176" ht="15" customHeight="1" s="12"/>
    <row r="6177" ht="15" customHeight="1" s="12"/>
    <row r="6178" ht="15" customHeight="1" s="12"/>
    <row r="6179" ht="15" customHeight="1" s="12"/>
    <row r="6180" ht="15" customHeight="1" s="12"/>
    <row r="6181" ht="15" customHeight="1" s="12"/>
    <row r="6182" ht="15" customHeight="1" s="12"/>
    <row r="6183" ht="15" customHeight="1" s="12"/>
    <row r="6184" ht="15" customHeight="1" s="12"/>
    <row r="6185" ht="15" customHeight="1" s="12"/>
    <row r="6186" ht="15" customHeight="1" s="12"/>
    <row r="6187" ht="15" customHeight="1" s="12"/>
    <row r="6188" ht="15" customHeight="1" s="12"/>
    <row r="6189" ht="15" customHeight="1" s="12"/>
    <row r="6190" ht="15" customHeight="1" s="12"/>
    <row r="6191" ht="15" customHeight="1" s="12"/>
    <row r="6192" ht="15" customHeight="1" s="12"/>
    <row r="6193" ht="15" customHeight="1" s="12"/>
    <row r="6194" ht="15" customHeight="1" s="12"/>
    <row r="6195" ht="15" customHeight="1" s="12"/>
    <row r="6196" ht="15" customHeight="1" s="12"/>
    <row r="6197" ht="15" customHeight="1" s="12"/>
    <row r="6198" ht="15" customHeight="1" s="12"/>
    <row r="6199" ht="15" customHeight="1" s="12"/>
    <row r="6200" ht="15" customHeight="1" s="12"/>
    <row r="6201" ht="15" customHeight="1" s="12"/>
    <row r="6202" ht="15" customHeight="1" s="12"/>
    <row r="6203" ht="15" customHeight="1" s="12"/>
    <row r="6204" ht="15" customHeight="1" s="12"/>
    <row r="6205" ht="15" customHeight="1" s="12"/>
    <row r="6206" ht="15" customHeight="1" s="12"/>
    <row r="6207" ht="15" customHeight="1" s="12"/>
    <row r="6208" ht="15" customHeight="1" s="12"/>
    <row r="6209" ht="15" customHeight="1" s="12"/>
    <row r="6210" ht="15" customHeight="1" s="12"/>
    <row r="6211" ht="15" customHeight="1" s="12"/>
    <row r="6212" ht="15" customHeight="1" s="12"/>
    <row r="6213" ht="15" customHeight="1" s="12"/>
    <row r="6214" ht="15" customHeight="1" s="12"/>
    <row r="6215" ht="15" customHeight="1" s="12"/>
    <row r="6216" ht="15" customHeight="1" s="12"/>
    <row r="6217" ht="15" customHeight="1" s="12"/>
    <row r="6218" ht="15" customHeight="1" s="12"/>
    <row r="6219" ht="15" customHeight="1" s="12"/>
  </sheetData>
  <autoFilter ref="A1:Q621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1" t="inlineStr">
        <is>
          <t>City</t>
        </is>
      </c>
      <c r="B1" s="11" t="inlineStr">
        <is>
          <t>Country</t>
        </is>
      </c>
      <c r="C1" s="11" t="inlineStr">
        <is>
          <t>Country Population</t>
        </is>
      </c>
      <c r="D1" s="11" t="inlineStr">
        <is>
          <t>ISO</t>
        </is>
      </c>
      <c r="E1" s="11" t="inlineStr">
        <is>
          <t>Admin</t>
        </is>
      </c>
      <c r="F1" s="11" t="inlineStr">
        <is>
          <t>Population</t>
        </is>
      </c>
      <c r="G1" s="11" t="inlineStr">
        <is>
          <t>Capital</t>
        </is>
      </c>
      <c r="H1" s="11" t="inlineStr">
        <is>
          <t>Main airport (IATA)</t>
        </is>
      </c>
      <c r="I1" s="11" t="inlineStr">
        <is>
          <t>Airport name</t>
        </is>
      </c>
      <c r="J1" s="11" t="inlineStr">
        <is>
          <t>Airport dist (km)</t>
        </is>
      </c>
      <c r="K1" s="11" t="inlineStr">
        <is>
          <t>All nearby airports</t>
        </is>
      </c>
      <c r="L1" s="11" t="inlineStr">
        <is>
          <t>Qualifies by</t>
        </is>
      </c>
      <c r="M1" s="11" t="inlineStr">
        <is>
          <t>Aviation score</t>
        </is>
      </c>
      <c r="N1" s="11" t="inlineStr">
        <is>
          <t>Index score</t>
        </is>
      </c>
      <c r="O1" s="11" t="inlineStr">
        <is>
          <t>POI score (pending)</t>
        </is>
      </c>
      <c r="P1" s="11" t="inlineStr">
        <is>
          <t>Visitor Score</t>
        </is>
      </c>
      <c r="Q1" s="11" t="inlineStr">
        <is>
          <t>Latitude</t>
        </is>
      </c>
      <c r="R1" s="11" t="inlineStr">
        <is>
          <t>Longitude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2026-07-07T16:54:41Z</dcterms:created>
  <dcterms:modified xmlns:dcterms="http://purl.org/dc/terms/" xmlns:xsi="http://www.w3.org/2001/XMLSchema-instance" xsi:type="dcterms:W3CDTF">2026-07-22T05:51:36Z</dcterms:modified>
  <cp:revision>0</cp:revision>
</cp:coreProperties>
</file>