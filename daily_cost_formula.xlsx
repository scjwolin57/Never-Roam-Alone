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it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<sst xmlns="http://schemas.openxmlformats.org/spreadsheetml/2006/main" count="374" uniqueCount="348">
  <si>
    <t xml:space="preserve">Daily Cost Estimator — assumptions (mirrors computeDailyTiers() in city.html)</t>
  </si>
  <si>
    <t xml:space="preserve">Edit the yellow cells; the Cities sheet recalculates automatically.</t>
  </si>
  <si>
    <t xml:space="preserve">Assumption</t>
  </si>
  <si>
    <t xml:space="preserve">Value</t>
  </si>
  <si>
    <t xml:space="preserve">Notes</t>
  </si>
  <si>
    <t xml:space="preserve">Meal multiplier — Budget</t>
  </si>
  <si>
    <t xml:space="preserve">x cost.meal, x3 meals/day</t>
  </si>
  <si>
    <t xml:space="preserve">Meal multiplier — Mid</t>
  </si>
  <si>
    <t xml:space="preserve">Meal multiplier — Luxury</t>
  </si>
  <si>
    <t xml:space="preserve">Transport trips/day — Budget</t>
  </si>
  <si>
    <t xml:space="preserve">x cost.taxi</t>
  </si>
  <si>
    <t xml:space="preserve">Transport trips/day — Mid</t>
  </si>
  <si>
    <t xml:space="preserve">Transport trips/day — Luxury</t>
  </si>
  <si>
    <t xml:space="preserve">Alcoholic drinks/day — Budget</t>
  </si>
  <si>
    <t xml:space="preserve">x drink price (only if beer is a number)</t>
  </si>
  <si>
    <t xml:space="preserve">Alcoholic drinks/day — Mid</t>
  </si>
  <si>
    <t xml:space="preserve">x drink price</t>
  </si>
  <si>
    <t xml:space="preserve">Alcoholic drinks/day — Luxury</t>
  </si>
  <si>
    <t xml:space="preserve">Alcohol drink price multiplier</t>
  </si>
  <si>
    <t xml:space="preserve">x average beer price -- covers cocktails/wine/spirits running pricier than beer</t>
  </si>
  <si>
    <t xml:space="preserve">Activities % — Budget</t>
  </si>
  <si>
    <t xml:space="preserve">of core subtotal (hotel+meals+transport+coffee+water)</t>
  </si>
  <si>
    <t xml:space="preserve">Activities % — Mid</t>
  </si>
  <si>
    <t xml:space="preserve">of core subtotal</t>
  </si>
  <si>
    <t xml:space="preserve">Activities % — Luxury</t>
  </si>
  <si>
    <t xml:space="preserve">Include alcoholic beverages</t>
  </si>
  <si>
    <t xml:space="preserve">global toggle — matches the live page's checkbox default</t>
  </si>
  <si>
    <t xml:space="preserve">Include activities/tours</t>
  </si>
  <si>
    <t xml:space="preserve">Review-flag threshold (% diff)</t>
  </si>
  <si>
    <t xml:space="preserve">flag a city if new mid vs old mid differ by more than this</t>
  </si>
  <si>
    <t xml:space="preserve">City</t>
  </si>
  <si>
    <t xml:space="preserve">Beer status</t>
  </si>
  <si>
    <t xml:space="preserve">Hotel budget</t>
  </si>
  <si>
    <t xml:space="preserve">Hotel mid</t>
  </si>
  <si>
    <t xml:space="preserve">Hotel luxury</t>
  </si>
  <si>
    <t xml:space="preserve">Meal price</t>
  </si>
  <si>
    <t xml:space="preserve">Taxi price</t>
  </si>
  <si>
    <t xml:space="preserve">Coffee</t>
  </si>
  <si>
    <t xml:space="preserve">Water</t>
  </si>
  <si>
    <t xml:space="preserve">Beer (numeric)</t>
  </si>
  <si>
    <t xml:space="preserve">Core Budget</t>
  </si>
  <si>
    <t xml:space="preserve">Core Mid</t>
  </si>
  <si>
    <t xml:space="preserve">Core Luxury</t>
  </si>
  <si>
    <t xml:space="preserve">Alcohol Budget</t>
  </si>
  <si>
    <t xml:space="preserve">Alcohol Mid</t>
  </si>
  <si>
    <t xml:space="preserve">Alcohol Luxury</t>
  </si>
  <si>
    <t xml:space="preserve">Activities Budget</t>
  </si>
  <si>
    <t xml:space="preserve">Activities Mid</t>
  </si>
  <si>
    <t xml:space="preserve">Activities Luxury</t>
  </si>
  <si>
    <t xml:space="preserve">NEW Total Budget</t>
  </si>
  <si>
    <t xml:space="preserve">NEW Total Mid</t>
  </si>
  <si>
    <t xml:space="preserve">NEW Total Luxury</t>
  </si>
  <si>
    <t xml:space="preserve">OLD site Budget</t>
  </si>
  <si>
    <t xml:space="preserve">OLD site Mid</t>
  </si>
  <si>
    <t xml:space="preserve">OLD site Luxury</t>
  </si>
  <si>
    <t xml:space="preserve">Mid $ delta (new-old)</t>
  </si>
  <si>
    <t xml:space="preserve">Mid % diff</t>
  </si>
  <si>
    <t xml:space="preserve">Flag</t>
  </si>
  <si>
    <t xml:space="preserve">Abidjan</t>
  </si>
  <si>
    <t xml:space="preserve">Abu Dhabi</t>
  </si>
  <si>
    <t xml:space="preserve">restricted</t>
  </si>
  <si>
    <t xml:space="preserve">Accra</t>
  </si>
  <si>
    <t xml:space="preserve">Addis Ababa</t>
  </si>
  <si>
    <t xml:space="preserve">Ahmedabad</t>
  </si>
  <si>
    <t xml:space="preserve">Alexandria</t>
  </si>
  <si>
    <t xml:space="preserve">Algiers</t>
  </si>
  <si>
    <t xml:space="preserve">Almaty</t>
  </si>
  <si>
    <t xml:space="preserve">Amman</t>
  </si>
  <si>
    <t xml:space="preserve">Amsterdam</t>
  </si>
  <si>
    <t xml:space="preserve">Andorra la Vella</t>
  </si>
  <si>
    <t xml:space="preserve">Ankara</t>
  </si>
  <si>
    <t xml:space="preserve">Antalya</t>
  </si>
  <si>
    <t xml:space="preserve">Antananarivo</t>
  </si>
  <si>
    <t xml:space="preserve">Apia</t>
  </si>
  <si>
    <t xml:space="preserve">Ashgabat</t>
  </si>
  <si>
    <t xml:space="preserve">Asmara</t>
  </si>
  <si>
    <t xml:space="preserve">Asunción</t>
  </si>
  <si>
    <t xml:space="preserve">Athens</t>
  </si>
  <si>
    <t xml:space="preserve">Auckland</t>
  </si>
  <si>
    <t xml:space="preserve">Baghdad</t>
  </si>
  <si>
    <t xml:space="preserve">Baku</t>
  </si>
  <si>
    <t xml:space="preserve">Bamako</t>
  </si>
  <si>
    <t xml:space="preserve">Bandar Seri Begawan</t>
  </si>
  <si>
    <t xml:space="preserve">Bangkok</t>
  </si>
  <si>
    <t xml:space="preserve">Bangui</t>
  </si>
  <si>
    <t xml:space="preserve">Banjul</t>
  </si>
  <si>
    <t xml:space="preserve">Barcelona</t>
  </si>
  <si>
    <t xml:space="preserve">Basseterre</t>
  </si>
  <si>
    <t xml:space="preserve">Beijing</t>
  </si>
  <si>
    <t xml:space="preserve">Beirut</t>
  </si>
  <si>
    <t xml:space="preserve">Belgrade</t>
  </si>
  <si>
    <t xml:space="preserve">Belize City</t>
  </si>
  <si>
    <t xml:space="preserve">Bengaluru</t>
  </si>
  <si>
    <t xml:space="preserve">Berlin</t>
  </si>
  <si>
    <t xml:space="preserve">Bishkek</t>
  </si>
  <si>
    <t xml:space="preserve">Bissau</t>
  </si>
  <si>
    <t xml:space="preserve">Bogotá</t>
  </si>
  <si>
    <t xml:space="preserve">Bologna</t>
  </si>
  <si>
    <t xml:space="preserve">Bratislava</t>
  </si>
  <si>
    <t xml:space="preserve">Brazzaville</t>
  </si>
  <si>
    <t xml:space="preserve">Bridgetown</t>
  </si>
  <si>
    <t xml:space="preserve">Brussels</t>
  </si>
  <si>
    <t xml:space="preserve">Bucharest</t>
  </si>
  <si>
    <t xml:space="preserve">Budapest</t>
  </si>
  <si>
    <t xml:space="preserve">Buenos Aires</t>
  </si>
  <si>
    <t xml:space="preserve">Bujumbura</t>
  </si>
  <si>
    <t xml:space="preserve">Busan</t>
  </si>
  <si>
    <t xml:space="preserve">Cairo</t>
  </si>
  <si>
    <t xml:space="preserve">Cancún</t>
  </si>
  <si>
    <t xml:space="preserve">Cape Town</t>
  </si>
  <si>
    <t xml:space="preserve">Caracas</t>
  </si>
  <si>
    <t xml:space="preserve">Castries</t>
  </si>
  <si>
    <t xml:space="preserve">Changchun</t>
  </si>
  <si>
    <t xml:space="preserve">Chengdu</t>
  </si>
  <si>
    <t xml:space="preserve">Chennai</t>
  </si>
  <si>
    <t xml:space="preserve">Chittagong</t>
  </si>
  <si>
    <t xml:space="preserve">Chișinău</t>
  </si>
  <si>
    <t xml:space="preserve">Chongqing</t>
  </si>
  <si>
    <t xml:space="preserve">Colombo</t>
  </si>
  <si>
    <t xml:space="preserve">Conakry</t>
  </si>
  <si>
    <t xml:space="preserve">Copenhagen</t>
  </si>
  <si>
    <t xml:space="preserve">Cotonou</t>
  </si>
  <si>
    <t xml:space="preserve">Dakar</t>
  </si>
  <si>
    <t xml:space="preserve">Dalian</t>
  </si>
  <si>
    <t xml:space="preserve">Damascus</t>
  </si>
  <si>
    <t xml:space="preserve">Delhi</t>
  </si>
  <si>
    <t xml:space="preserve">Denpasar</t>
  </si>
  <si>
    <t xml:space="preserve">Dhaka</t>
  </si>
  <si>
    <t xml:space="preserve">Dili</t>
  </si>
  <si>
    <t xml:space="preserve">Djibouti City</t>
  </si>
  <si>
    <t xml:space="preserve">Doha</t>
  </si>
  <si>
    <t xml:space="preserve">Dongguan</t>
  </si>
  <si>
    <t xml:space="preserve">Douala</t>
  </si>
  <si>
    <t xml:space="preserve">Dubai</t>
  </si>
  <si>
    <t xml:space="preserve">Dublin</t>
  </si>
  <si>
    <t xml:space="preserve">Dubrovnik</t>
  </si>
  <si>
    <t xml:space="preserve">Dushanbe</t>
  </si>
  <si>
    <t xml:space="preserve">Edinburgh</t>
  </si>
  <si>
    <t xml:space="preserve">Florence</t>
  </si>
  <si>
    <t xml:space="preserve">Foshan</t>
  </si>
  <si>
    <t xml:space="preserve">Frankfurt am Main</t>
  </si>
  <si>
    <t xml:space="preserve">Freetown</t>
  </si>
  <si>
    <t xml:space="preserve">Fukuoka</t>
  </si>
  <si>
    <t xml:space="preserve">Funafuti</t>
  </si>
  <si>
    <t xml:space="preserve">Gaborone</t>
  </si>
  <si>
    <t xml:space="preserve">Georgetown</t>
  </si>
  <si>
    <t xml:space="preserve">Guangzhou</t>
  </si>
  <si>
    <t xml:space="preserve">Guatemala City</t>
  </si>
  <si>
    <t xml:space="preserve">Hangzhou</t>
  </si>
  <si>
    <t xml:space="preserve">Hanoi</t>
  </si>
  <si>
    <t xml:space="preserve">Harbin</t>
  </si>
  <si>
    <t xml:space="preserve">Havana</t>
  </si>
  <si>
    <t xml:space="preserve">Helsinki</t>
  </si>
  <si>
    <t xml:space="preserve">Heraklion</t>
  </si>
  <si>
    <t xml:space="preserve">Ho Chi Minh City</t>
  </si>
  <si>
    <t xml:space="preserve">Hong Kong</t>
  </si>
  <si>
    <t xml:space="preserve">Honiara</t>
  </si>
  <si>
    <t xml:space="preserve">Honolulu</t>
  </si>
  <si>
    <t xml:space="preserve">Hyderabad</t>
  </si>
  <si>
    <t xml:space="preserve">Ibadan</t>
  </si>
  <si>
    <t xml:space="preserve">Ibiza</t>
  </si>
  <si>
    <t xml:space="preserve">Istanbul</t>
  </si>
  <si>
    <t xml:space="preserve">Jakarta</t>
  </si>
  <si>
    <t xml:space="preserve">Jeddah</t>
  </si>
  <si>
    <t xml:space="preserve">notallowed</t>
  </si>
  <si>
    <t xml:space="preserve">Jerusalem</t>
  </si>
  <si>
    <t xml:space="preserve">Jinan</t>
  </si>
  <si>
    <t xml:space="preserve">Johor Bahru</t>
  </si>
  <si>
    <t xml:space="preserve">Juba</t>
  </si>
  <si>
    <t xml:space="preserve">Kabul</t>
  </si>
  <si>
    <t xml:space="preserve">Kampala</t>
  </si>
  <si>
    <t xml:space="preserve">Kano</t>
  </si>
  <si>
    <t xml:space="preserve">Karachi</t>
  </si>
  <si>
    <t xml:space="preserve">Kathmandu</t>
  </si>
  <si>
    <t xml:space="preserve">Khartoum</t>
  </si>
  <si>
    <t xml:space="preserve">Kigali</t>
  </si>
  <si>
    <t xml:space="preserve">Kingstown</t>
  </si>
  <si>
    <t xml:space="preserve">Kinshasa</t>
  </si>
  <si>
    <t xml:space="preserve">Kolkata</t>
  </si>
  <si>
    <t xml:space="preserve">Koror</t>
  </si>
  <si>
    <t xml:space="preserve">Kotor</t>
  </si>
  <si>
    <t xml:space="preserve">Kraków</t>
  </si>
  <si>
    <t xml:space="preserve">Kuala Lumpur</t>
  </si>
  <si>
    <t xml:space="preserve">Kunming</t>
  </si>
  <si>
    <t xml:space="preserve">Kuwait City</t>
  </si>
  <si>
    <t xml:space="preserve">Kyiv</t>
  </si>
  <si>
    <t xml:space="preserve">Kyoto</t>
  </si>
  <si>
    <t xml:space="preserve">La Paz</t>
  </si>
  <si>
    <t xml:space="preserve">Lagos</t>
  </si>
  <si>
    <t xml:space="preserve">Lahore</t>
  </si>
  <si>
    <t xml:space="preserve">Las Vegas</t>
  </si>
  <si>
    <t xml:space="preserve">Libreville</t>
  </si>
  <si>
    <t xml:space="preserve">Lilongwe</t>
  </si>
  <si>
    <t xml:space="preserve">Lima</t>
  </si>
  <si>
    <t xml:space="preserve">Lisbon</t>
  </si>
  <si>
    <t xml:space="preserve">Ljubljana</t>
  </si>
  <si>
    <t xml:space="preserve">Lomé</t>
  </si>
  <si>
    <t xml:space="preserve">London</t>
  </si>
  <si>
    <t xml:space="preserve">Los Angeles</t>
  </si>
  <si>
    <t xml:space="preserve">Luanda</t>
  </si>
  <si>
    <t xml:space="preserve">Lusaka</t>
  </si>
  <si>
    <t xml:space="preserve">Luxembourg City</t>
  </si>
  <si>
    <t xml:space="preserve">Macau</t>
  </si>
  <si>
    <t xml:space="preserve">Madrid</t>
  </si>
  <si>
    <t xml:space="preserve">Majuro</t>
  </si>
  <si>
    <t xml:space="preserve">Malabo</t>
  </si>
  <si>
    <t xml:space="preserve">Malé</t>
  </si>
  <si>
    <t xml:space="preserve">Managua</t>
  </si>
  <si>
    <t xml:space="preserve">Manama</t>
  </si>
  <si>
    <t xml:space="preserve">Manila</t>
  </si>
  <si>
    <t xml:space="preserve">Maputo</t>
  </si>
  <si>
    <t xml:space="preserve">Marne-la-Vallée</t>
  </si>
  <si>
    <t xml:space="preserve">Marrakech</t>
  </si>
  <si>
    <t xml:space="preserve">Maseru</t>
  </si>
  <si>
    <t xml:space="preserve">Mbabane</t>
  </si>
  <si>
    <t xml:space="preserve">Mecca</t>
  </si>
  <si>
    <t xml:space="preserve">Medina</t>
  </si>
  <si>
    <t xml:space="preserve">Melbourne</t>
  </si>
  <si>
    <t xml:space="preserve">Mexico City</t>
  </si>
  <si>
    <t xml:space="preserve">Miami</t>
  </si>
  <si>
    <t xml:space="preserve">Milan</t>
  </si>
  <si>
    <t xml:space="preserve">Minsk</t>
  </si>
  <si>
    <t xml:space="preserve">Mogadishu</t>
  </si>
  <si>
    <t xml:space="preserve">Monaco</t>
  </si>
  <si>
    <t xml:space="preserve">Monrovia</t>
  </si>
  <si>
    <t xml:space="preserve">Montego Bay</t>
  </si>
  <si>
    <t xml:space="preserve">Montevideo</t>
  </si>
  <si>
    <t xml:space="preserve">Montreal</t>
  </si>
  <si>
    <t xml:space="preserve">Moroni</t>
  </si>
  <si>
    <t xml:space="preserve">Moscow</t>
  </si>
  <si>
    <t xml:space="preserve">Mumbai</t>
  </si>
  <si>
    <t xml:space="preserve">Munich</t>
  </si>
  <si>
    <t xml:space="preserve">Muscat</t>
  </si>
  <si>
    <t xml:space="preserve">N'Djamena</t>
  </si>
  <si>
    <t xml:space="preserve">Nadi</t>
  </si>
  <si>
    <t xml:space="preserve">Nairobi</t>
  </si>
  <si>
    <t xml:space="preserve">Nanchong</t>
  </si>
  <si>
    <t xml:space="preserve">Nanjing</t>
  </si>
  <si>
    <t xml:space="preserve">Nassau</t>
  </si>
  <si>
    <t xml:space="preserve">New York</t>
  </si>
  <si>
    <t xml:space="preserve">Niamey</t>
  </si>
  <si>
    <t xml:space="preserve">Nice</t>
  </si>
  <si>
    <t xml:space="preserve">Nicosia</t>
  </si>
  <si>
    <t xml:space="preserve">Ningbo</t>
  </si>
  <si>
    <t xml:space="preserve">Nouakchott</t>
  </si>
  <si>
    <t xml:space="preserve">Nuku'alofa</t>
  </si>
  <si>
    <t xml:space="preserve">Orlando</t>
  </si>
  <si>
    <t xml:space="preserve">Osaka</t>
  </si>
  <si>
    <t xml:space="preserve">Oslo</t>
  </si>
  <si>
    <t xml:space="preserve">Ouagadougou</t>
  </si>
  <si>
    <t xml:space="preserve">Palma de Mallorca</t>
  </si>
  <si>
    <t xml:space="preserve">Panama City</t>
  </si>
  <si>
    <t xml:space="preserve">Paramaribo</t>
  </si>
  <si>
    <t xml:space="preserve">Paris</t>
  </si>
  <si>
    <t xml:space="preserve">Pattaya-Chonburi</t>
  </si>
  <si>
    <t xml:space="preserve">Phuket</t>
  </si>
  <si>
    <t xml:space="preserve">Port Louis</t>
  </si>
  <si>
    <t xml:space="preserve">Port Moresby</t>
  </si>
  <si>
    <t xml:space="preserve">Port Vila</t>
  </si>
  <si>
    <t xml:space="preserve">Port of Spain</t>
  </si>
  <si>
    <t xml:space="preserve">Port-au-Prince</t>
  </si>
  <si>
    <t xml:space="preserve">Porto</t>
  </si>
  <si>
    <t xml:space="preserve">Prague</t>
  </si>
  <si>
    <t xml:space="preserve">Praia</t>
  </si>
  <si>
    <t xml:space="preserve">Punta Cana</t>
  </si>
  <si>
    <t xml:space="preserve">Pyongyang</t>
  </si>
  <si>
    <t xml:space="preserve">Qingdao</t>
  </si>
  <si>
    <t xml:space="preserve">Quito</t>
  </si>
  <si>
    <t xml:space="preserve">Reykjavík</t>
  </si>
  <si>
    <t xml:space="preserve">Rhodes</t>
  </si>
  <si>
    <t xml:space="preserve">Riga</t>
  </si>
  <si>
    <t xml:space="preserve">Rio de Janeiro</t>
  </si>
  <si>
    <t xml:space="preserve">Riyadh</t>
  </si>
  <si>
    <t xml:space="preserve">Rome</t>
  </si>
  <si>
    <t xml:space="preserve">Roseau</t>
  </si>
  <si>
    <t xml:space="preserve">Saint Petersburg</t>
  </si>
  <si>
    <t xml:space="preserve">San Francisco</t>
  </si>
  <si>
    <t xml:space="preserve">San José</t>
  </si>
  <si>
    <t xml:space="preserve">San Marino</t>
  </si>
  <si>
    <t xml:space="preserve">San Salvador</t>
  </si>
  <si>
    <t xml:space="preserve">Sana'a</t>
  </si>
  <si>
    <t xml:space="preserve">Santiago</t>
  </si>
  <si>
    <t xml:space="preserve">Sapporo</t>
  </si>
  <si>
    <t xml:space="preserve">Sarajevo</t>
  </si>
  <si>
    <t xml:space="preserve">Seoul</t>
  </si>
  <si>
    <t xml:space="preserve">Seville</t>
  </si>
  <si>
    <t xml:space="preserve">Shanghai</t>
  </si>
  <si>
    <t xml:space="preserve">Shantou</t>
  </si>
  <si>
    <t xml:space="preserve">Sharjah</t>
  </si>
  <si>
    <t xml:space="preserve">Shenyang</t>
  </si>
  <si>
    <t xml:space="preserve">Shenzhen</t>
  </si>
  <si>
    <t xml:space="preserve">Siem Reap</t>
  </si>
  <si>
    <t xml:space="preserve">Singapore</t>
  </si>
  <si>
    <t xml:space="preserve">Skopje</t>
  </si>
  <si>
    <t xml:space="preserve">Sofia</t>
  </si>
  <si>
    <t xml:space="preserve">St. George's</t>
  </si>
  <si>
    <t xml:space="preserve">St. John's</t>
  </si>
  <si>
    <t xml:space="preserve">Stockholm</t>
  </si>
  <si>
    <t xml:space="preserve">Suzhou</t>
  </si>
  <si>
    <t xml:space="preserve">Sydney</t>
  </si>
  <si>
    <t xml:space="preserve">São Paulo</t>
  </si>
  <si>
    <t xml:space="preserve">São Tomé</t>
  </si>
  <si>
    <t xml:space="preserve">Tai'an</t>
  </si>
  <si>
    <t xml:space="preserve">Taipei</t>
  </si>
  <si>
    <t xml:space="preserve">Tallinn</t>
  </si>
  <si>
    <t xml:space="preserve">Tarawa</t>
  </si>
  <si>
    <t xml:space="preserve">Tashkent</t>
  </si>
  <si>
    <t xml:space="preserve">Tbilisi</t>
  </si>
  <si>
    <t xml:space="preserve">Tegucigalpa</t>
  </si>
  <si>
    <t xml:space="preserve">Tehran</t>
  </si>
  <si>
    <t xml:space="preserve">Tel Aviv</t>
  </si>
  <si>
    <t xml:space="preserve">Thessaloniki</t>
  </si>
  <si>
    <t xml:space="preserve">Thimphu</t>
  </si>
  <si>
    <t xml:space="preserve">Tianjin</t>
  </si>
  <si>
    <t xml:space="preserve">Tianshui</t>
  </si>
  <si>
    <t xml:space="preserve">Tirana</t>
  </si>
  <si>
    <t xml:space="preserve">Tokyo</t>
  </si>
  <si>
    <t xml:space="preserve">Toronto</t>
  </si>
  <si>
    <t xml:space="preserve">Tripoli</t>
  </si>
  <si>
    <t xml:space="preserve">Tunis</t>
  </si>
  <si>
    <t xml:space="preserve">Ulaanbaatar</t>
  </si>
  <si>
    <t xml:space="preserve">Vaduz</t>
  </si>
  <si>
    <t xml:space="preserve">Valencia</t>
  </si>
  <si>
    <t xml:space="preserve">Valletta</t>
  </si>
  <si>
    <t xml:space="preserve">Vancouver</t>
  </si>
  <si>
    <t xml:space="preserve">Venice</t>
  </si>
  <si>
    <t xml:space="preserve">Verona</t>
  </si>
  <si>
    <t xml:space="preserve">Victoria</t>
  </si>
  <si>
    <t xml:space="preserve">Victoria Falls</t>
  </si>
  <si>
    <t xml:space="preserve">Vienna</t>
  </si>
  <si>
    <t xml:space="preserve">Vientiane</t>
  </si>
  <si>
    <t xml:space="preserve">Vilnius</t>
  </si>
  <si>
    <t xml:space="preserve">Warsaw</t>
  </si>
  <si>
    <t xml:space="preserve">Washington, D.C.</t>
  </si>
  <si>
    <t xml:space="preserve">Weno</t>
  </si>
  <si>
    <t xml:space="preserve">Windhoek</t>
  </si>
  <si>
    <t xml:space="preserve">Wuhan</t>
  </si>
  <si>
    <t xml:space="preserve">Wuxi</t>
  </si>
  <si>
    <t xml:space="preserve">Xi'an</t>
  </si>
  <si>
    <t xml:space="preserve">Xiamen</t>
  </si>
  <si>
    <t xml:space="preserve">Yangon</t>
  </si>
  <si>
    <t xml:space="preserve">Yaren</t>
  </si>
  <si>
    <t xml:space="preserve">Yerevan</t>
  </si>
  <si>
    <t xml:space="preserve">Yokohama</t>
  </si>
  <si>
    <t xml:space="preserve">Zanzibar City</t>
  </si>
  <si>
    <t xml:space="preserve">Zhengzhou</t>
  </si>
  <si>
    <t xml:space="preserve">Zhuhai</t>
  </si>
  <si>
    <t xml:space="preserve">Zurich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</si>
</sst>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0" t="s">
        <v>5</v>
      </c>
      <c r="B4" s="4" t="n">
        <v>1</v>
      </c>
      <c r="C4" s="5" t="s">
        <v>6</v>
      </c>
    </row>
    <row r="5" customFormat="false" ht="15" hidden="false" customHeight="false" outlineLevel="0" collapsed="false">
      <c r="A5" s="0" t="s">
        <v>7</v>
      </c>
      <c r="B5" s="4" t="n">
        <v>1.8</v>
      </c>
      <c r="C5" s="5" t="s">
        <v>6</v>
      </c>
    </row>
    <row r="6" customFormat="false" ht="15" hidden="false" customHeight="false" outlineLevel="0" collapsed="false">
      <c r="A6" s="0" t="s">
        <v>8</v>
      </c>
      <c r="B6" s="4" t="n">
        <v>3.5</v>
      </c>
      <c r="C6" s="5" t="s">
        <v>6</v>
      </c>
    </row>
    <row r="7" customFormat="false" ht="15" hidden="false" customHeight="false" outlineLevel="0" collapsed="false">
      <c r="A7" s="0" t="s">
        <v>9</v>
      </c>
      <c r="B7" s="4" t="n">
        <v>1</v>
      </c>
      <c r="C7" s="5" t="s">
        <v>10</v>
      </c>
    </row>
    <row r="8" customFormat="false" ht="15" hidden="false" customHeight="false" outlineLevel="0" collapsed="false">
      <c r="A8" s="0" t="s">
        <v>11</v>
      </c>
      <c r="B8" s="4" t="n">
        <v>2</v>
      </c>
      <c r="C8" s="5" t="s">
        <v>10</v>
      </c>
    </row>
    <row r="9" customFormat="false" ht="15" hidden="false" customHeight="false" outlineLevel="0" collapsed="false">
      <c r="A9" s="0" t="s">
        <v>12</v>
      </c>
      <c r="B9" s="4" t="n">
        <v>4</v>
      </c>
      <c r="C9" s="5" t="s">
        <v>10</v>
      </c>
    </row>
    <row r="10" customFormat="false" ht="15" hidden="false" customHeight="false" outlineLevel="0" collapsed="false">
      <c r="A10" s="0" t="s">
        <v>13</v>
      </c>
      <c r="B10" s="4" t="n">
        <v>1</v>
      </c>
      <c r="C10" s="5" t="s">
        <v>14</v>
      </c>
    </row>
    <row r="11" customFormat="false" ht="15" hidden="false" customHeight="false" outlineLevel="0" collapsed="false">
      <c r="A11" s="0" t="s">
        <v>15</v>
      </c>
      <c r="B11" s="4" t="n">
        <v>2</v>
      </c>
      <c r="C11" s="5" t="s">
        <v>16</v>
      </c>
    </row>
    <row r="12" customFormat="false" ht="15" hidden="false" customHeight="false" outlineLevel="0" collapsed="false">
      <c r="A12" s="0" t="s">
        <v>17</v>
      </c>
      <c r="B12" s="4" t="n">
        <v>3</v>
      </c>
      <c r="C12" s="5" t="s">
        <v>16</v>
      </c>
    </row>
    <row r="13" customFormat="false" ht="15" hidden="false" customHeight="false" outlineLevel="0" collapsed="false">
      <c r="A13" s="0" t="s">
        <v>18</v>
      </c>
      <c r="B13" s="4" t="n">
        <v>1.5</v>
      </c>
      <c r="C13" s="5" t="s">
        <v>19</v>
      </c>
    </row>
    <row r="14" customFormat="false" ht="15" hidden="false" customHeight="false" outlineLevel="0" collapsed="false">
      <c r="A14" s="0" t="s">
        <v>20</v>
      </c>
      <c r="B14" s="4" t="n">
        <v>0.1</v>
      </c>
      <c r="C14" s="5" t="s">
        <v>21</v>
      </c>
    </row>
    <row r="15" customFormat="false" ht="15" hidden="false" customHeight="false" outlineLevel="0" collapsed="false">
      <c r="A15" s="0" t="s">
        <v>22</v>
      </c>
      <c r="B15" s="4" t="n">
        <v>0.2</v>
      </c>
      <c r="C15" s="5" t="s">
        <v>23</v>
      </c>
    </row>
    <row r="16" customFormat="false" ht="15" hidden="false" customHeight="false" outlineLevel="0" collapsed="false">
      <c r="A16" s="0" t="s">
        <v>24</v>
      </c>
      <c r="B16" s="4" t="n">
        <v>0.35</v>
      </c>
      <c r="C16" s="5" t="s">
        <v>23</v>
      </c>
    </row>
    <row r="17" customFormat="false" ht="15" hidden="false" customHeight="false" outlineLevel="0" collapsed="false">
      <c r="A17" s="0" t="s">
        <v>25</v>
      </c>
      <c r="B17" s="6" t="b">
        <f aca="false">TRUE()</f>
        <v>1</v>
      </c>
      <c r="C17" s="5" t="s">
        <v>26</v>
      </c>
    </row>
    <row r="18" customFormat="false" ht="15" hidden="false" customHeight="false" outlineLevel="0" collapsed="false">
      <c r="A18" s="0" t="s">
        <v>27</v>
      </c>
      <c r="B18" s="6" t="b">
        <f aca="false">TRUE()</f>
        <v>1</v>
      </c>
      <c r="C18" s="5" t="s">
        <v>26</v>
      </c>
    </row>
    <row r="19" customFormat="false" ht="15" hidden="false" customHeight="false" outlineLevel="0" collapsed="false">
      <c r="A19" s="0" t="s">
        <v>28</v>
      </c>
      <c r="B19" s="4" t="n">
        <v>0.25</v>
      </c>
      <c r="C1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8" min="2" style="0" width="13"/>
  </cols>
  <sheetData>
    <row r="1" customFormat="false" ht="26.8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35</v>
      </c>
      <c r="D2" s="9" t="n">
        <v>75</v>
      </c>
      <c r="E2" s="9" t="n">
        <v>220</v>
      </c>
      <c r="F2" s="9" t="n">
        <v>15</v>
      </c>
      <c r="G2" s="9" t="n">
        <v>7</v>
      </c>
      <c r="H2" s="9" t="n">
        <v>2.5</v>
      </c>
      <c r="I2" s="9" t="n">
        <v>0.8</v>
      </c>
      <c r="J2" s="9" t="n">
        <v>3</v>
      </c>
      <c r="K2" s="9" t="n">
        <f aca="false">C2+3*Assumptions!$B$4*F2+Assumptions!$B$7*G2+H2+I2</f>
        <v>90.3</v>
      </c>
      <c r="L2" s="9" t="n">
        <f aca="false">D2+3*Assumptions!$B$5*F2+Assumptions!$B$8*G2+H2+I2</f>
        <v>173.3</v>
      </c>
      <c r="M2" s="9" t="n">
        <f aca="false">E2+3*Assumptions!$B$6*F2+Assumptions!$B$9*G2+H2+I2</f>
        <v>408.8</v>
      </c>
      <c r="N2" s="9" t="n">
        <f aca="false">IF(AND(Assumptions!$B$17,ISNUMBER(J2)),Assumptions!$B$10*Assumptions!$B$13*J2,0)</f>
        <v>4.5</v>
      </c>
      <c r="O2" s="9" t="n">
        <f aca="false">IF(AND(Assumptions!$B$17,ISNUMBER(J2)),Assumptions!$B$11*Assumptions!$B$13*J2,0)</f>
        <v>9</v>
      </c>
      <c r="P2" s="9" t="n">
        <f aca="false">IF(AND(Assumptions!$B$17,ISNUMBER(J2)),Assumptions!$B$12*Assumptions!$B$13*J2,0)</f>
        <v>13.5</v>
      </c>
      <c r="Q2" s="9" t="n">
        <f aca="false">IF(Assumptions!$B$18,Assumptions!$B$14*K2,0)</f>
        <v>9.03</v>
      </c>
      <c r="R2" s="9" t="n">
        <f aca="false">IF(Assumptions!$B$18,Assumptions!$B$15*L2,0)</f>
        <v>34.66</v>
      </c>
      <c r="S2" s="9" t="n">
        <f aca="false">IF(Assumptions!$B$18,Assumptions!$B$16*M2,0)</f>
        <v>143.08</v>
      </c>
      <c r="T2" s="9" t="n">
        <f aca="false">K2+N2+Q2</f>
        <v>103.83</v>
      </c>
      <c r="U2" s="9" t="n">
        <f aca="false">L2+O2+R2</f>
        <v>216.96</v>
      </c>
      <c r="V2" s="9" t="n">
        <f aca="false">M2+P2+S2</f>
        <v>565.38</v>
      </c>
      <c r="W2" s="9" t="n">
        <v>50</v>
      </c>
      <c r="X2" s="9" t="n">
        <v>120</v>
      </c>
      <c r="Y2" s="9" t="n">
        <v>355</v>
      </c>
      <c r="Z2" s="9" t="n">
        <f aca="false">U2-X2</f>
        <v>96.96</v>
      </c>
      <c r="AA2" s="10" t="n">
        <f aca="false">IFERROR((U2-X2)/X2,"")</f>
        <v>0.808</v>
      </c>
      <c r="AB2" s="8" t="str">
        <f aca="false">IF(ISNUMBER(AA2),IF(ABS(AA2)&gt;Assumptions!$B$19,"REVIEW",""),"")</f>
        <v>REVIEW</v>
      </c>
    </row>
    <row r="3" customFormat="false" ht="15" hidden="false" customHeight="false" outlineLevel="0" collapsed="false">
      <c r="A3" s="8" t="s">
        <v>59</v>
      </c>
      <c r="B3" s="8" t="s">
        <v>60</v>
      </c>
      <c r="C3" s="9" t="n">
        <v>75</v>
      </c>
      <c r="D3" s="9" t="n">
        <v>140</v>
      </c>
      <c r="E3" s="9" t="n">
        <v>400</v>
      </c>
      <c r="F3" s="9" t="n">
        <v>30</v>
      </c>
      <c r="G3" s="9" t="n">
        <v>15</v>
      </c>
      <c r="H3" s="9" t="n">
        <v>5</v>
      </c>
      <c r="I3" s="9" t="n">
        <v>1</v>
      </c>
      <c r="J3" s="9"/>
      <c r="K3" s="9" t="n">
        <f aca="false">C3+3*Assumptions!$B$4*F3+Assumptions!$B$7*G3+H3+I3</f>
        <v>186</v>
      </c>
      <c r="L3" s="9" t="n">
        <f aca="false">D3+3*Assumptions!$B$5*F3+Assumptions!$B$8*G3+H3+I3</f>
        <v>338</v>
      </c>
      <c r="M3" s="9" t="n">
        <f aca="false">E3+3*Assumptions!$B$6*F3+Assumptions!$B$9*G3+H3+I3</f>
        <v>781</v>
      </c>
      <c r="N3" s="9" t="n">
        <f aca="false">IF(AND(Assumptions!$B$17,ISNUMBER(J3)),Assumptions!$B$10*Assumptions!$B$13*J3,0)</f>
        <v>0</v>
      </c>
      <c r="O3" s="9" t="n">
        <f aca="false">IF(AND(Assumptions!$B$17,ISNUMBER(J3)),Assumptions!$B$11*Assumptions!$B$13*J3,0)</f>
        <v>0</v>
      </c>
      <c r="P3" s="9" t="n">
        <f aca="false">IF(AND(Assumptions!$B$17,ISNUMBER(J3)),Assumptions!$B$12*Assumptions!$B$13*J3,0)</f>
        <v>0</v>
      </c>
      <c r="Q3" s="9" t="n">
        <f aca="false">IF(Assumptions!$B$18,Assumptions!$B$14*K3,0)</f>
        <v>18.6</v>
      </c>
      <c r="R3" s="9" t="n">
        <f aca="false">IF(Assumptions!$B$18,Assumptions!$B$15*L3,0)</f>
        <v>67.6</v>
      </c>
      <c r="S3" s="9" t="n">
        <f aca="false">IF(Assumptions!$B$18,Assumptions!$B$16*M3,0)</f>
        <v>273.35</v>
      </c>
      <c r="T3" s="9" t="n">
        <f aca="false">K3+N3+Q3</f>
        <v>204.6</v>
      </c>
      <c r="U3" s="9" t="n">
        <f aca="false">L3+O3+R3</f>
        <v>405.6</v>
      </c>
      <c r="V3" s="9" t="n">
        <f aca="false">M3+P3+S3</f>
        <v>1054.35</v>
      </c>
      <c r="W3" s="9" t="n">
        <v>70</v>
      </c>
      <c r="X3" s="9" t="n">
        <v>185</v>
      </c>
      <c r="Y3" s="9" t="n">
        <v>600</v>
      </c>
      <c r="Z3" s="9" t="n">
        <f aca="false">U3-X3</f>
        <v>220.6</v>
      </c>
      <c r="AA3" s="10" t="n">
        <f aca="false">IFERROR((U3-X3)/X3,"")</f>
        <v>1.19243243243243</v>
      </c>
      <c r="AB3" s="8" t="str">
        <f aca="false">IF(ISNUMBER(AA3),IF(ABS(AA3)&gt;Assumptions!$B$19,"REVIEW",""),"")</f>
        <v>REVIEW</v>
      </c>
    </row>
    <row r="4" customFormat="false" ht="15" hidden="false" customHeight="false" outlineLevel="0" collapsed="false">
      <c r="A4" s="8" t="s">
        <v>61</v>
      </c>
      <c r="B4" s="8"/>
      <c r="C4" s="9" t="n">
        <v>30</v>
      </c>
      <c r="D4" s="9" t="n">
        <v>90</v>
      </c>
      <c r="E4" s="9" t="n">
        <v>280</v>
      </c>
      <c r="F4" s="9" t="n">
        <v>12</v>
      </c>
      <c r="G4" s="9" t="n">
        <v>5</v>
      </c>
      <c r="H4" s="9" t="n">
        <v>3</v>
      </c>
      <c r="I4" s="9" t="n">
        <v>0.8</v>
      </c>
      <c r="J4" s="9" t="n">
        <v>2.5</v>
      </c>
      <c r="K4" s="9" t="n">
        <f aca="false">C4+3*Assumptions!$B$4*F4+Assumptions!$B$7*G4+H4+I4</f>
        <v>74.8</v>
      </c>
      <c r="L4" s="9" t="n">
        <f aca="false">D4+3*Assumptions!$B$5*F4+Assumptions!$B$8*G4+H4+I4</f>
        <v>168.6</v>
      </c>
      <c r="M4" s="9" t="n">
        <f aca="false">E4+3*Assumptions!$B$6*F4+Assumptions!$B$9*G4+H4+I4</f>
        <v>429.8</v>
      </c>
      <c r="N4" s="9" t="n">
        <f aca="false">IF(AND(Assumptions!$B$17,ISNUMBER(J4)),Assumptions!$B$10*Assumptions!$B$13*J4,0)</f>
        <v>3.75</v>
      </c>
      <c r="O4" s="9" t="n">
        <f aca="false">IF(AND(Assumptions!$B$17,ISNUMBER(J4)),Assumptions!$B$11*Assumptions!$B$13*J4,0)</f>
        <v>7.5</v>
      </c>
      <c r="P4" s="9" t="n">
        <f aca="false">IF(AND(Assumptions!$B$17,ISNUMBER(J4)),Assumptions!$B$12*Assumptions!$B$13*J4,0)</f>
        <v>11.25</v>
      </c>
      <c r="Q4" s="9" t="n">
        <f aca="false">IF(Assumptions!$B$18,Assumptions!$B$14*K4,0)</f>
        <v>7.48</v>
      </c>
      <c r="R4" s="9" t="n">
        <f aca="false">IF(Assumptions!$B$18,Assumptions!$B$15*L4,0)</f>
        <v>33.72</v>
      </c>
      <c r="S4" s="9" t="n">
        <f aca="false">IF(Assumptions!$B$18,Assumptions!$B$16*M4,0)</f>
        <v>150.43</v>
      </c>
      <c r="T4" s="9" t="n">
        <f aca="false">K4+N4+Q4</f>
        <v>86.03</v>
      </c>
      <c r="U4" s="9" t="n">
        <f aca="false">L4+O4+R4</f>
        <v>209.82</v>
      </c>
      <c r="V4" s="9" t="n">
        <f aca="false">M4+P4+S4</f>
        <v>591.48</v>
      </c>
      <c r="W4" s="9" t="n">
        <v>45</v>
      </c>
      <c r="X4" s="9" t="n">
        <v>115</v>
      </c>
      <c r="Y4" s="9" t="n">
        <v>350</v>
      </c>
      <c r="Z4" s="9" t="n">
        <f aca="false">U4-X4</f>
        <v>94.82</v>
      </c>
      <c r="AA4" s="10" t="n">
        <f aca="false">IFERROR((U4-X4)/X4,"")</f>
        <v>0.824521739130435</v>
      </c>
      <c r="AB4" s="8" t="str">
        <f aca="false">IF(ISNUMBER(AA4),IF(ABS(AA4)&gt;Assumptions!$B$19,"REVIEW",""),"")</f>
        <v>REVIEW</v>
      </c>
    </row>
    <row r="5" customFormat="false" ht="15" hidden="false" customHeight="false" outlineLevel="0" collapsed="false">
      <c r="A5" s="8" t="s">
        <v>62</v>
      </c>
      <c r="B5" s="8"/>
      <c r="C5" s="9" t="n">
        <v>15</v>
      </c>
      <c r="D5" s="9" t="n">
        <v>70</v>
      </c>
      <c r="E5" s="9" t="n">
        <v>280</v>
      </c>
      <c r="F5" s="9" t="n">
        <v>8</v>
      </c>
      <c r="G5" s="9" t="n">
        <v>4</v>
      </c>
      <c r="H5" s="9" t="n">
        <v>1.05</v>
      </c>
      <c r="I5" s="9" t="n">
        <v>0.49</v>
      </c>
      <c r="J5" s="9" t="n">
        <v>0.95</v>
      </c>
      <c r="K5" s="9" t="n">
        <f aca="false">C5+3*Assumptions!$B$4*F5+Assumptions!$B$7*G5+H5+I5</f>
        <v>44.54</v>
      </c>
      <c r="L5" s="9" t="n">
        <f aca="false">D5+3*Assumptions!$B$5*F5+Assumptions!$B$8*G5+H5+I5</f>
        <v>122.74</v>
      </c>
      <c r="M5" s="9" t="n">
        <f aca="false">E5+3*Assumptions!$B$6*F5+Assumptions!$B$9*G5+H5+I5</f>
        <v>381.54</v>
      </c>
      <c r="N5" s="9" t="n">
        <f aca="false">IF(AND(Assumptions!$B$17,ISNUMBER(J5)),Assumptions!$B$10*Assumptions!$B$13*J5,0)</f>
        <v>1.425</v>
      </c>
      <c r="O5" s="9" t="n">
        <f aca="false">IF(AND(Assumptions!$B$17,ISNUMBER(J5)),Assumptions!$B$11*Assumptions!$B$13*J5,0)</f>
        <v>2.85</v>
      </c>
      <c r="P5" s="9" t="n">
        <f aca="false">IF(AND(Assumptions!$B$17,ISNUMBER(J5)),Assumptions!$B$12*Assumptions!$B$13*J5,0)</f>
        <v>4.275</v>
      </c>
      <c r="Q5" s="9" t="n">
        <f aca="false">IF(Assumptions!$B$18,Assumptions!$B$14*K5,0)</f>
        <v>4.454</v>
      </c>
      <c r="R5" s="9" t="n">
        <f aca="false">IF(Assumptions!$B$18,Assumptions!$B$15*L5,0)</f>
        <v>24.548</v>
      </c>
      <c r="S5" s="9" t="n">
        <f aca="false">IF(Assumptions!$B$18,Assumptions!$B$16*M5,0)</f>
        <v>133.539</v>
      </c>
      <c r="T5" s="9" t="n">
        <f aca="false">K5+N5+Q5</f>
        <v>50.419</v>
      </c>
      <c r="U5" s="9" t="n">
        <f aca="false">L5+O5+R5</f>
        <v>150.138</v>
      </c>
      <c r="V5" s="9" t="n">
        <f aca="false">M5+P5+S5</f>
        <v>519.354</v>
      </c>
      <c r="W5" s="9" t="n">
        <v>35</v>
      </c>
      <c r="X5" s="9" t="n">
        <v>90</v>
      </c>
      <c r="Y5" s="9" t="n">
        <v>295</v>
      </c>
      <c r="Z5" s="9" t="n">
        <f aca="false">U5-X5</f>
        <v>60.138</v>
      </c>
      <c r="AA5" s="10" t="n">
        <f aca="false">IFERROR((U5-X5)/X5,"")</f>
        <v>0.6682</v>
      </c>
      <c r="AB5" s="8" t="str">
        <f aca="false">IF(ISNUMBER(AA5),IF(ABS(AA5)&gt;Assumptions!$B$19,"REVIEW",""),"")</f>
        <v>REVIEW</v>
      </c>
    </row>
    <row r="6" customFormat="false" ht="15" hidden="false" customHeight="false" outlineLevel="0" collapsed="false">
      <c r="A6" s="8" t="s">
        <v>63</v>
      </c>
      <c r="B6" s="8"/>
      <c r="C6" s="9" t="n">
        <v>15</v>
      </c>
      <c r="D6" s="9" t="n">
        <v>40</v>
      </c>
      <c r="E6" s="9" t="n">
        <v>110</v>
      </c>
      <c r="F6" s="9" t="n">
        <v>4</v>
      </c>
      <c r="G6" s="9" t="n">
        <v>3</v>
      </c>
      <c r="H6" s="9" t="n">
        <v>1.5</v>
      </c>
      <c r="I6" s="9" t="n">
        <v>0.3</v>
      </c>
      <c r="J6" s="9" t="n">
        <v>6</v>
      </c>
      <c r="K6" s="9" t="n">
        <f aca="false">C6+3*Assumptions!$B$4*F6+Assumptions!$B$7*G6+H6+I6</f>
        <v>31.8</v>
      </c>
      <c r="L6" s="9" t="n">
        <f aca="false">D6+3*Assumptions!$B$5*F6+Assumptions!$B$8*G6+H6+I6</f>
        <v>69.4</v>
      </c>
      <c r="M6" s="9" t="n">
        <f aca="false">E6+3*Assumptions!$B$6*F6+Assumptions!$B$9*G6+H6+I6</f>
        <v>165.8</v>
      </c>
      <c r="N6" s="9" t="n">
        <f aca="false">IF(AND(Assumptions!$B$17,ISNUMBER(J6)),Assumptions!$B$10*Assumptions!$B$13*J6,0)</f>
        <v>9</v>
      </c>
      <c r="O6" s="9" t="n">
        <f aca="false">IF(AND(Assumptions!$B$17,ISNUMBER(J6)),Assumptions!$B$11*Assumptions!$B$13*J6,0)</f>
        <v>18</v>
      </c>
      <c r="P6" s="9" t="n">
        <f aca="false">IF(AND(Assumptions!$B$17,ISNUMBER(J6)),Assumptions!$B$12*Assumptions!$B$13*J6,0)</f>
        <v>27</v>
      </c>
      <c r="Q6" s="9" t="n">
        <f aca="false">IF(Assumptions!$B$18,Assumptions!$B$14*K6,0)</f>
        <v>3.18</v>
      </c>
      <c r="R6" s="9" t="n">
        <f aca="false">IF(Assumptions!$B$18,Assumptions!$B$15*L6,0)</f>
        <v>13.88</v>
      </c>
      <c r="S6" s="9" t="n">
        <f aca="false">IF(Assumptions!$B$18,Assumptions!$B$16*M6,0)</f>
        <v>58.03</v>
      </c>
      <c r="T6" s="9" t="n">
        <f aca="false">K6+N6+Q6</f>
        <v>43.98</v>
      </c>
      <c r="U6" s="9" t="n">
        <f aca="false">L6+O6+R6</f>
        <v>101.28</v>
      </c>
      <c r="V6" s="9" t="n">
        <f aca="false">M6+P6+S6</f>
        <v>250.83</v>
      </c>
      <c r="W6" s="9" t="n">
        <v>25</v>
      </c>
      <c r="X6" s="9" t="n">
        <v>60</v>
      </c>
      <c r="Y6" s="9" t="n">
        <v>180</v>
      </c>
      <c r="Z6" s="9" t="n">
        <f aca="false">U6-X6</f>
        <v>41.28</v>
      </c>
      <c r="AA6" s="10" t="n">
        <f aca="false">IFERROR((U6-X6)/X6,"")</f>
        <v>0.688</v>
      </c>
      <c r="AB6" s="8" t="str">
        <f aca="false">IF(ISNUMBER(AA6),IF(ABS(AA6)&gt;Assumptions!$B$19,"REVIEW",""),"")</f>
        <v>REVIEW</v>
      </c>
    </row>
    <row r="7" customFormat="false" ht="15" hidden="false" customHeight="false" outlineLevel="0" collapsed="false">
      <c r="A7" s="8" t="s">
        <v>64</v>
      </c>
      <c r="B7" s="8"/>
      <c r="C7" s="9" t="n">
        <v>20</v>
      </c>
      <c r="D7" s="9" t="n">
        <v>70</v>
      </c>
      <c r="E7" s="9" t="n">
        <v>180</v>
      </c>
      <c r="F7" s="9" t="n">
        <v>6</v>
      </c>
      <c r="G7" s="9" t="n">
        <v>3</v>
      </c>
      <c r="H7" s="9" t="n">
        <v>1.5</v>
      </c>
      <c r="I7" s="9" t="n">
        <v>0.4</v>
      </c>
      <c r="J7" s="9" t="n">
        <v>3</v>
      </c>
      <c r="K7" s="9" t="n">
        <f aca="false">C7+3*Assumptions!$B$4*F7+Assumptions!$B$7*G7+H7+I7</f>
        <v>42.9</v>
      </c>
      <c r="L7" s="9" t="n">
        <f aca="false">D7+3*Assumptions!$B$5*F7+Assumptions!$B$8*G7+H7+I7</f>
        <v>110.3</v>
      </c>
      <c r="M7" s="9" t="n">
        <f aca="false">E7+3*Assumptions!$B$6*F7+Assumptions!$B$9*G7+H7+I7</f>
        <v>256.9</v>
      </c>
      <c r="N7" s="9" t="n">
        <f aca="false">IF(AND(Assumptions!$B$17,ISNUMBER(J7)),Assumptions!$B$10*Assumptions!$B$13*J7,0)</f>
        <v>4.5</v>
      </c>
      <c r="O7" s="9" t="n">
        <f aca="false">IF(AND(Assumptions!$B$17,ISNUMBER(J7)),Assumptions!$B$11*Assumptions!$B$13*J7,0)</f>
        <v>9</v>
      </c>
      <c r="P7" s="9" t="n">
        <f aca="false">IF(AND(Assumptions!$B$17,ISNUMBER(J7)),Assumptions!$B$12*Assumptions!$B$13*J7,0)</f>
        <v>13.5</v>
      </c>
      <c r="Q7" s="9" t="n">
        <f aca="false">IF(Assumptions!$B$18,Assumptions!$B$14*K7,0)</f>
        <v>4.29</v>
      </c>
      <c r="R7" s="9" t="n">
        <f aca="false">IF(Assumptions!$B$18,Assumptions!$B$15*L7,0)</f>
        <v>22.06</v>
      </c>
      <c r="S7" s="9" t="n">
        <f aca="false">IF(Assumptions!$B$18,Assumptions!$B$16*M7,0)</f>
        <v>89.915</v>
      </c>
      <c r="T7" s="9" t="n">
        <f aca="false">K7+N7+Q7</f>
        <v>51.69</v>
      </c>
      <c r="U7" s="9" t="n">
        <f aca="false">L7+O7+R7</f>
        <v>141.36</v>
      </c>
      <c r="V7" s="9" t="n">
        <f aca="false">M7+P7+S7</f>
        <v>360.315</v>
      </c>
      <c r="W7" s="9" t="n">
        <v>30</v>
      </c>
      <c r="X7" s="9" t="n">
        <v>75</v>
      </c>
      <c r="Y7" s="9" t="n">
        <v>250</v>
      </c>
      <c r="Z7" s="9" t="n">
        <f aca="false">U7-X7</f>
        <v>66.36</v>
      </c>
      <c r="AA7" s="10" t="n">
        <f aca="false">IFERROR((U7-X7)/X7,"")</f>
        <v>0.8848</v>
      </c>
      <c r="AB7" s="8" t="str">
        <f aca="false">IF(ISNUMBER(AA7),IF(ABS(AA7)&gt;Assumptions!$B$19,"REVIEW",""),"")</f>
        <v>REVIEW</v>
      </c>
    </row>
    <row r="8" customFormat="false" ht="15" hidden="false" customHeight="false" outlineLevel="0" collapsed="false">
      <c r="A8" s="8" t="s">
        <v>65</v>
      </c>
      <c r="B8" s="8"/>
      <c r="C8" s="9" t="n">
        <v>35</v>
      </c>
      <c r="D8" s="9" t="n">
        <v>65</v>
      </c>
      <c r="E8" s="9" t="n">
        <v>180</v>
      </c>
      <c r="F8" s="9" t="n">
        <v>9</v>
      </c>
      <c r="G8" s="9" t="n">
        <v>5</v>
      </c>
      <c r="H8" s="9" t="n">
        <v>1.3</v>
      </c>
      <c r="I8" s="9" t="n">
        <v>0.5</v>
      </c>
      <c r="J8" s="9" t="n">
        <v>4</v>
      </c>
      <c r="K8" s="9" t="n">
        <f aca="false">C8+3*Assumptions!$B$4*F8+Assumptions!$B$7*G8+H8+I8</f>
        <v>68.8</v>
      </c>
      <c r="L8" s="9" t="n">
        <f aca="false">D8+3*Assumptions!$B$5*F8+Assumptions!$B$8*G8+H8+I8</f>
        <v>125.4</v>
      </c>
      <c r="M8" s="9" t="n">
        <f aca="false">E8+3*Assumptions!$B$6*F8+Assumptions!$B$9*G8+H8+I8</f>
        <v>296.3</v>
      </c>
      <c r="N8" s="9" t="n">
        <f aca="false">IF(AND(Assumptions!$B$17,ISNUMBER(J8)),Assumptions!$B$10*Assumptions!$B$13*J8,0)</f>
        <v>6</v>
      </c>
      <c r="O8" s="9" t="n">
        <f aca="false">IF(AND(Assumptions!$B$17,ISNUMBER(J8)),Assumptions!$B$11*Assumptions!$B$13*J8,0)</f>
        <v>12</v>
      </c>
      <c r="P8" s="9" t="n">
        <f aca="false">IF(AND(Assumptions!$B$17,ISNUMBER(J8)),Assumptions!$B$12*Assumptions!$B$13*J8,0)</f>
        <v>18</v>
      </c>
      <c r="Q8" s="9" t="n">
        <f aca="false">IF(Assumptions!$B$18,Assumptions!$B$14*K8,0)</f>
        <v>6.88</v>
      </c>
      <c r="R8" s="9" t="n">
        <f aca="false">IF(Assumptions!$B$18,Assumptions!$B$15*L8,0)</f>
        <v>25.08</v>
      </c>
      <c r="S8" s="9" t="n">
        <f aca="false">IF(Assumptions!$B$18,Assumptions!$B$16*M8,0)</f>
        <v>103.705</v>
      </c>
      <c r="T8" s="9" t="n">
        <f aca="false">K8+N8+Q8</f>
        <v>81.68</v>
      </c>
      <c r="U8" s="9" t="n">
        <f aca="false">L8+O8+R8</f>
        <v>162.48</v>
      </c>
      <c r="V8" s="9" t="n">
        <f aca="false">M8+P8+S8</f>
        <v>418.005</v>
      </c>
      <c r="W8" s="9" t="n">
        <v>40</v>
      </c>
      <c r="X8" s="9" t="n">
        <v>100</v>
      </c>
      <c r="Y8" s="9" t="n">
        <v>285</v>
      </c>
      <c r="Z8" s="9" t="n">
        <f aca="false">U8-X8</f>
        <v>62.48</v>
      </c>
      <c r="AA8" s="10" t="n">
        <f aca="false">IFERROR((U8-X8)/X8,"")</f>
        <v>0.6248</v>
      </c>
      <c r="AB8" s="8" t="str">
        <f aca="false">IF(ISNUMBER(AA8),IF(ABS(AA8)&gt;Assumptions!$B$19,"REVIEW",""),"")</f>
        <v>REVIEW</v>
      </c>
    </row>
    <row r="9" customFormat="false" ht="15" hidden="false" customHeight="false" outlineLevel="0" collapsed="false">
      <c r="A9" s="8" t="s">
        <v>66</v>
      </c>
      <c r="B9" s="8"/>
      <c r="C9" s="9" t="n">
        <v>25</v>
      </c>
      <c r="D9" s="9" t="n">
        <v>72</v>
      </c>
      <c r="E9" s="9" t="n">
        <v>220</v>
      </c>
      <c r="F9" s="9" t="n">
        <v>15</v>
      </c>
      <c r="G9" s="9" t="n">
        <v>4</v>
      </c>
      <c r="H9" s="9" t="n">
        <v>2.4</v>
      </c>
      <c r="I9" s="9" t="n">
        <v>0.5</v>
      </c>
      <c r="J9" s="9" t="n">
        <v>2</v>
      </c>
      <c r="K9" s="9" t="n">
        <f aca="false">C9+3*Assumptions!$B$4*F9+Assumptions!$B$7*G9+H9+I9</f>
        <v>76.9</v>
      </c>
      <c r="L9" s="9" t="n">
        <f aca="false">D9+3*Assumptions!$B$5*F9+Assumptions!$B$8*G9+H9+I9</f>
        <v>163.9</v>
      </c>
      <c r="M9" s="9" t="n">
        <f aca="false">E9+3*Assumptions!$B$6*F9+Assumptions!$B$9*G9+H9+I9</f>
        <v>396.4</v>
      </c>
      <c r="N9" s="9" t="n">
        <f aca="false">IF(AND(Assumptions!$B$17,ISNUMBER(J9)),Assumptions!$B$10*Assumptions!$B$13*J9,0)</f>
        <v>3</v>
      </c>
      <c r="O9" s="9" t="n">
        <f aca="false">IF(AND(Assumptions!$B$17,ISNUMBER(J9)),Assumptions!$B$11*Assumptions!$B$13*J9,0)</f>
        <v>6</v>
      </c>
      <c r="P9" s="9" t="n">
        <f aca="false">IF(AND(Assumptions!$B$17,ISNUMBER(J9)),Assumptions!$B$12*Assumptions!$B$13*J9,0)</f>
        <v>9</v>
      </c>
      <c r="Q9" s="9" t="n">
        <f aca="false">IF(Assumptions!$B$18,Assumptions!$B$14*K9,0)</f>
        <v>7.69</v>
      </c>
      <c r="R9" s="9" t="n">
        <f aca="false">IF(Assumptions!$B$18,Assumptions!$B$15*L9,0)</f>
        <v>32.78</v>
      </c>
      <c r="S9" s="9" t="n">
        <f aca="false">IF(Assumptions!$B$18,Assumptions!$B$16*M9,0)</f>
        <v>138.74</v>
      </c>
      <c r="T9" s="9" t="n">
        <f aca="false">K9+N9+Q9</f>
        <v>87.59</v>
      </c>
      <c r="U9" s="9" t="n">
        <f aca="false">L9+O9+R9</f>
        <v>202.68</v>
      </c>
      <c r="V9" s="9" t="n">
        <f aca="false">M9+P9+S9</f>
        <v>544.14</v>
      </c>
      <c r="W9" s="9" t="n">
        <v>45</v>
      </c>
      <c r="X9" s="9" t="n">
        <v>110</v>
      </c>
      <c r="Y9" s="9" t="n">
        <v>335</v>
      </c>
      <c r="Z9" s="9" t="n">
        <f aca="false">U9-X9</f>
        <v>92.68</v>
      </c>
      <c r="AA9" s="10" t="n">
        <f aca="false">IFERROR((U9-X9)/X9,"")</f>
        <v>0.842545454545455</v>
      </c>
      <c r="AB9" s="8" t="str">
        <f aca="false">IF(ISNUMBER(AA9),IF(ABS(AA9)&gt;Assumptions!$B$19,"REVIEW",""),"")</f>
        <v>REVIEW</v>
      </c>
    </row>
    <row r="10" customFormat="false" ht="15" hidden="false" customHeight="false" outlineLevel="0" collapsed="false">
      <c r="A10" s="8" t="s">
        <v>67</v>
      </c>
      <c r="B10" s="8"/>
      <c r="C10" s="9" t="n">
        <v>40</v>
      </c>
      <c r="D10" s="9" t="n">
        <v>90</v>
      </c>
      <c r="E10" s="9" t="n">
        <v>220</v>
      </c>
      <c r="F10" s="9" t="n">
        <v>18</v>
      </c>
      <c r="G10" s="9" t="n">
        <v>5</v>
      </c>
      <c r="H10" s="9" t="n">
        <v>3</v>
      </c>
      <c r="I10" s="9" t="n">
        <v>1</v>
      </c>
      <c r="J10" s="9" t="n">
        <v>7</v>
      </c>
      <c r="K10" s="9" t="n">
        <f aca="false">C10+3*Assumptions!$B$4*F10+Assumptions!$B$7*G10+H10+I10</f>
        <v>103</v>
      </c>
      <c r="L10" s="9" t="n">
        <f aca="false">D10+3*Assumptions!$B$5*F10+Assumptions!$B$8*G10+H10+I10</f>
        <v>201.2</v>
      </c>
      <c r="M10" s="9" t="n">
        <f aca="false">E10+3*Assumptions!$B$6*F10+Assumptions!$B$9*G10+H10+I10</f>
        <v>433</v>
      </c>
      <c r="N10" s="9" t="n">
        <f aca="false">IF(AND(Assumptions!$B$17,ISNUMBER(J10)),Assumptions!$B$10*Assumptions!$B$13*J10,0)</f>
        <v>10.5</v>
      </c>
      <c r="O10" s="9" t="n">
        <f aca="false">IF(AND(Assumptions!$B$17,ISNUMBER(J10)),Assumptions!$B$11*Assumptions!$B$13*J10,0)</f>
        <v>21</v>
      </c>
      <c r="P10" s="9" t="n">
        <f aca="false">IF(AND(Assumptions!$B$17,ISNUMBER(J10)),Assumptions!$B$12*Assumptions!$B$13*J10,0)</f>
        <v>31.5</v>
      </c>
      <c r="Q10" s="9" t="n">
        <f aca="false">IF(Assumptions!$B$18,Assumptions!$B$14*K10,0)</f>
        <v>10.3</v>
      </c>
      <c r="R10" s="9" t="n">
        <f aca="false">IF(Assumptions!$B$18,Assumptions!$B$15*L10,0)</f>
        <v>40.24</v>
      </c>
      <c r="S10" s="9" t="n">
        <f aca="false">IF(Assumptions!$B$18,Assumptions!$B$16*M10,0)</f>
        <v>151.55</v>
      </c>
      <c r="T10" s="9" t="n">
        <f aca="false">K10+N10+Q10</f>
        <v>123.8</v>
      </c>
      <c r="U10" s="9" t="n">
        <f aca="false">L10+O10+R10</f>
        <v>262.44</v>
      </c>
      <c r="V10" s="9" t="n">
        <f aca="false">M10+P10+S10</f>
        <v>616.05</v>
      </c>
      <c r="W10" s="9" t="n">
        <v>50</v>
      </c>
      <c r="X10" s="9" t="n">
        <v>130</v>
      </c>
      <c r="Y10" s="9" t="n">
        <v>385</v>
      </c>
      <c r="Z10" s="9" t="n">
        <f aca="false">U10-X10</f>
        <v>132.44</v>
      </c>
      <c r="AA10" s="10" t="n">
        <f aca="false">IFERROR((U10-X10)/X10,"")</f>
        <v>1.01876923076923</v>
      </c>
      <c r="AB10" s="8" t="str">
        <f aca="false">IF(ISNUMBER(AA10),IF(ABS(AA10)&gt;Assumptions!$B$19,"REVIEW",""),"")</f>
        <v>REVIEW</v>
      </c>
    </row>
    <row r="11" customFormat="false" ht="15" hidden="false" customHeight="false" outlineLevel="0" collapsed="false">
      <c r="A11" s="8" t="s">
        <v>68</v>
      </c>
      <c r="B11" s="8"/>
      <c r="C11" s="9" t="n">
        <v>80</v>
      </c>
      <c r="D11" s="9" t="n">
        <v>160</v>
      </c>
      <c r="E11" s="9" t="n">
        <v>380</v>
      </c>
      <c r="F11" s="9" t="n">
        <v>28</v>
      </c>
      <c r="G11" s="9" t="n">
        <v>25</v>
      </c>
      <c r="H11" s="9" t="n">
        <v>3.5</v>
      </c>
      <c r="I11" s="9" t="n">
        <v>1.5</v>
      </c>
      <c r="J11" s="9" t="n">
        <v>6</v>
      </c>
      <c r="K11" s="9" t="n">
        <f aca="false">C11+3*Assumptions!$B$4*F11+Assumptions!$B$7*G11+H11+I11</f>
        <v>194</v>
      </c>
      <c r="L11" s="9" t="n">
        <f aca="false">D11+3*Assumptions!$B$5*F11+Assumptions!$B$8*G11+H11+I11</f>
        <v>366.2</v>
      </c>
      <c r="M11" s="9" t="n">
        <f aca="false">E11+3*Assumptions!$B$6*F11+Assumptions!$B$9*G11+H11+I11</f>
        <v>779</v>
      </c>
      <c r="N11" s="9" t="n">
        <f aca="false">IF(AND(Assumptions!$B$17,ISNUMBER(J11)),Assumptions!$B$10*Assumptions!$B$13*J11,0)</f>
        <v>9</v>
      </c>
      <c r="O11" s="9" t="n">
        <f aca="false">IF(AND(Assumptions!$B$17,ISNUMBER(J11)),Assumptions!$B$11*Assumptions!$B$13*J11,0)</f>
        <v>18</v>
      </c>
      <c r="P11" s="9" t="n">
        <f aca="false">IF(AND(Assumptions!$B$17,ISNUMBER(J11)),Assumptions!$B$12*Assumptions!$B$13*J11,0)</f>
        <v>27</v>
      </c>
      <c r="Q11" s="9" t="n">
        <f aca="false">IF(Assumptions!$B$18,Assumptions!$B$14*K11,0)</f>
        <v>19.4</v>
      </c>
      <c r="R11" s="9" t="n">
        <f aca="false">IF(Assumptions!$B$18,Assumptions!$B$15*L11,0)</f>
        <v>73.24</v>
      </c>
      <c r="S11" s="9" t="n">
        <f aca="false">IF(Assumptions!$B$18,Assumptions!$B$16*M11,0)</f>
        <v>272.65</v>
      </c>
      <c r="T11" s="9" t="n">
        <f aca="false">K11+N11+Q11</f>
        <v>222.4</v>
      </c>
      <c r="U11" s="9" t="n">
        <f aca="false">L11+O11+R11</f>
        <v>457.44</v>
      </c>
      <c r="V11" s="9" t="n">
        <f aca="false">M11+P11+S11</f>
        <v>1078.65</v>
      </c>
      <c r="W11" s="9" t="n">
        <v>90</v>
      </c>
      <c r="X11" s="9" t="n">
        <v>220</v>
      </c>
      <c r="Y11" s="9" t="n">
        <v>600</v>
      </c>
      <c r="Z11" s="9" t="n">
        <f aca="false">U11-X11</f>
        <v>237.44</v>
      </c>
      <c r="AA11" s="10" t="n">
        <f aca="false">IFERROR((U11-X11)/X11,"")</f>
        <v>1.07927272727273</v>
      </c>
      <c r="AB11" s="8" t="str">
        <f aca="false">IF(ISNUMBER(AA11),IF(ABS(AA11)&gt;Assumptions!$B$19,"REVIEW",""),"")</f>
        <v>REVIEW</v>
      </c>
    </row>
    <row r="12" customFormat="false" ht="15" hidden="false" customHeight="false" outlineLevel="0" collapsed="false">
      <c r="A12" s="8" t="s">
        <v>69</v>
      </c>
      <c r="B12" s="8"/>
      <c r="C12" s="9" t="n">
        <v>55</v>
      </c>
      <c r="D12" s="9" t="n">
        <v>115</v>
      </c>
      <c r="E12" s="9" t="n">
        <v>240</v>
      </c>
      <c r="F12" s="9" t="n">
        <v>24</v>
      </c>
      <c r="G12" s="9" t="n">
        <v>10</v>
      </c>
      <c r="H12" s="9" t="n">
        <v>2.2</v>
      </c>
      <c r="I12" s="9" t="n">
        <v>1.3</v>
      </c>
      <c r="J12" s="9" t="n">
        <v>4.5</v>
      </c>
      <c r="K12" s="9" t="n">
        <f aca="false">C12+3*Assumptions!$B$4*F12+Assumptions!$B$7*G12+H12+I12</f>
        <v>140.5</v>
      </c>
      <c r="L12" s="9" t="n">
        <f aca="false">D12+3*Assumptions!$B$5*F12+Assumptions!$B$8*G12+H12+I12</f>
        <v>268.1</v>
      </c>
      <c r="M12" s="9" t="n">
        <f aca="false">E12+3*Assumptions!$B$6*F12+Assumptions!$B$9*G12+H12+I12</f>
        <v>535.5</v>
      </c>
      <c r="N12" s="9" t="n">
        <f aca="false">IF(AND(Assumptions!$B$17,ISNUMBER(J12)),Assumptions!$B$10*Assumptions!$B$13*J12,0)</f>
        <v>6.75</v>
      </c>
      <c r="O12" s="9" t="n">
        <f aca="false">IF(AND(Assumptions!$B$17,ISNUMBER(J12)),Assumptions!$B$11*Assumptions!$B$13*J12,0)</f>
        <v>13.5</v>
      </c>
      <c r="P12" s="9" t="n">
        <f aca="false">IF(AND(Assumptions!$B$17,ISNUMBER(J12)),Assumptions!$B$12*Assumptions!$B$13*J12,0)</f>
        <v>20.25</v>
      </c>
      <c r="Q12" s="9" t="n">
        <f aca="false">IF(Assumptions!$B$18,Assumptions!$B$14*K12,0)</f>
        <v>14.05</v>
      </c>
      <c r="R12" s="9" t="n">
        <f aca="false">IF(Assumptions!$B$18,Assumptions!$B$15*L12,0)</f>
        <v>53.62</v>
      </c>
      <c r="S12" s="9" t="n">
        <f aca="false">IF(Assumptions!$B$18,Assumptions!$B$16*M12,0)</f>
        <v>187.425</v>
      </c>
      <c r="T12" s="9" t="n">
        <f aca="false">K12+N12+Q12</f>
        <v>161.3</v>
      </c>
      <c r="U12" s="9" t="n">
        <f aca="false">L12+O12+R12</f>
        <v>335.22</v>
      </c>
      <c r="V12" s="9" t="n">
        <f aca="false">M12+P12+S12</f>
        <v>743.175</v>
      </c>
      <c r="W12" s="9" t="n">
        <v>65</v>
      </c>
      <c r="X12" s="9" t="n">
        <v>160</v>
      </c>
      <c r="Y12" s="9" t="n">
        <v>465</v>
      </c>
      <c r="Z12" s="9" t="n">
        <f aca="false">U12-X12</f>
        <v>175.22</v>
      </c>
      <c r="AA12" s="10" t="n">
        <f aca="false">IFERROR((U12-X12)/X12,"")</f>
        <v>1.095125</v>
      </c>
      <c r="AB12" s="8" t="str">
        <f aca="false">IF(ISNUMBER(AA12),IF(ABS(AA12)&gt;Assumptions!$B$19,"REVIEW",""),"")</f>
        <v>REVIEW</v>
      </c>
    </row>
    <row r="13" customFormat="false" ht="15" hidden="false" customHeight="false" outlineLevel="0" collapsed="false">
      <c r="A13" s="8" t="s">
        <v>70</v>
      </c>
      <c r="B13" s="8"/>
      <c r="C13" s="9" t="n">
        <v>20</v>
      </c>
      <c r="D13" s="9" t="n">
        <v>55</v>
      </c>
      <c r="E13" s="9" t="n">
        <v>130</v>
      </c>
      <c r="F13" s="9" t="n">
        <v>9</v>
      </c>
      <c r="G13" s="9" t="n">
        <v>5</v>
      </c>
      <c r="H13" s="9" t="n">
        <v>2.2</v>
      </c>
      <c r="I13" s="9" t="n">
        <v>0.4</v>
      </c>
      <c r="J13" s="9" t="n">
        <v>3</v>
      </c>
      <c r="K13" s="9" t="n">
        <f aca="false">C13+3*Assumptions!$B$4*F13+Assumptions!$B$7*G13+H13+I13</f>
        <v>54.6</v>
      </c>
      <c r="L13" s="9" t="n">
        <f aca="false">D13+3*Assumptions!$B$5*F13+Assumptions!$B$8*G13+H13+I13</f>
        <v>116.2</v>
      </c>
      <c r="M13" s="9" t="n">
        <f aca="false">E13+3*Assumptions!$B$6*F13+Assumptions!$B$9*G13+H13+I13</f>
        <v>247.1</v>
      </c>
      <c r="N13" s="9" t="n">
        <f aca="false">IF(AND(Assumptions!$B$17,ISNUMBER(J13)),Assumptions!$B$10*Assumptions!$B$13*J13,0)</f>
        <v>4.5</v>
      </c>
      <c r="O13" s="9" t="n">
        <f aca="false">IF(AND(Assumptions!$B$17,ISNUMBER(J13)),Assumptions!$B$11*Assumptions!$B$13*J13,0)</f>
        <v>9</v>
      </c>
      <c r="P13" s="9" t="n">
        <f aca="false">IF(AND(Assumptions!$B$17,ISNUMBER(J13)),Assumptions!$B$12*Assumptions!$B$13*J13,0)</f>
        <v>13.5</v>
      </c>
      <c r="Q13" s="9" t="n">
        <f aca="false">IF(Assumptions!$B$18,Assumptions!$B$14*K13,0)</f>
        <v>5.46</v>
      </c>
      <c r="R13" s="9" t="n">
        <f aca="false">IF(Assumptions!$B$18,Assumptions!$B$15*L13,0)</f>
        <v>23.24</v>
      </c>
      <c r="S13" s="9" t="n">
        <f aca="false">IF(Assumptions!$B$18,Assumptions!$B$16*M13,0)</f>
        <v>86.485</v>
      </c>
      <c r="T13" s="9" t="n">
        <f aca="false">K13+N13+Q13</f>
        <v>64.56</v>
      </c>
      <c r="U13" s="9" t="n">
        <f aca="false">L13+O13+R13</f>
        <v>148.44</v>
      </c>
      <c r="V13" s="9" t="n">
        <f aca="false">M13+P13+S13</f>
        <v>347.085</v>
      </c>
      <c r="W13" s="9" t="n">
        <v>30</v>
      </c>
      <c r="X13" s="9" t="n">
        <v>75</v>
      </c>
      <c r="Y13" s="9" t="n">
        <v>220</v>
      </c>
      <c r="Z13" s="9" t="n">
        <f aca="false">U13-X13</f>
        <v>73.44</v>
      </c>
      <c r="AA13" s="10" t="n">
        <f aca="false">IFERROR((U13-X13)/X13,"")</f>
        <v>0.9792</v>
      </c>
      <c r="AB13" s="8" t="str">
        <f aca="false">IF(ISNUMBER(AA13),IF(ABS(AA13)&gt;Assumptions!$B$19,"REVIEW",""),"")</f>
        <v>REVIEW</v>
      </c>
    </row>
    <row r="14" customFormat="false" ht="15" hidden="false" customHeight="false" outlineLevel="0" collapsed="false">
      <c r="A14" s="8" t="s">
        <v>71</v>
      </c>
      <c r="B14" s="8"/>
      <c r="C14" s="9" t="n">
        <v>25</v>
      </c>
      <c r="D14" s="9" t="n">
        <v>55</v>
      </c>
      <c r="E14" s="9" t="n">
        <v>160</v>
      </c>
      <c r="F14" s="9" t="n">
        <v>12</v>
      </c>
      <c r="G14" s="9" t="n">
        <v>7</v>
      </c>
      <c r="H14" s="9" t="n">
        <v>3</v>
      </c>
      <c r="I14" s="9" t="n">
        <v>0.4</v>
      </c>
      <c r="J14" s="9" t="n">
        <v>4</v>
      </c>
      <c r="K14" s="9" t="n">
        <f aca="false">C14+3*Assumptions!$B$4*F14+Assumptions!$B$7*G14+H14+I14</f>
        <v>71.4</v>
      </c>
      <c r="L14" s="9" t="n">
        <f aca="false">D14+3*Assumptions!$B$5*F14+Assumptions!$B$8*G14+H14+I14</f>
        <v>137.2</v>
      </c>
      <c r="M14" s="9" t="n">
        <f aca="false">E14+3*Assumptions!$B$6*F14+Assumptions!$B$9*G14+H14+I14</f>
        <v>317.4</v>
      </c>
      <c r="N14" s="9" t="n">
        <f aca="false">IF(AND(Assumptions!$B$17,ISNUMBER(J14)),Assumptions!$B$10*Assumptions!$B$13*J14,0)</f>
        <v>6</v>
      </c>
      <c r="O14" s="9" t="n">
        <f aca="false">IF(AND(Assumptions!$B$17,ISNUMBER(J14)),Assumptions!$B$11*Assumptions!$B$13*J14,0)</f>
        <v>12</v>
      </c>
      <c r="P14" s="9" t="n">
        <f aca="false">IF(AND(Assumptions!$B$17,ISNUMBER(J14)),Assumptions!$B$12*Assumptions!$B$13*J14,0)</f>
        <v>18</v>
      </c>
      <c r="Q14" s="9" t="n">
        <f aca="false">IF(Assumptions!$B$18,Assumptions!$B$14*K14,0)</f>
        <v>7.14</v>
      </c>
      <c r="R14" s="9" t="n">
        <f aca="false">IF(Assumptions!$B$18,Assumptions!$B$15*L14,0)</f>
        <v>27.44</v>
      </c>
      <c r="S14" s="9" t="n">
        <f aca="false">IF(Assumptions!$B$18,Assumptions!$B$16*M14,0)</f>
        <v>111.09</v>
      </c>
      <c r="T14" s="9" t="n">
        <f aca="false">K14+N14+Q14</f>
        <v>84.54</v>
      </c>
      <c r="U14" s="9" t="n">
        <f aca="false">L14+O14+R14</f>
        <v>176.64</v>
      </c>
      <c r="V14" s="9" t="n">
        <f aca="false">M14+P14+S14</f>
        <v>446.49</v>
      </c>
      <c r="W14" s="9" t="n">
        <v>40</v>
      </c>
      <c r="X14" s="9" t="n">
        <v>95</v>
      </c>
      <c r="Y14" s="9" t="n">
        <v>280</v>
      </c>
      <c r="Z14" s="9" t="n">
        <f aca="false">U14-X14</f>
        <v>81.64</v>
      </c>
      <c r="AA14" s="10" t="n">
        <f aca="false">IFERROR((U14-X14)/X14,"")</f>
        <v>0.859368421052632</v>
      </c>
      <c r="AB14" s="8" t="str">
        <f aca="false">IF(ISNUMBER(AA14),IF(ABS(AA14)&gt;Assumptions!$B$19,"REVIEW",""),"")</f>
        <v>REVIEW</v>
      </c>
    </row>
    <row r="15" customFormat="false" ht="15" hidden="false" customHeight="false" outlineLevel="0" collapsed="false">
      <c r="A15" s="8" t="s">
        <v>72</v>
      </c>
      <c r="B15" s="8"/>
      <c r="C15" s="9" t="n">
        <v>20</v>
      </c>
      <c r="D15" s="9" t="n">
        <v>55</v>
      </c>
      <c r="E15" s="9" t="n">
        <v>150</v>
      </c>
      <c r="F15" s="9" t="n">
        <v>8</v>
      </c>
      <c r="G15" s="9" t="n">
        <v>4</v>
      </c>
      <c r="H15" s="9" t="n">
        <v>1.5</v>
      </c>
      <c r="I15" s="9" t="n">
        <v>0.5</v>
      </c>
      <c r="J15" s="9" t="n">
        <v>2</v>
      </c>
      <c r="K15" s="9" t="n">
        <f aca="false">C15+3*Assumptions!$B$4*F15+Assumptions!$B$7*G15+H15+I15</f>
        <v>50</v>
      </c>
      <c r="L15" s="9" t="n">
        <f aca="false">D15+3*Assumptions!$B$5*F15+Assumptions!$B$8*G15+H15+I15</f>
        <v>108.2</v>
      </c>
      <c r="M15" s="9" t="n">
        <f aca="false">E15+3*Assumptions!$B$6*F15+Assumptions!$B$9*G15+H15+I15</f>
        <v>252</v>
      </c>
      <c r="N15" s="9" t="n">
        <f aca="false">IF(AND(Assumptions!$B$17,ISNUMBER(J15)),Assumptions!$B$10*Assumptions!$B$13*J15,0)</f>
        <v>3</v>
      </c>
      <c r="O15" s="9" t="n">
        <f aca="false">IF(AND(Assumptions!$B$17,ISNUMBER(J15)),Assumptions!$B$11*Assumptions!$B$13*J15,0)</f>
        <v>6</v>
      </c>
      <c r="P15" s="9" t="n">
        <f aca="false">IF(AND(Assumptions!$B$17,ISNUMBER(J15)),Assumptions!$B$12*Assumptions!$B$13*J15,0)</f>
        <v>9</v>
      </c>
      <c r="Q15" s="9" t="n">
        <f aca="false">IF(Assumptions!$B$18,Assumptions!$B$14*K15,0)</f>
        <v>5</v>
      </c>
      <c r="R15" s="9" t="n">
        <f aca="false">IF(Assumptions!$B$18,Assumptions!$B$15*L15,0)</f>
        <v>21.64</v>
      </c>
      <c r="S15" s="9" t="n">
        <f aca="false">IF(Assumptions!$B$18,Assumptions!$B$16*M15,0)</f>
        <v>88.2</v>
      </c>
      <c r="T15" s="9" t="n">
        <f aca="false">K15+N15+Q15</f>
        <v>58</v>
      </c>
      <c r="U15" s="9" t="n">
        <f aca="false">L15+O15+R15</f>
        <v>135.84</v>
      </c>
      <c r="V15" s="9" t="n">
        <f aca="false">M15+P15+S15</f>
        <v>349.2</v>
      </c>
      <c r="W15" s="9" t="n">
        <v>35</v>
      </c>
      <c r="X15" s="9" t="n">
        <v>80</v>
      </c>
      <c r="Y15" s="9" t="n">
        <v>245</v>
      </c>
      <c r="Z15" s="9" t="n">
        <f aca="false">U15-X15</f>
        <v>55.84</v>
      </c>
      <c r="AA15" s="10" t="n">
        <f aca="false">IFERROR((U15-X15)/X15,"")</f>
        <v>0.698</v>
      </c>
      <c r="AB15" s="8" t="str">
        <f aca="false">IF(ISNUMBER(AA15),IF(ABS(AA15)&gt;Assumptions!$B$19,"REVIEW",""),"")</f>
        <v>REVIEW</v>
      </c>
    </row>
    <row r="16" customFormat="false" ht="15" hidden="false" customHeight="false" outlineLevel="0" collapsed="false">
      <c r="A16" s="8" t="s">
        <v>73</v>
      </c>
      <c r="B16" s="8"/>
      <c r="C16" s="9" t="n">
        <v>40</v>
      </c>
      <c r="D16" s="9" t="n">
        <v>45</v>
      </c>
      <c r="E16" s="9" t="n">
        <v>320</v>
      </c>
      <c r="F16" s="9" t="n">
        <v>15</v>
      </c>
      <c r="G16" s="9" t="n">
        <v>6</v>
      </c>
      <c r="H16" s="9" t="n">
        <v>4</v>
      </c>
      <c r="I16" s="9" t="n">
        <v>1.5</v>
      </c>
      <c r="J16" s="9" t="n">
        <v>6</v>
      </c>
      <c r="K16" s="9" t="n">
        <f aca="false">C16+3*Assumptions!$B$4*F16+Assumptions!$B$7*G16+H16+I16</f>
        <v>96.5</v>
      </c>
      <c r="L16" s="9" t="n">
        <f aca="false">D16+3*Assumptions!$B$5*F16+Assumptions!$B$8*G16+H16+I16</f>
        <v>143.5</v>
      </c>
      <c r="M16" s="9" t="n">
        <f aca="false">E16+3*Assumptions!$B$6*F16+Assumptions!$B$9*G16+H16+I16</f>
        <v>507</v>
      </c>
      <c r="N16" s="9" t="n">
        <f aca="false">IF(AND(Assumptions!$B$17,ISNUMBER(J16)),Assumptions!$B$10*Assumptions!$B$13*J16,0)</f>
        <v>9</v>
      </c>
      <c r="O16" s="9" t="n">
        <f aca="false">IF(AND(Assumptions!$B$17,ISNUMBER(J16)),Assumptions!$B$11*Assumptions!$B$13*J16,0)</f>
        <v>18</v>
      </c>
      <c r="P16" s="9" t="n">
        <f aca="false">IF(AND(Assumptions!$B$17,ISNUMBER(J16)),Assumptions!$B$12*Assumptions!$B$13*J16,0)</f>
        <v>27</v>
      </c>
      <c r="Q16" s="9" t="n">
        <f aca="false">IF(Assumptions!$B$18,Assumptions!$B$14*K16,0)</f>
        <v>9.65</v>
      </c>
      <c r="R16" s="9" t="n">
        <f aca="false">IF(Assumptions!$B$18,Assumptions!$B$15*L16,0)</f>
        <v>28.7</v>
      </c>
      <c r="S16" s="9" t="n">
        <f aca="false">IF(Assumptions!$B$18,Assumptions!$B$16*M16,0)</f>
        <v>177.45</v>
      </c>
      <c r="T16" s="9" t="n">
        <f aca="false">K16+N16+Q16</f>
        <v>115.15</v>
      </c>
      <c r="U16" s="9" t="n">
        <f aca="false">L16+O16+R16</f>
        <v>190.2</v>
      </c>
      <c r="V16" s="9" t="n">
        <f aca="false">M16+P16+S16</f>
        <v>711.45</v>
      </c>
      <c r="W16" s="9" t="n">
        <v>50</v>
      </c>
      <c r="X16" s="9" t="n">
        <v>135</v>
      </c>
      <c r="Y16" s="9" t="n">
        <v>405</v>
      </c>
      <c r="Z16" s="9" t="n">
        <f aca="false">U16-X16</f>
        <v>55.2</v>
      </c>
      <c r="AA16" s="10" t="n">
        <f aca="false">IFERROR((U16-X16)/X16,"")</f>
        <v>0.408888888888889</v>
      </c>
      <c r="AB16" s="8" t="str">
        <f aca="false">IF(ISNUMBER(AA16),IF(ABS(AA16)&gt;Assumptions!$B$19,"REVIEW",""),"")</f>
        <v>REVIEW</v>
      </c>
    </row>
    <row r="17" customFormat="false" ht="15" hidden="false" customHeight="false" outlineLevel="0" collapsed="false">
      <c r="A17" s="8" t="s">
        <v>74</v>
      </c>
      <c r="B17" s="8"/>
      <c r="C17" s="9" t="n">
        <v>15</v>
      </c>
      <c r="D17" s="9" t="n">
        <v>70</v>
      </c>
      <c r="E17" s="9" t="n">
        <v>250</v>
      </c>
      <c r="F17" s="9" t="n">
        <v>12</v>
      </c>
      <c r="G17" s="9" t="n">
        <v>3</v>
      </c>
      <c r="H17" s="9" t="n">
        <v>2.5</v>
      </c>
      <c r="I17" s="9" t="n">
        <v>0.6</v>
      </c>
      <c r="J17" s="9" t="n">
        <v>3</v>
      </c>
      <c r="K17" s="9" t="n">
        <f aca="false">C17+3*Assumptions!$B$4*F17+Assumptions!$B$7*G17+H17+I17</f>
        <v>57.1</v>
      </c>
      <c r="L17" s="9" t="n">
        <f aca="false">D17+3*Assumptions!$B$5*F17+Assumptions!$B$8*G17+H17+I17</f>
        <v>143.9</v>
      </c>
      <c r="M17" s="9" t="n">
        <f aca="false">E17+3*Assumptions!$B$6*F17+Assumptions!$B$9*G17+H17+I17</f>
        <v>391.1</v>
      </c>
      <c r="N17" s="9" t="n">
        <f aca="false">IF(AND(Assumptions!$B$17,ISNUMBER(J17)),Assumptions!$B$10*Assumptions!$B$13*J17,0)</f>
        <v>4.5</v>
      </c>
      <c r="O17" s="9" t="n">
        <f aca="false">IF(AND(Assumptions!$B$17,ISNUMBER(J17)),Assumptions!$B$11*Assumptions!$B$13*J17,0)</f>
        <v>9</v>
      </c>
      <c r="P17" s="9" t="n">
        <f aca="false">IF(AND(Assumptions!$B$17,ISNUMBER(J17)),Assumptions!$B$12*Assumptions!$B$13*J17,0)</f>
        <v>13.5</v>
      </c>
      <c r="Q17" s="9" t="n">
        <f aca="false">IF(Assumptions!$B$18,Assumptions!$B$14*K17,0)</f>
        <v>5.71</v>
      </c>
      <c r="R17" s="9" t="n">
        <f aca="false">IF(Assumptions!$B$18,Assumptions!$B$15*L17,0)</f>
        <v>28.78</v>
      </c>
      <c r="S17" s="9" t="n">
        <f aca="false">IF(Assumptions!$B$18,Assumptions!$B$16*M17,0)</f>
        <v>136.885</v>
      </c>
      <c r="T17" s="9" t="n">
        <f aca="false">K17+N17+Q17</f>
        <v>67.31</v>
      </c>
      <c r="U17" s="9" t="n">
        <f aca="false">L17+O17+R17</f>
        <v>181.68</v>
      </c>
      <c r="V17" s="9" t="n">
        <f aca="false">M17+P17+S17</f>
        <v>541.485</v>
      </c>
      <c r="W17" s="9" t="n">
        <v>40</v>
      </c>
      <c r="X17" s="9" t="n">
        <v>100</v>
      </c>
      <c r="Y17" s="9" t="n">
        <v>310</v>
      </c>
      <c r="Z17" s="9" t="n">
        <f aca="false">U17-X17</f>
        <v>81.68</v>
      </c>
      <c r="AA17" s="10" t="n">
        <f aca="false">IFERROR((U17-X17)/X17,"")</f>
        <v>0.8168</v>
      </c>
      <c r="AB17" s="8" t="str">
        <f aca="false">IF(ISNUMBER(AA17),IF(ABS(AA17)&gt;Assumptions!$B$19,"REVIEW",""),"")</f>
        <v>REVIEW</v>
      </c>
    </row>
    <row r="18" customFormat="false" ht="15" hidden="false" customHeight="false" outlineLevel="0" collapsed="false">
      <c r="A18" s="8" t="s">
        <v>75</v>
      </c>
      <c r="B18" s="8"/>
      <c r="C18" s="9" t="n">
        <v>30</v>
      </c>
      <c r="D18" s="9" t="n">
        <v>70</v>
      </c>
      <c r="E18" s="9" t="n">
        <v>130</v>
      </c>
      <c r="F18" s="9" t="n">
        <v>8</v>
      </c>
      <c r="G18" s="9" t="n">
        <v>3</v>
      </c>
      <c r="H18" s="9" t="n">
        <v>1</v>
      </c>
      <c r="I18" s="9" t="n">
        <v>0.5</v>
      </c>
      <c r="J18" s="9" t="n">
        <v>1.5</v>
      </c>
      <c r="K18" s="9" t="n">
        <f aca="false">C18+3*Assumptions!$B$4*F18+Assumptions!$B$7*G18+H18+I18</f>
        <v>58.5</v>
      </c>
      <c r="L18" s="9" t="n">
        <f aca="false">D18+3*Assumptions!$B$5*F18+Assumptions!$B$8*G18+H18+I18</f>
        <v>120.7</v>
      </c>
      <c r="M18" s="9" t="n">
        <f aca="false">E18+3*Assumptions!$B$6*F18+Assumptions!$B$9*G18+H18+I18</f>
        <v>227.5</v>
      </c>
      <c r="N18" s="9" t="n">
        <f aca="false">IF(AND(Assumptions!$B$17,ISNUMBER(J18)),Assumptions!$B$10*Assumptions!$B$13*J18,0)</f>
        <v>2.25</v>
      </c>
      <c r="O18" s="9" t="n">
        <f aca="false">IF(AND(Assumptions!$B$17,ISNUMBER(J18)),Assumptions!$B$11*Assumptions!$B$13*J18,0)</f>
        <v>4.5</v>
      </c>
      <c r="P18" s="9" t="n">
        <f aca="false">IF(AND(Assumptions!$B$17,ISNUMBER(J18)),Assumptions!$B$12*Assumptions!$B$13*J18,0)</f>
        <v>6.75</v>
      </c>
      <c r="Q18" s="9" t="n">
        <f aca="false">IF(Assumptions!$B$18,Assumptions!$B$14*K18,0)</f>
        <v>5.85</v>
      </c>
      <c r="R18" s="9" t="n">
        <f aca="false">IF(Assumptions!$B$18,Assumptions!$B$15*L18,0)</f>
        <v>24.14</v>
      </c>
      <c r="S18" s="9" t="n">
        <f aca="false">IF(Assumptions!$B$18,Assumptions!$B$16*M18,0)</f>
        <v>79.625</v>
      </c>
      <c r="T18" s="9" t="n">
        <f aca="false">K18+N18+Q18</f>
        <v>66.6</v>
      </c>
      <c r="U18" s="9" t="n">
        <f aca="false">L18+O18+R18</f>
        <v>149.34</v>
      </c>
      <c r="V18" s="9" t="n">
        <f aca="false">M18+P18+S18</f>
        <v>313.875</v>
      </c>
      <c r="W18" s="9" t="n">
        <v>35</v>
      </c>
      <c r="X18" s="9" t="n">
        <v>85</v>
      </c>
      <c r="Y18" s="9" t="n">
        <v>250</v>
      </c>
      <c r="Z18" s="9" t="n">
        <f aca="false">U18-X18</f>
        <v>64.34</v>
      </c>
      <c r="AA18" s="10" t="n">
        <f aca="false">IFERROR((U18-X18)/X18,"")</f>
        <v>0.756941176470588</v>
      </c>
      <c r="AB18" s="8" t="str">
        <f aca="false">IF(ISNUMBER(AA18),IF(ABS(AA18)&gt;Assumptions!$B$19,"REVIEW",""),"")</f>
        <v>REVIEW</v>
      </c>
    </row>
    <row r="19" customFormat="false" ht="15" hidden="false" customHeight="false" outlineLevel="0" collapsed="false">
      <c r="A19" s="8" t="s">
        <v>76</v>
      </c>
      <c r="B19" s="8"/>
      <c r="C19" s="9" t="n">
        <v>25</v>
      </c>
      <c r="D19" s="9" t="n">
        <v>60</v>
      </c>
      <c r="E19" s="9" t="n">
        <v>180</v>
      </c>
      <c r="F19" s="9" t="n">
        <v>12</v>
      </c>
      <c r="G19" s="9" t="n">
        <v>5</v>
      </c>
      <c r="H19" s="9" t="n">
        <v>2.5</v>
      </c>
      <c r="I19" s="9" t="n">
        <v>1</v>
      </c>
      <c r="J19" s="9" t="n">
        <v>2.5</v>
      </c>
      <c r="K19" s="9" t="n">
        <f aca="false">C19+3*Assumptions!$B$4*F19+Assumptions!$B$7*G19+H19+I19</f>
        <v>69.5</v>
      </c>
      <c r="L19" s="9" t="n">
        <f aca="false">D19+3*Assumptions!$B$5*F19+Assumptions!$B$8*G19+H19+I19</f>
        <v>138.3</v>
      </c>
      <c r="M19" s="9" t="n">
        <f aca="false">E19+3*Assumptions!$B$6*F19+Assumptions!$B$9*G19+H19+I19</f>
        <v>329.5</v>
      </c>
      <c r="N19" s="9" t="n">
        <f aca="false">IF(AND(Assumptions!$B$17,ISNUMBER(J19)),Assumptions!$B$10*Assumptions!$B$13*J19,0)</f>
        <v>3.75</v>
      </c>
      <c r="O19" s="9" t="n">
        <f aca="false">IF(AND(Assumptions!$B$17,ISNUMBER(J19)),Assumptions!$B$11*Assumptions!$B$13*J19,0)</f>
        <v>7.5</v>
      </c>
      <c r="P19" s="9" t="n">
        <f aca="false">IF(AND(Assumptions!$B$17,ISNUMBER(J19)),Assumptions!$B$12*Assumptions!$B$13*J19,0)</f>
        <v>11.25</v>
      </c>
      <c r="Q19" s="9" t="n">
        <f aca="false">IF(Assumptions!$B$18,Assumptions!$B$14*K19,0)</f>
        <v>6.95</v>
      </c>
      <c r="R19" s="9" t="n">
        <f aca="false">IF(Assumptions!$B$18,Assumptions!$B$15*L19,0)</f>
        <v>27.66</v>
      </c>
      <c r="S19" s="9" t="n">
        <f aca="false">IF(Assumptions!$B$18,Assumptions!$B$16*M19,0)</f>
        <v>115.325</v>
      </c>
      <c r="T19" s="9" t="n">
        <f aca="false">K19+N19+Q19</f>
        <v>80.2</v>
      </c>
      <c r="U19" s="9" t="n">
        <f aca="false">L19+O19+R19</f>
        <v>173.46</v>
      </c>
      <c r="V19" s="9" t="n">
        <f aca="false">M19+P19+S19</f>
        <v>456.075</v>
      </c>
      <c r="W19" s="9" t="n">
        <v>40</v>
      </c>
      <c r="X19" s="9" t="n">
        <v>100</v>
      </c>
      <c r="Y19" s="9" t="n">
        <v>295</v>
      </c>
      <c r="Z19" s="9" t="n">
        <f aca="false">U19-X19</f>
        <v>73.46</v>
      </c>
      <c r="AA19" s="10" t="n">
        <f aca="false">IFERROR((U19-X19)/X19,"")</f>
        <v>0.7346</v>
      </c>
      <c r="AB19" s="8" t="str">
        <f aca="false">IF(ISNUMBER(AA19),IF(ABS(AA19)&gt;Assumptions!$B$19,"REVIEW",""),"")</f>
        <v>REVIEW</v>
      </c>
    </row>
    <row r="20" customFormat="false" ht="15" hidden="false" customHeight="false" outlineLevel="0" collapsed="false">
      <c r="A20" s="8" t="s">
        <v>77</v>
      </c>
      <c r="B20" s="8"/>
      <c r="C20" s="9" t="n">
        <v>60</v>
      </c>
      <c r="D20" s="9" t="n">
        <v>110</v>
      </c>
      <c r="E20" s="9" t="n">
        <v>280</v>
      </c>
      <c r="F20" s="9" t="n">
        <v>18</v>
      </c>
      <c r="G20" s="9" t="n">
        <v>20</v>
      </c>
      <c r="H20" s="9" t="n">
        <v>3.5</v>
      </c>
      <c r="I20" s="9" t="n">
        <v>0.6</v>
      </c>
      <c r="J20" s="9" t="n">
        <v>4</v>
      </c>
      <c r="K20" s="9" t="n">
        <f aca="false">C20+3*Assumptions!$B$4*F20+Assumptions!$B$7*G20+H20+I20</f>
        <v>138.1</v>
      </c>
      <c r="L20" s="9" t="n">
        <f aca="false">D20+3*Assumptions!$B$5*F20+Assumptions!$B$8*G20+H20+I20</f>
        <v>251.3</v>
      </c>
      <c r="M20" s="9" t="n">
        <f aca="false">E20+3*Assumptions!$B$6*F20+Assumptions!$B$9*G20+H20+I20</f>
        <v>553.1</v>
      </c>
      <c r="N20" s="9" t="n">
        <f aca="false">IF(AND(Assumptions!$B$17,ISNUMBER(J20)),Assumptions!$B$10*Assumptions!$B$13*J20,0)</f>
        <v>6</v>
      </c>
      <c r="O20" s="9" t="n">
        <f aca="false">IF(AND(Assumptions!$B$17,ISNUMBER(J20)),Assumptions!$B$11*Assumptions!$B$13*J20,0)</f>
        <v>12</v>
      </c>
      <c r="P20" s="9" t="n">
        <f aca="false">IF(AND(Assumptions!$B$17,ISNUMBER(J20)),Assumptions!$B$12*Assumptions!$B$13*J20,0)</f>
        <v>18</v>
      </c>
      <c r="Q20" s="9" t="n">
        <f aca="false">IF(Assumptions!$B$18,Assumptions!$B$14*K20,0)</f>
        <v>13.81</v>
      </c>
      <c r="R20" s="9" t="n">
        <f aca="false">IF(Assumptions!$B$18,Assumptions!$B$15*L20,0)</f>
        <v>50.26</v>
      </c>
      <c r="S20" s="9" t="n">
        <f aca="false">IF(Assumptions!$B$18,Assumptions!$B$16*M20,0)</f>
        <v>193.585</v>
      </c>
      <c r="T20" s="9" t="n">
        <f aca="false">K20+N20+Q20</f>
        <v>157.91</v>
      </c>
      <c r="U20" s="9" t="n">
        <f aca="false">L20+O20+R20</f>
        <v>313.56</v>
      </c>
      <c r="V20" s="9" t="n">
        <f aca="false">M20+P20+S20</f>
        <v>764.685</v>
      </c>
      <c r="W20" s="9" t="n">
        <v>65</v>
      </c>
      <c r="X20" s="9" t="n">
        <v>150</v>
      </c>
      <c r="Y20" s="9" t="n">
        <v>420</v>
      </c>
      <c r="Z20" s="9" t="n">
        <f aca="false">U20-X20</f>
        <v>163.56</v>
      </c>
      <c r="AA20" s="10" t="n">
        <f aca="false">IFERROR((U20-X20)/X20,"")</f>
        <v>1.0904</v>
      </c>
      <c r="AB20" s="8" t="str">
        <f aca="false">IF(ISNUMBER(AA20),IF(ABS(AA20)&gt;Assumptions!$B$19,"REVIEW",""),"")</f>
        <v>REVIEW</v>
      </c>
    </row>
    <row r="21" customFormat="false" ht="15" hidden="false" customHeight="false" outlineLevel="0" collapsed="false">
      <c r="A21" s="8" t="s">
        <v>78</v>
      </c>
      <c r="B21" s="8"/>
      <c r="C21" s="9" t="n">
        <v>45</v>
      </c>
      <c r="D21" s="9" t="n">
        <v>175</v>
      </c>
      <c r="E21" s="9" t="n">
        <v>320</v>
      </c>
      <c r="F21" s="9" t="n">
        <v>22</v>
      </c>
      <c r="G21" s="9" t="n">
        <v>18</v>
      </c>
      <c r="H21" s="9" t="n">
        <v>4.2</v>
      </c>
      <c r="I21" s="9" t="n">
        <v>1.8</v>
      </c>
      <c r="J21" s="9" t="n">
        <v>7</v>
      </c>
      <c r="K21" s="9" t="n">
        <f aca="false">C21+3*Assumptions!$B$4*F21+Assumptions!$B$7*G21+H21+I21</f>
        <v>135</v>
      </c>
      <c r="L21" s="9" t="n">
        <f aca="false">D21+3*Assumptions!$B$5*F21+Assumptions!$B$8*G21+H21+I21</f>
        <v>335.8</v>
      </c>
      <c r="M21" s="9" t="n">
        <f aca="false">E21+3*Assumptions!$B$6*F21+Assumptions!$B$9*G21+H21+I21</f>
        <v>629</v>
      </c>
      <c r="N21" s="9" t="n">
        <f aca="false">IF(AND(Assumptions!$B$17,ISNUMBER(J21)),Assumptions!$B$10*Assumptions!$B$13*J21,0)</f>
        <v>10.5</v>
      </c>
      <c r="O21" s="9" t="n">
        <f aca="false">IF(AND(Assumptions!$B$17,ISNUMBER(J21)),Assumptions!$B$11*Assumptions!$B$13*J21,0)</f>
        <v>21</v>
      </c>
      <c r="P21" s="9" t="n">
        <f aca="false">IF(AND(Assumptions!$B$17,ISNUMBER(J21)),Assumptions!$B$12*Assumptions!$B$13*J21,0)</f>
        <v>31.5</v>
      </c>
      <c r="Q21" s="9" t="n">
        <f aca="false">IF(Assumptions!$B$18,Assumptions!$B$14*K21,0)</f>
        <v>13.5</v>
      </c>
      <c r="R21" s="9" t="n">
        <f aca="false">IF(Assumptions!$B$18,Assumptions!$B$15*L21,0)</f>
        <v>67.16</v>
      </c>
      <c r="S21" s="9" t="n">
        <f aca="false">IF(Assumptions!$B$18,Assumptions!$B$16*M21,0)</f>
        <v>220.15</v>
      </c>
      <c r="T21" s="9" t="n">
        <f aca="false">K21+N21+Q21</f>
        <v>159</v>
      </c>
      <c r="U21" s="9" t="n">
        <f aca="false">L21+O21+R21</f>
        <v>423.96</v>
      </c>
      <c r="V21" s="9" t="n">
        <f aca="false">M21+P21+S21</f>
        <v>880.65</v>
      </c>
      <c r="W21" s="9" t="n">
        <v>65</v>
      </c>
      <c r="X21" s="9" t="n">
        <v>160</v>
      </c>
      <c r="Y21" s="9" t="n">
        <v>470</v>
      </c>
      <c r="Z21" s="9" t="n">
        <f aca="false">U21-X21</f>
        <v>263.96</v>
      </c>
      <c r="AA21" s="10" t="n">
        <f aca="false">IFERROR((U21-X21)/X21,"")</f>
        <v>1.64975</v>
      </c>
      <c r="AB21" s="8" t="str">
        <f aca="false">IF(ISNUMBER(AA21),IF(ABS(AA21)&gt;Assumptions!$B$19,"REVIEW",""),"")</f>
        <v>REVIEW</v>
      </c>
    </row>
    <row r="22" customFormat="false" ht="15" hidden="false" customHeight="false" outlineLevel="0" collapsed="false">
      <c r="A22" s="8" t="s">
        <v>79</v>
      </c>
      <c r="B22" s="8"/>
      <c r="C22" s="9" t="n">
        <v>35</v>
      </c>
      <c r="D22" s="9" t="n">
        <v>90</v>
      </c>
      <c r="E22" s="9" t="n">
        <v>260</v>
      </c>
      <c r="F22" s="9" t="n">
        <v>15</v>
      </c>
      <c r="G22" s="9" t="n">
        <v>4</v>
      </c>
      <c r="H22" s="9" t="n">
        <v>3</v>
      </c>
      <c r="I22" s="9" t="n">
        <v>0.5</v>
      </c>
      <c r="J22" s="9" t="n">
        <v>5</v>
      </c>
      <c r="K22" s="9" t="n">
        <f aca="false">C22+3*Assumptions!$B$4*F22+Assumptions!$B$7*G22+H22+I22</f>
        <v>87.5</v>
      </c>
      <c r="L22" s="9" t="n">
        <f aca="false">D22+3*Assumptions!$B$5*F22+Assumptions!$B$8*G22+H22+I22</f>
        <v>182.5</v>
      </c>
      <c r="M22" s="9" t="n">
        <f aca="false">E22+3*Assumptions!$B$6*F22+Assumptions!$B$9*G22+H22+I22</f>
        <v>437</v>
      </c>
      <c r="N22" s="9" t="n">
        <f aca="false">IF(AND(Assumptions!$B$17,ISNUMBER(J22)),Assumptions!$B$10*Assumptions!$B$13*J22,0)</f>
        <v>7.5</v>
      </c>
      <c r="O22" s="9" t="n">
        <f aca="false">IF(AND(Assumptions!$B$17,ISNUMBER(J22)),Assumptions!$B$11*Assumptions!$B$13*J22,0)</f>
        <v>15</v>
      </c>
      <c r="P22" s="9" t="n">
        <f aca="false">IF(AND(Assumptions!$B$17,ISNUMBER(J22)),Assumptions!$B$12*Assumptions!$B$13*J22,0)</f>
        <v>22.5</v>
      </c>
      <c r="Q22" s="9" t="n">
        <f aca="false">IF(Assumptions!$B$18,Assumptions!$B$14*K22,0)</f>
        <v>8.75</v>
      </c>
      <c r="R22" s="9" t="n">
        <f aca="false">IF(Assumptions!$B$18,Assumptions!$B$15*L22,0)</f>
        <v>36.5</v>
      </c>
      <c r="S22" s="9" t="n">
        <f aca="false">IF(Assumptions!$B$18,Assumptions!$B$16*M22,0)</f>
        <v>152.95</v>
      </c>
      <c r="T22" s="9" t="n">
        <f aca="false">K22+N22+Q22</f>
        <v>103.75</v>
      </c>
      <c r="U22" s="9" t="n">
        <f aca="false">L22+O22+R22</f>
        <v>234</v>
      </c>
      <c r="V22" s="9" t="n">
        <f aca="false">M22+P22+S22</f>
        <v>612.45</v>
      </c>
      <c r="W22" s="9" t="n">
        <v>50</v>
      </c>
      <c r="X22" s="9" t="n">
        <v>120</v>
      </c>
      <c r="Y22" s="9" t="n">
        <v>370</v>
      </c>
      <c r="Z22" s="9" t="n">
        <f aca="false">U22-X22</f>
        <v>114</v>
      </c>
      <c r="AA22" s="10" t="n">
        <f aca="false">IFERROR((U22-X22)/X22,"")</f>
        <v>0.95</v>
      </c>
      <c r="AB22" s="8" t="str">
        <f aca="false">IF(ISNUMBER(AA22),IF(ABS(AA22)&gt;Assumptions!$B$19,"REVIEW",""),"")</f>
        <v>REVIEW</v>
      </c>
    </row>
    <row r="23" customFormat="false" ht="15" hidden="false" customHeight="false" outlineLevel="0" collapsed="false">
      <c r="A23" s="8" t="s">
        <v>80</v>
      </c>
      <c r="B23" s="8"/>
      <c r="C23" s="9" t="n">
        <v>25</v>
      </c>
      <c r="D23" s="9" t="n">
        <v>75</v>
      </c>
      <c r="E23" s="9" t="n">
        <v>220</v>
      </c>
      <c r="F23" s="9" t="n">
        <v>15</v>
      </c>
      <c r="G23" s="9" t="n">
        <v>5</v>
      </c>
      <c r="H23" s="9" t="n">
        <v>3</v>
      </c>
      <c r="I23" s="9" t="n">
        <v>0.8</v>
      </c>
      <c r="J23" s="9" t="n">
        <v>4</v>
      </c>
      <c r="K23" s="9" t="n">
        <f aca="false">C23+3*Assumptions!$B$4*F23+Assumptions!$B$7*G23+H23+I23</f>
        <v>78.8</v>
      </c>
      <c r="L23" s="9" t="n">
        <f aca="false">D23+3*Assumptions!$B$5*F23+Assumptions!$B$8*G23+H23+I23</f>
        <v>169.8</v>
      </c>
      <c r="M23" s="9" t="n">
        <f aca="false">E23+3*Assumptions!$B$6*F23+Assumptions!$B$9*G23+H23+I23</f>
        <v>401.3</v>
      </c>
      <c r="N23" s="9" t="n">
        <f aca="false">IF(AND(Assumptions!$B$17,ISNUMBER(J23)),Assumptions!$B$10*Assumptions!$B$13*J23,0)</f>
        <v>6</v>
      </c>
      <c r="O23" s="9" t="n">
        <f aca="false">IF(AND(Assumptions!$B$17,ISNUMBER(J23)),Assumptions!$B$11*Assumptions!$B$13*J23,0)</f>
        <v>12</v>
      </c>
      <c r="P23" s="9" t="n">
        <f aca="false">IF(AND(Assumptions!$B$17,ISNUMBER(J23)),Assumptions!$B$12*Assumptions!$B$13*J23,0)</f>
        <v>18</v>
      </c>
      <c r="Q23" s="9" t="n">
        <f aca="false">IF(Assumptions!$B$18,Assumptions!$B$14*K23,0)</f>
        <v>7.88</v>
      </c>
      <c r="R23" s="9" t="n">
        <f aca="false">IF(Assumptions!$B$18,Assumptions!$B$15*L23,0)</f>
        <v>33.96</v>
      </c>
      <c r="S23" s="9" t="n">
        <f aca="false">IF(Assumptions!$B$18,Assumptions!$B$16*M23,0)</f>
        <v>140.455</v>
      </c>
      <c r="T23" s="9" t="n">
        <f aca="false">K23+N23+Q23</f>
        <v>92.68</v>
      </c>
      <c r="U23" s="9" t="n">
        <f aca="false">L23+O23+R23</f>
        <v>215.76</v>
      </c>
      <c r="V23" s="9" t="n">
        <f aca="false">M23+P23+S23</f>
        <v>559.755</v>
      </c>
      <c r="W23" s="9" t="n">
        <v>45</v>
      </c>
      <c r="X23" s="9" t="n">
        <v>110</v>
      </c>
      <c r="Y23" s="9" t="n">
        <v>340</v>
      </c>
      <c r="Z23" s="9" t="n">
        <f aca="false">U23-X23</f>
        <v>105.76</v>
      </c>
      <c r="AA23" s="10" t="n">
        <f aca="false">IFERROR((U23-X23)/X23,"")</f>
        <v>0.961454545454546</v>
      </c>
      <c r="AB23" s="8" t="str">
        <f aca="false">IF(ISNUMBER(AA23),IF(ABS(AA23)&gt;Assumptions!$B$19,"REVIEW",""),"")</f>
        <v>REVIEW</v>
      </c>
    </row>
    <row r="24" customFormat="false" ht="15" hidden="false" customHeight="false" outlineLevel="0" collapsed="false">
      <c r="A24" s="8" t="s">
        <v>81</v>
      </c>
      <c r="B24" s="8"/>
      <c r="C24" s="9" t="n">
        <v>28</v>
      </c>
      <c r="D24" s="9" t="n">
        <v>90</v>
      </c>
      <c r="E24" s="9" t="n">
        <v>180</v>
      </c>
      <c r="F24" s="9" t="n">
        <v>12</v>
      </c>
      <c r="G24" s="9" t="n">
        <v>4</v>
      </c>
      <c r="H24" s="9" t="n">
        <v>2</v>
      </c>
      <c r="I24" s="9" t="n">
        <v>0.7</v>
      </c>
      <c r="J24" s="9" t="n">
        <v>3</v>
      </c>
      <c r="K24" s="9" t="n">
        <f aca="false">C24+3*Assumptions!$B$4*F24+Assumptions!$B$7*G24+H24+I24</f>
        <v>70.7</v>
      </c>
      <c r="L24" s="9" t="n">
        <f aca="false">D24+3*Assumptions!$B$5*F24+Assumptions!$B$8*G24+H24+I24</f>
        <v>165.5</v>
      </c>
      <c r="M24" s="9" t="n">
        <f aca="false">E24+3*Assumptions!$B$6*F24+Assumptions!$B$9*G24+H24+I24</f>
        <v>324.7</v>
      </c>
      <c r="N24" s="9" t="n">
        <f aca="false">IF(AND(Assumptions!$B$17,ISNUMBER(J24)),Assumptions!$B$10*Assumptions!$B$13*J24,0)</f>
        <v>4.5</v>
      </c>
      <c r="O24" s="9" t="n">
        <f aca="false">IF(AND(Assumptions!$B$17,ISNUMBER(J24)),Assumptions!$B$11*Assumptions!$B$13*J24,0)</f>
        <v>9</v>
      </c>
      <c r="P24" s="9" t="n">
        <f aca="false">IF(AND(Assumptions!$B$17,ISNUMBER(J24)),Assumptions!$B$12*Assumptions!$B$13*J24,0)</f>
        <v>13.5</v>
      </c>
      <c r="Q24" s="9" t="n">
        <f aca="false">IF(Assumptions!$B$18,Assumptions!$B$14*K24,0)</f>
        <v>7.07</v>
      </c>
      <c r="R24" s="9" t="n">
        <f aca="false">IF(Assumptions!$B$18,Assumptions!$B$15*L24,0)</f>
        <v>33.1</v>
      </c>
      <c r="S24" s="9" t="n">
        <f aca="false">IF(Assumptions!$B$18,Assumptions!$B$16*M24,0)</f>
        <v>113.645</v>
      </c>
      <c r="T24" s="9" t="n">
        <f aca="false">K24+N24+Q24</f>
        <v>82.27</v>
      </c>
      <c r="U24" s="9" t="n">
        <f aca="false">L24+O24+R24</f>
        <v>207.6</v>
      </c>
      <c r="V24" s="9" t="n">
        <f aca="false">M24+P24+S24</f>
        <v>451.845</v>
      </c>
      <c r="W24" s="9" t="n">
        <v>40</v>
      </c>
      <c r="X24" s="9" t="n">
        <v>100</v>
      </c>
      <c r="Y24" s="9" t="n">
        <v>300</v>
      </c>
      <c r="Z24" s="9" t="n">
        <f aca="false">U24-X24</f>
        <v>107.6</v>
      </c>
      <c r="AA24" s="10" t="n">
        <f aca="false">IFERROR((U24-X24)/X24,"")</f>
        <v>1.076</v>
      </c>
      <c r="AB24" s="8" t="str">
        <f aca="false">IF(ISNUMBER(AA24),IF(ABS(AA24)&gt;Assumptions!$B$19,"REVIEW",""),"")</f>
        <v>REVIEW</v>
      </c>
    </row>
    <row r="25" customFormat="false" ht="15" hidden="false" customHeight="false" outlineLevel="0" collapsed="false">
      <c r="A25" s="8" t="s">
        <v>82</v>
      </c>
      <c r="B25" s="8" t="s">
        <v>60</v>
      </c>
      <c r="C25" s="9" t="n">
        <v>25</v>
      </c>
      <c r="D25" s="9" t="n">
        <v>75</v>
      </c>
      <c r="E25" s="9" t="n">
        <v>150</v>
      </c>
      <c r="F25" s="9" t="n">
        <v>12</v>
      </c>
      <c r="G25" s="9" t="n">
        <v>10</v>
      </c>
      <c r="H25" s="9" t="n">
        <v>3</v>
      </c>
      <c r="I25" s="9" t="n">
        <v>1</v>
      </c>
      <c r="J25" s="9"/>
      <c r="K25" s="9" t="n">
        <f aca="false">C25+3*Assumptions!$B$4*F25+Assumptions!$B$7*G25+H25+I25</f>
        <v>75</v>
      </c>
      <c r="L25" s="9" t="n">
        <f aca="false">D25+3*Assumptions!$B$5*F25+Assumptions!$B$8*G25+H25+I25</f>
        <v>163.8</v>
      </c>
      <c r="M25" s="9" t="n">
        <f aca="false">E25+3*Assumptions!$B$6*F25+Assumptions!$B$9*G25+H25+I25</f>
        <v>320</v>
      </c>
      <c r="N25" s="9" t="n">
        <f aca="false">IF(AND(Assumptions!$B$17,ISNUMBER(J25)),Assumptions!$B$10*Assumptions!$B$13*J25,0)</f>
        <v>0</v>
      </c>
      <c r="O25" s="9" t="n">
        <f aca="false">IF(AND(Assumptions!$B$17,ISNUMBER(J25)),Assumptions!$B$11*Assumptions!$B$13*J25,0)</f>
        <v>0</v>
      </c>
      <c r="P25" s="9" t="n">
        <f aca="false">IF(AND(Assumptions!$B$17,ISNUMBER(J25)),Assumptions!$B$12*Assumptions!$B$13*J25,0)</f>
        <v>0</v>
      </c>
      <c r="Q25" s="9" t="n">
        <f aca="false">IF(Assumptions!$B$18,Assumptions!$B$14*K25,0)</f>
        <v>7.5</v>
      </c>
      <c r="R25" s="9" t="n">
        <f aca="false">IF(Assumptions!$B$18,Assumptions!$B$15*L25,0)</f>
        <v>32.76</v>
      </c>
      <c r="S25" s="9" t="n">
        <f aca="false">IF(Assumptions!$B$18,Assumptions!$B$16*M25,0)</f>
        <v>112</v>
      </c>
      <c r="T25" s="9" t="n">
        <f aca="false">K25+N25+Q25</f>
        <v>82.5</v>
      </c>
      <c r="U25" s="9" t="n">
        <f aca="false">L25+O25+R25</f>
        <v>196.56</v>
      </c>
      <c r="V25" s="9" t="n">
        <f aca="false">M25+P25+S25</f>
        <v>432</v>
      </c>
      <c r="W25" s="9" t="n">
        <v>40</v>
      </c>
      <c r="X25" s="9" t="n">
        <v>100</v>
      </c>
      <c r="Y25" s="9" t="n">
        <v>285</v>
      </c>
      <c r="Z25" s="9" t="n">
        <f aca="false">U25-X25</f>
        <v>96.56</v>
      </c>
      <c r="AA25" s="10" t="n">
        <f aca="false">IFERROR((U25-X25)/X25,"")</f>
        <v>0.9656</v>
      </c>
      <c r="AB25" s="8" t="str">
        <f aca="false">IF(ISNUMBER(AA25),IF(ABS(AA25)&gt;Assumptions!$B$19,"REVIEW",""),"")</f>
        <v>REVIEW</v>
      </c>
    </row>
    <row r="26" customFormat="false" ht="15" hidden="false" customHeight="false" outlineLevel="0" collapsed="false">
      <c r="A26" s="8" t="s">
        <v>83</v>
      </c>
      <c r="B26" s="8"/>
      <c r="C26" s="9" t="n">
        <v>18</v>
      </c>
      <c r="D26" s="9" t="n">
        <v>45</v>
      </c>
      <c r="E26" s="9" t="n">
        <v>150</v>
      </c>
      <c r="F26" s="9" t="n">
        <v>8</v>
      </c>
      <c r="G26" s="9" t="n">
        <v>5</v>
      </c>
      <c r="H26" s="9" t="n">
        <v>2.5</v>
      </c>
      <c r="I26" s="9" t="n">
        <v>0.5</v>
      </c>
      <c r="J26" s="9" t="n">
        <v>3</v>
      </c>
      <c r="K26" s="9" t="n">
        <f aca="false">C26+3*Assumptions!$B$4*F26+Assumptions!$B$7*G26+H26+I26</f>
        <v>50</v>
      </c>
      <c r="L26" s="9" t="n">
        <f aca="false">D26+3*Assumptions!$B$5*F26+Assumptions!$B$8*G26+H26+I26</f>
        <v>101.2</v>
      </c>
      <c r="M26" s="9" t="n">
        <f aca="false">E26+3*Assumptions!$B$6*F26+Assumptions!$B$9*G26+H26+I26</f>
        <v>257</v>
      </c>
      <c r="N26" s="9" t="n">
        <f aca="false">IF(AND(Assumptions!$B$17,ISNUMBER(J26)),Assumptions!$B$10*Assumptions!$B$13*J26,0)</f>
        <v>4.5</v>
      </c>
      <c r="O26" s="9" t="n">
        <f aca="false">IF(AND(Assumptions!$B$17,ISNUMBER(J26)),Assumptions!$B$11*Assumptions!$B$13*J26,0)</f>
        <v>9</v>
      </c>
      <c r="P26" s="9" t="n">
        <f aca="false">IF(AND(Assumptions!$B$17,ISNUMBER(J26)),Assumptions!$B$12*Assumptions!$B$13*J26,0)</f>
        <v>13.5</v>
      </c>
      <c r="Q26" s="9" t="n">
        <f aca="false">IF(Assumptions!$B$18,Assumptions!$B$14*K26,0)</f>
        <v>5</v>
      </c>
      <c r="R26" s="9" t="n">
        <f aca="false">IF(Assumptions!$B$18,Assumptions!$B$15*L26,0)</f>
        <v>20.24</v>
      </c>
      <c r="S26" s="9" t="n">
        <f aca="false">IF(Assumptions!$B$18,Assumptions!$B$16*M26,0)</f>
        <v>89.95</v>
      </c>
      <c r="T26" s="9" t="n">
        <f aca="false">K26+N26+Q26</f>
        <v>59.5</v>
      </c>
      <c r="U26" s="9" t="n">
        <f aca="false">L26+O26+R26</f>
        <v>130.44</v>
      </c>
      <c r="V26" s="9" t="n">
        <f aca="false">M26+P26+S26</f>
        <v>360.45</v>
      </c>
      <c r="W26" s="9" t="n">
        <v>35</v>
      </c>
      <c r="X26" s="9" t="n">
        <v>90</v>
      </c>
      <c r="Y26" s="9" t="n">
        <v>250</v>
      </c>
      <c r="Z26" s="9" t="n">
        <f aca="false">U26-X26</f>
        <v>40.44</v>
      </c>
      <c r="AA26" s="10" t="n">
        <f aca="false">IFERROR((U26-X26)/X26,"")</f>
        <v>0.449333333333333</v>
      </c>
      <c r="AB26" s="8" t="str">
        <f aca="false">IF(ISNUMBER(AA26),IF(ABS(AA26)&gt;Assumptions!$B$19,"REVIEW",""),"")</f>
        <v>REVIEW</v>
      </c>
    </row>
    <row r="27" customFormat="false" ht="15" hidden="false" customHeight="false" outlineLevel="0" collapsed="false">
      <c r="A27" s="8" t="s">
        <v>84</v>
      </c>
      <c r="B27" s="8"/>
      <c r="C27" s="9" t="n">
        <v>30</v>
      </c>
      <c r="D27" s="9" t="n">
        <v>70</v>
      </c>
      <c r="E27" s="9" t="n">
        <v>200</v>
      </c>
      <c r="F27" s="9" t="n">
        <v>12</v>
      </c>
      <c r="G27" s="9" t="n">
        <v>4</v>
      </c>
      <c r="H27" s="9" t="n">
        <v>2.5</v>
      </c>
      <c r="I27" s="9" t="n">
        <v>1</v>
      </c>
      <c r="J27" s="9" t="n">
        <v>2</v>
      </c>
      <c r="K27" s="9" t="n">
        <f aca="false">C27+3*Assumptions!$B$4*F27+Assumptions!$B$7*G27+H27+I27</f>
        <v>73.5</v>
      </c>
      <c r="L27" s="9" t="n">
        <f aca="false">D27+3*Assumptions!$B$5*F27+Assumptions!$B$8*G27+H27+I27</f>
        <v>146.3</v>
      </c>
      <c r="M27" s="9" t="n">
        <f aca="false">E27+3*Assumptions!$B$6*F27+Assumptions!$B$9*G27+H27+I27</f>
        <v>345.5</v>
      </c>
      <c r="N27" s="9" t="n">
        <f aca="false">IF(AND(Assumptions!$B$17,ISNUMBER(J27)),Assumptions!$B$10*Assumptions!$B$13*J27,0)</f>
        <v>3</v>
      </c>
      <c r="O27" s="9" t="n">
        <f aca="false">IF(AND(Assumptions!$B$17,ISNUMBER(J27)),Assumptions!$B$11*Assumptions!$B$13*J27,0)</f>
        <v>6</v>
      </c>
      <c r="P27" s="9" t="n">
        <f aca="false">IF(AND(Assumptions!$B$17,ISNUMBER(J27)),Assumptions!$B$12*Assumptions!$B$13*J27,0)</f>
        <v>9</v>
      </c>
      <c r="Q27" s="9" t="n">
        <f aca="false">IF(Assumptions!$B$18,Assumptions!$B$14*K27,0)</f>
        <v>7.35</v>
      </c>
      <c r="R27" s="9" t="n">
        <f aca="false">IF(Assumptions!$B$18,Assumptions!$B$15*L27,0)</f>
        <v>29.26</v>
      </c>
      <c r="S27" s="9" t="n">
        <f aca="false">IF(Assumptions!$B$18,Assumptions!$B$16*M27,0)</f>
        <v>120.925</v>
      </c>
      <c r="T27" s="9" t="n">
        <f aca="false">K27+N27+Q27</f>
        <v>83.85</v>
      </c>
      <c r="U27" s="9" t="n">
        <f aca="false">L27+O27+R27</f>
        <v>181.56</v>
      </c>
      <c r="V27" s="9" t="n">
        <f aca="false">M27+P27+S27</f>
        <v>475.425</v>
      </c>
      <c r="W27" s="9" t="n">
        <v>40</v>
      </c>
      <c r="X27" s="9" t="n">
        <v>105</v>
      </c>
      <c r="Y27" s="9" t="n">
        <v>310</v>
      </c>
      <c r="Z27" s="9" t="n">
        <f aca="false">U27-X27</f>
        <v>76.56</v>
      </c>
      <c r="AA27" s="10" t="n">
        <f aca="false">IFERROR((U27-X27)/X27,"")</f>
        <v>0.729142857142857</v>
      </c>
      <c r="AB27" s="8" t="str">
        <f aca="false">IF(ISNUMBER(AA27),IF(ABS(AA27)&gt;Assumptions!$B$19,"REVIEW",""),"")</f>
        <v>REVIEW</v>
      </c>
    </row>
    <row r="28" customFormat="false" ht="15" hidden="false" customHeight="false" outlineLevel="0" collapsed="false">
      <c r="A28" s="8" t="s">
        <v>85</v>
      </c>
      <c r="B28" s="8"/>
      <c r="C28" s="9" t="n">
        <v>25</v>
      </c>
      <c r="D28" s="9" t="n">
        <v>55</v>
      </c>
      <c r="E28" s="9" t="n">
        <v>150</v>
      </c>
      <c r="F28" s="9" t="n">
        <v>8</v>
      </c>
      <c r="G28" s="9" t="n">
        <v>6</v>
      </c>
      <c r="H28" s="9" t="n">
        <v>2.5</v>
      </c>
      <c r="I28" s="9" t="n">
        <v>0.6</v>
      </c>
      <c r="J28" s="9" t="n">
        <v>3</v>
      </c>
      <c r="K28" s="9" t="n">
        <f aca="false">C28+3*Assumptions!$B$4*F28+Assumptions!$B$7*G28+H28+I28</f>
        <v>58.1</v>
      </c>
      <c r="L28" s="9" t="n">
        <f aca="false">D28+3*Assumptions!$B$5*F28+Assumptions!$B$8*G28+H28+I28</f>
        <v>113.3</v>
      </c>
      <c r="M28" s="9" t="n">
        <f aca="false">E28+3*Assumptions!$B$6*F28+Assumptions!$B$9*G28+H28+I28</f>
        <v>261.1</v>
      </c>
      <c r="N28" s="9" t="n">
        <f aca="false">IF(AND(Assumptions!$B$17,ISNUMBER(J28)),Assumptions!$B$10*Assumptions!$B$13*J28,0)</f>
        <v>4.5</v>
      </c>
      <c r="O28" s="9" t="n">
        <f aca="false">IF(AND(Assumptions!$B$17,ISNUMBER(J28)),Assumptions!$B$11*Assumptions!$B$13*J28,0)</f>
        <v>9</v>
      </c>
      <c r="P28" s="9" t="n">
        <f aca="false">IF(AND(Assumptions!$B$17,ISNUMBER(J28)),Assumptions!$B$12*Assumptions!$B$13*J28,0)</f>
        <v>13.5</v>
      </c>
      <c r="Q28" s="9" t="n">
        <f aca="false">IF(Assumptions!$B$18,Assumptions!$B$14*K28,0)</f>
        <v>5.81</v>
      </c>
      <c r="R28" s="9" t="n">
        <f aca="false">IF(Assumptions!$B$18,Assumptions!$B$15*L28,0)</f>
        <v>22.66</v>
      </c>
      <c r="S28" s="9" t="n">
        <f aca="false">IF(Assumptions!$B$18,Assumptions!$B$16*M28,0)</f>
        <v>91.385</v>
      </c>
      <c r="T28" s="9" t="n">
        <f aca="false">K28+N28+Q28</f>
        <v>68.41</v>
      </c>
      <c r="U28" s="9" t="n">
        <f aca="false">L28+O28+R28</f>
        <v>144.96</v>
      </c>
      <c r="V28" s="9" t="n">
        <f aca="false">M28+P28+S28</f>
        <v>365.985</v>
      </c>
      <c r="W28" s="9" t="n">
        <v>35</v>
      </c>
      <c r="X28" s="9" t="n">
        <v>85</v>
      </c>
      <c r="Y28" s="9" t="n">
        <v>250</v>
      </c>
      <c r="Z28" s="9" t="n">
        <f aca="false">U28-X28</f>
        <v>59.96</v>
      </c>
      <c r="AA28" s="10" t="n">
        <f aca="false">IFERROR((U28-X28)/X28,"")</f>
        <v>0.705411764705882</v>
      </c>
      <c r="AB28" s="8" t="str">
        <f aca="false">IF(ISNUMBER(AA28),IF(ABS(AA28)&gt;Assumptions!$B$19,"REVIEW",""),"")</f>
        <v>REVIEW</v>
      </c>
    </row>
    <row r="29" customFormat="false" ht="15" hidden="false" customHeight="false" outlineLevel="0" collapsed="false">
      <c r="A29" s="8" t="s">
        <v>86</v>
      </c>
      <c r="B29" s="8"/>
      <c r="C29" s="9" t="n">
        <v>55</v>
      </c>
      <c r="D29" s="9" t="n">
        <v>120</v>
      </c>
      <c r="E29" s="9" t="n">
        <v>300</v>
      </c>
      <c r="F29" s="9" t="n">
        <v>22</v>
      </c>
      <c r="G29" s="9" t="n">
        <v>15</v>
      </c>
      <c r="H29" s="9" t="n">
        <v>2</v>
      </c>
      <c r="I29" s="9" t="n">
        <v>1</v>
      </c>
      <c r="J29" s="9" t="n">
        <v>3.5</v>
      </c>
      <c r="K29" s="9" t="n">
        <f aca="false">C29+3*Assumptions!$B$4*F29+Assumptions!$B$7*G29+H29+I29</f>
        <v>139</v>
      </c>
      <c r="L29" s="9" t="n">
        <f aca="false">D29+3*Assumptions!$B$5*F29+Assumptions!$B$8*G29+H29+I29</f>
        <v>271.8</v>
      </c>
      <c r="M29" s="9" t="n">
        <f aca="false">E29+3*Assumptions!$B$6*F29+Assumptions!$B$9*G29+H29+I29</f>
        <v>594</v>
      </c>
      <c r="N29" s="9" t="n">
        <f aca="false">IF(AND(Assumptions!$B$17,ISNUMBER(J29)),Assumptions!$B$10*Assumptions!$B$13*J29,0)</f>
        <v>5.25</v>
      </c>
      <c r="O29" s="9" t="n">
        <f aca="false">IF(AND(Assumptions!$B$17,ISNUMBER(J29)),Assumptions!$B$11*Assumptions!$B$13*J29,0)</f>
        <v>10.5</v>
      </c>
      <c r="P29" s="9" t="n">
        <f aca="false">IF(AND(Assumptions!$B$17,ISNUMBER(J29)),Assumptions!$B$12*Assumptions!$B$13*J29,0)</f>
        <v>15.75</v>
      </c>
      <c r="Q29" s="9" t="n">
        <f aca="false">IF(Assumptions!$B$18,Assumptions!$B$14*K29,0)</f>
        <v>13.9</v>
      </c>
      <c r="R29" s="9" t="n">
        <f aca="false">IF(Assumptions!$B$18,Assumptions!$B$15*L29,0)</f>
        <v>54.36</v>
      </c>
      <c r="S29" s="9" t="n">
        <f aca="false">IF(Assumptions!$B$18,Assumptions!$B$16*M29,0)</f>
        <v>207.9</v>
      </c>
      <c r="T29" s="9" t="n">
        <f aca="false">K29+N29+Q29</f>
        <v>158.15</v>
      </c>
      <c r="U29" s="9" t="n">
        <f aca="false">L29+O29+R29</f>
        <v>336.66</v>
      </c>
      <c r="V29" s="9" t="n">
        <f aca="false">M29+P29+S29</f>
        <v>817.65</v>
      </c>
      <c r="W29" s="9" t="n">
        <v>75</v>
      </c>
      <c r="X29" s="9" t="n">
        <v>180</v>
      </c>
      <c r="Y29" s="9" t="n">
        <v>500</v>
      </c>
      <c r="Z29" s="9" t="n">
        <f aca="false">U29-X29</f>
        <v>156.66</v>
      </c>
      <c r="AA29" s="10" t="n">
        <f aca="false">IFERROR((U29-X29)/X29,"")</f>
        <v>0.870333333333334</v>
      </c>
      <c r="AB29" s="8" t="str">
        <f aca="false">IF(ISNUMBER(AA29),IF(ABS(AA29)&gt;Assumptions!$B$19,"REVIEW",""),"")</f>
        <v>REVIEW</v>
      </c>
    </row>
    <row r="30" customFormat="false" ht="15" hidden="false" customHeight="false" outlineLevel="0" collapsed="false">
      <c r="A30" s="8" t="s">
        <v>87</v>
      </c>
      <c r="B30" s="8"/>
      <c r="C30" s="9" t="n">
        <v>80</v>
      </c>
      <c r="D30" s="9" t="n">
        <v>150</v>
      </c>
      <c r="E30" s="9" t="n">
        <v>550</v>
      </c>
      <c r="F30" s="9" t="n">
        <v>25</v>
      </c>
      <c r="G30" s="9" t="n">
        <v>18</v>
      </c>
      <c r="H30" s="9" t="n">
        <v>3</v>
      </c>
      <c r="I30" s="9" t="n">
        <v>1.5</v>
      </c>
      <c r="J30" s="9" t="n">
        <v>5</v>
      </c>
      <c r="K30" s="9" t="n">
        <f aca="false">C30+3*Assumptions!$B$4*F30+Assumptions!$B$7*G30+H30+I30</f>
        <v>177.5</v>
      </c>
      <c r="L30" s="9" t="n">
        <f aca="false">D30+3*Assumptions!$B$5*F30+Assumptions!$B$8*G30+H30+I30</f>
        <v>325.5</v>
      </c>
      <c r="M30" s="9" t="n">
        <f aca="false">E30+3*Assumptions!$B$6*F30+Assumptions!$B$9*G30+H30+I30</f>
        <v>889</v>
      </c>
      <c r="N30" s="9" t="n">
        <f aca="false">IF(AND(Assumptions!$B$17,ISNUMBER(J30)),Assumptions!$B$10*Assumptions!$B$13*J30,0)</f>
        <v>7.5</v>
      </c>
      <c r="O30" s="9" t="n">
        <f aca="false">IF(AND(Assumptions!$B$17,ISNUMBER(J30)),Assumptions!$B$11*Assumptions!$B$13*J30,0)</f>
        <v>15</v>
      </c>
      <c r="P30" s="9" t="n">
        <f aca="false">IF(AND(Assumptions!$B$17,ISNUMBER(J30)),Assumptions!$B$12*Assumptions!$B$13*J30,0)</f>
        <v>22.5</v>
      </c>
      <c r="Q30" s="9" t="n">
        <f aca="false">IF(Assumptions!$B$18,Assumptions!$B$14*K30,0)</f>
        <v>17.75</v>
      </c>
      <c r="R30" s="9" t="n">
        <f aca="false">IF(Assumptions!$B$18,Assumptions!$B$15*L30,0)</f>
        <v>65.1</v>
      </c>
      <c r="S30" s="9" t="n">
        <f aca="false">IF(Assumptions!$B$18,Assumptions!$B$16*M30,0)</f>
        <v>311.15</v>
      </c>
      <c r="T30" s="9" t="n">
        <f aca="false">K30+N30+Q30</f>
        <v>202.75</v>
      </c>
      <c r="U30" s="9" t="n">
        <f aca="false">L30+O30+R30</f>
        <v>405.6</v>
      </c>
      <c r="V30" s="9" t="n">
        <f aca="false">M30+P30+S30</f>
        <v>1222.65</v>
      </c>
      <c r="W30" s="9" t="n">
        <v>85</v>
      </c>
      <c r="X30" s="9" t="n">
        <v>220</v>
      </c>
      <c r="Y30" s="9" t="n">
        <v>650</v>
      </c>
      <c r="Z30" s="9" t="n">
        <f aca="false">U30-X30</f>
        <v>185.6</v>
      </c>
      <c r="AA30" s="10" t="n">
        <f aca="false">IFERROR((U30-X30)/X30,"")</f>
        <v>0.843636363636364</v>
      </c>
      <c r="AB30" s="8" t="str">
        <f aca="false">IF(ISNUMBER(AA30),IF(ABS(AA30)&gt;Assumptions!$B$19,"REVIEW",""),"")</f>
        <v>REVIEW</v>
      </c>
    </row>
    <row r="31" customFormat="false" ht="15" hidden="false" customHeight="false" outlineLevel="0" collapsed="false">
      <c r="A31" s="8" t="s">
        <v>88</v>
      </c>
      <c r="B31" s="8"/>
      <c r="C31" s="9" t="n">
        <v>35</v>
      </c>
      <c r="D31" s="9" t="n">
        <v>80</v>
      </c>
      <c r="E31" s="9" t="n">
        <v>250</v>
      </c>
      <c r="F31" s="9" t="n">
        <v>12</v>
      </c>
      <c r="G31" s="9" t="n">
        <v>8</v>
      </c>
      <c r="H31" s="9" t="n">
        <v>4.5</v>
      </c>
      <c r="I31" s="9" t="n">
        <v>0.5</v>
      </c>
      <c r="J31" s="9" t="n">
        <v>3</v>
      </c>
      <c r="K31" s="9" t="n">
        <f aca="false">C31+3*Assumptions!$B$4*F31+Assumptions!$B$7*G31+H31+I31</f>
        <v>84</v>
      </c>
      <c r="L31" s="9" t="n">
        <f aca="false">D31+3*Assumptions!$B$5*F31+Assumptions!$B$8*G31+H31+I31</f>
        <v>165.8</v>
      </c>
      <c r="M31" s="9" t="n">
        <f aca="false">E31+3*Assumptions!$B$6*F31+Assumptions!$B$9*G31+H31+I31</f>
        <v>413</v>
      </c>
      <c r="N31" s="9" t="n">
        <f aca="false">IF(AND(Assumptions!$B$17,ISNUMBER(J31)),Assumptions!$B$10*Assumptions!$B$13*J31,0)</f>
        <v>4.5</v>
      </c>
      <c r="O31" s="9" t="n">
        <f aca="false">IF(AND(Assumptions!$B$17,ISNUMBER(J31)),Assumptions!$B$11*Assumptions!$B$13*J31,0)</f>
        <v>9</v>
      </c>
      <c r="P31" s="9" t="n">
        <f aca="false">IF(AND(Assumptions!$B$17,ISNUMBER(J31)),Assumptions!$B$12*Assumptions!$B$13*J31,0)</f>
        <v>13.5</v>
      </c>
      <c r="Q31" s="9" t="n">
        <f aca="false">IF(Assumptions!$B$18,Assumptions!$B$14*K31,0)</f>
        <v>8.4</v>
      </c>
      <c r="R31" s="9" t="n">
        <f aca="false">IF(Assumptions!$B$18,Assumptions!$B$15*L31,0)</f>
        <v>33.16</v>
      </c>
      <c r="S31" s="9" t="n">
        <f aca="false">IF(Assumptions!$B$18,Assumptions!$B$16*M31,0)</f>
        <v>144.55</v>
      </c>
      <c r="T31" s="9" t="n">
        <f aca="false">K31+N31+Q31</f>
        <v>96.9</v>
      </c>
      <c r="U31" s="9" t="n">
        <f aca="false">L31+O31+R31</f>
        <v>207.96</v>
      </c>
      <c r="V31" s="9" t="n">
        <f aca="false">M31+P31+S31</f>
        <v>571.05</v>
      </c>
      <c r="W31" s="9" t="n">
        <v>55</v>
      </c>
      <c r="X31" s="9" t="n">
        <v>135</v>
      </c>
      <c r="Y31" s="9" t="n">
        <v>380</v>
      </c>
      <c r="Z31" s="9" t="n">
        <f aca="false">U31-X31</f>
        <v>72.96</v>
      </c>
      <c r="AA31" s="10" t="n">
        <f aca="false">IFERROR((U31-X31)/X31,"")</f>
        <v>0.540444444444445</v>
      </c>
      <c r="AB31" s="8" t="str">
        <f aca="false">IF(ISNUMBER(AA31),IF(ABS(AA31)&gt;Assumptions!$B$19,"REVIEW",""),"")</f>
        <v>REVIEW</v>
      </c>
    </row>
    <row r="32" customFormat="false" ht="15" hidden="false" customHeight="false" outlineLevel="0" collapsed="false">
      <c r="A32" s="8" t="s">
        <v>89</v>
      </c>
      <c r="B32" s="8"/>
      <c r="C32" s="9" t="n">
        <v>40</v>
      </c>
      <c r="D32" s="9" t="n">
        <v>90</v>
      </c>
      <c r="E32" s="9" t="n">
        <v>260</v>
      </c>
      <c r="F32" s="9" t="n">
        <v>18</v>
      </c>
      <c r="G32" s="9" t="n">
        <v>8</v>
      </c>
      <c r="H32" s="9" t="n">
        <v>3.5</v>
      </c>
      <c r="I32" s="9" t="n">
        <v>1</v>
      </c>
      <c r="J32" s="9" t="n">
        <v>6</v>
      </c>
      <c r="K32" s="9" t="n">
        <f aca="false">C32+3*Assumptions!$B$4*F32+Assumptions!$B$7*G32+H32+I32</f>
        <v>106.5</v>
      </c>
      <c r="L32" s="9" t="n">
        <f aca="false">D32+3*Assumptions!$B$5*F32+Assumptions!$B$8*G32+H32+I32</f>
        <v>207.7</v>
      </c>
      <c r="M32" s="9" t="n">
        <f aca="false">E32+3*Assumptions!$B$6*F32+Assumptions!$B$9*G32+H32+I32</f>
        <v>485.5</v>
      </c>
      <c r="N32" s="9" t="n">
        <f aca="false">IF(AND(Assumptions!$B$17,ISNUMBER(J32)),Assumptions!$B$10*Assumptions!$B$13*J32,0)</f>
        <v>9</v>
      </c>
      <c r="O32" s="9" t="n">
        <f aca="false">IF(AND(Assumptions!$B$17,ISNUMBER(J32)),Assumptions!$B$11*Assumptions!$B$13*J32,0)</f>
        <v>18</v>
      </c>
      <c r="P32" s="9" t="n">
        <f aca="false">IF(AND(Assumptions!$B$17,ISNUMBER(J32)),Assumptions!$B$12*Assumptions!$B$13*J32,0)</f>
        <v>27</v>
      </c>
      <c r="Q32" s="9" t="n">
        <f aca="false">IF(Assumptions!$B$18,Assumptions!$B$14*K32,0)</f>
        <v>10.65</v>
      </c>
      <c r="R32" s="9" t="n">
        <f aca="false">IF(Assumptions!$B$18,Assumptions!$B$15*L32,0)</f>
        <v>41.54</v>
      </c>
      <c r="S32" s="9" t="n">
        <f aca="false">IF(Assumptions!$B$18,Assumptions!$B$16*M32,0)</f>
        <v>169.925</v>
      </c>
      <c r="T32" s="9" t="n">
        <f aca="false">K32+N32+Q32</f>
        <v>126.15</v>
      </c>
      <c r="U32" s="9" t="n">
        <f aca="false">L32+O32+R32</f>
        <v>267.24</v>
      </c>
      <c r="V32" s="9" t="n">
        <f aca="false">M32+P32+S32</f>
        <v>682.425</v>
      </c>
      <c r="W32" s="9" t="n">
        <v>55</v>
      </c>
      <c r="X32" s="9" t="n">
        <v>135</v>
      </c>
      <c r="Y32" s="9" t="n">
        <v>400</v>
      </c>
      <c r="Z32" s="9" t="n">
        <f aca="false">U32-X32</f>
        <v>132.24</v>
      </c>
      <c r="AA32" s="10" t="n">
        <f aca="false">IFERROR((U32-X32)/X32,"")</f>
        <v>0.979555555555556</v>
      </c>
      <c r="AB32" s="8" t="str">
        <f aca="false">IF(ISNUMBER(AA32),IF(ABS(AA32)&gt;Assumptions!$B$19,"REVIEW",""),"")</f>
        <v>REVIEW</v>
      </c>
    </row>
    <row r="33" customFormat="false" ht="15" hidden="false" customHeight="false" outlineLevel="0" collapsed="false">
      <c r="A33" s="8" t="s">
        <v>90</v>
      </c>
      <c r="B33" s="8"/>
      <c r="C33" s="9" t="n">
        <v>25</v>
      </c>
      <c r="D33" s="9" t="n">
        <v>75</v>
      </c>
      <c r="E33" s="9" t="n">
        <v>220</v>
      </c>
      <c r="F33" s="9" t="n">
        <v>15</v>
      </c>
      <c r="G33" s="9" t="n">
        <v>6</v>
      </c>
      <c r="H33" s="9" t="n">
        <v>3</v>
      </c>
      <c r="I33" s="9" t="n">
        <v>1</v>
      </c>
      <c r="J33" s="9" t="n">
        <v>3</v>
      </c>
      <c r="K33" s="9" t="n">
        <f aca="false">C33+3*Assumptions!$B$4*F33+Assumptions!$B$7*G33+H33+I33</f>
        <v>80</v>
      </c>
      <c r="L33" s="9" t="n">
        <f aca="false">D33+3*Assumptions!$B$5*F33+Assumptions!$B$8*G33+H33+I33</f>
        <v>172</v>
      </c>
      <c r="M33" s="9" t="n">
        <f aca="false">E33+3*Assumptions!$B$6*F33+Assumptions!$B$9*G33+H33+I33</f>
        <v>405.5</v>
      </c>
      <c r="N33" s="9" t="n">
        <f aca="false">IF(AND(Assumptions!$B$17,ISNUMBER(J33)),Assumptions!$B$10*Assumptions!$B$13*J33,0)</f>
        <v>4.5</v>
      </c>
      <c r="O33" s="9" t="n">
        <f aca="false">IF(AND(Assumptions!$B$17,ISNUMBER(J33)),Assumptions!$B$11*Assumptions!$B$13*J33,0)</f>
        <v>9</v>
      </c>
      <c r="P33" s="9" t="n">
        <f aca="false">IF(AND(Assumptions!$B$17,ISNUMBER(J33)),Assumptions!$B$12*Assumptions!$B$13*J33,0)</f>
        <v>13.5</v>
      </c>
      <c r="Q33" s="9" t="n">
        <f aca="false">IF(Assumptions!$B$18,Assumptions!$B$14*K33,0)</f>
        <v>8</v>
      </c>
      <c r="R33" s="9" t="n">
        <f aca="false">IF(Assumptions!$B$18,Assumptions!$B$15*L33,0)</f>
        <v>34.4</v>
      </c>
      <c r="S33" s="9" t="n">
        <f aca="false">IF(Assumptions!$B$18,Assumptions!$B$16*M33,0)</f>
        <v>141.925</v>
      </c>
      <c r="T33" s="9" t="n">
        <f aca="false">K33+N33+Q33</f>
        <v>92.5</v>
      </c>
      <c r="U33" s="9" t="n">
        <f aca="false">L33+O33+R33</f>
        <v>215.4</v>
      </c>
      <c r="V33" s="9" t="n">
        <f aca="false">M33+P33+S33</f>
        <v>560.925</v>
      </c>
      <c r="W33" s="9" t="n">
        <v>45</v>
      </c>
      <c r="X33" s="9" t="n">
        <v>110</v>
      </c>
      <c r="Y33" s="9" t="n">
        <v>340</v>
      </c>
      <c r="Z33" s="9" t="n">
        <f aca="false">U33-X33</f>
        <v>105.4</v>
      </c>
      <c r="AA33" s="10" t="n">
        <f aca="false">IFERROR((U33-X33)/X33,"")</f>
        <v>0.958181818181818</v>
      </c>
      <c r="AB33" s="8" t="str">
        <f aca="false">IF(ISNUMBER(AA33),IF(ABS(AA33)&gt;Assumptions!$B$19,"REVIEW",""),"")</f>
        <v>REVIEW</v>
      </c>
    </row>
    <row r="34" customFormat="false" ht="15" hidden="false" customHeight="false" outlineLevel="0" collapsed="false">
      <c r="A34" s="8" t="s">
        <v>91</v>
      </c>
      <c r="B34" s="8"/>
      <c r="C34" s="9" t="n">
        <v>35</v>
      </c>
      <c r="D34" s="9" t="n">
        <v>90</v>
      </c>
      <c r="E34" s="9" t="n">
        <v>220</v>
      </c>
      <c r="F34" s="9" t="n">
        <v>12</v>
      </c>
      <c r="G34" s="9" t="n">
        <v>7</v>
      </c>
      <c r="H34" s="9" t="n">
        <v>2.5</v>
      </c>
      <c r="I34" s="9" t="n">
        <v>1.5</v>
      </c>
      <c r="J34" s="9" t="n">
        <v>3</v>
      </c>
      <c r="K34" s="9" t="n">
        <f aca="false">C34+3*Assumptions!$B$4*F34+Assumptions!$B$7*G34+H34+I34</f>
        <v>82</v>
      </c>
      <c r="L34" s="9" t="n">
        <f aca="false">D34+3*Assumptions!$B$5*F34+Assumptions!$B$8*G34+H34+I34</f>
        <v>172.8</v>
      </c>
      <c r="M34" s="9" t="n">
        <f aca="false">E34+3*Assumptions!$B$6*F34+Assumptions!$B$9*G34+H34+I34</f>
        <v>378</v>
      </c>
      <c r="N34" s="9" t="n">
        <f aca="false">IF(AND(Assumptions!$B$17,ISNUMBER(J34)),Assumptions!$B$10*Assumptions!$B$13*J34,0)</f>
        <v>4.5</v>
      </c>
      <c r="O34" s="9" t="n">
        <f aca="false">IF(AND(Assumptions!$B$17,ISNUMBER(J34)),Assumptions!$B$11*Assumptions!$B$13*J34,0)</f>
        <v>9</v>
      </c>
      <c r="P34" s="9" t="n">
        <f aca="false">IF(AND(Assumptions!$B$17,ISNUMBER(J34)),Assumptions!$B$12*Assumptions!$B$13*J34,0)</f>
        <v>13.5</v>
      </c>
      <c r="Q34" s="9" t="n">
        <f aca="false">IF(Assumptions!$B$18,Assumptions!$B$14*K34,0)</f>
        <v>8.2</v>
      </c>
      <c r="R34" s="9" t="n">
        <f aca="false">IF(Assumptions!$B$18,Assumptions!$B$15*L34,0)</f>
        <v>34.56</v>
      </c>
      <c r="S34" s="9" t="n">
        <f aca="false">IF(Assumptions!$B$18,Assumptions!$B$16*M34,0)</f>
        <v>132.3</v>
      </c>
      <c r="T34" s="9" t="n">
        <f aca="false">K34+N34+Q34</f>
        <v>94.7</v>
      </c>
      <c r="U34" s="9" t="n">
        <f aca="false">L34+O34+R34</f>
        <v>216.36</v>
      </c>
      <c r="V34" s="9" t="n">
        <f aca="false">M34+P34+S34</f>
        <v>523.8</v>
      </c>
      <c r="W34" s="9" t="n">
        <v>45</v>
      </c>
      <c r="X34" s="9" t="n">
        <v>110</v>
      </c>
      <c r="Y34" s="9" t="n">
        <v>330</v>
      </c>
      <c r="Z34" s="9" t="n">
        <f aca="false">U34-X34</f>
        <v>106.36</v>
      </c>
      <c r="AA34" s="10" t="n">
        <f aca="false">IFERROR((U34-X34)/X34,"")</f>
        <v>0.966909090909091</v>
      </c>
      <c r="AB34" s="8" t="str">
        <f aca="false">IF(ISNUMBER(AA34),IF(ABS(AA34)&gt;Assumptions!$B$19,"REVIEW",""),"")</f>
        <v>REVIEW</v>
      </c>
    </row>
    <row r="35" customFormat="false" ht="15" hidden="false" customHeight="false" outlineLevel="0" collapsed="false">
      <c r="A35" s="8" t="s">
        <v>92</v>
      </c>
      <c r="B35" s="8"/>
      <c r="C35" s="9" t="n">
        <v>20</v>
      </c>
      <c r="D35" s="9" t="n">
        <v>55</v>
      </c>
      <c r="E35" s="9" t="n">
        <v>130</v>
      </c>
      <c r="F35" s="9" t="n">
        <v>6</v>
      </c>
      <c r="G35" s="9" t="n">
        <v>3</v>
      </c>
      <c r="H35" s="9" t="n">
        <v>1.5</v>
      </c>
      <c r="I35" s="9" t="n">
        <v>0.4</v>
      </c>
      <c r="J35" s="9" t="n">
        <v>3</v>
      </c>
      <c r="K35" s="9" t="n">
        <f aca="false">C35+3*Assumptions!$B$4*F35+Assumptions!$B$7*G35+H35+I35</f>
        <v>42.9</v>
      </c>
      <c r="L35" s="9" t="n">
        <f aca="false">D35+3*Assumptions!$B$5*F35+Assumptions!$B$8*G35+H35+I35</f>
        <v>95.3</v>
      </c>
      <c r="M35" s="9" t="n">
        <f aca="false">E35+3*Assumptions!$B$6*F35+Assumptions!$B$9*G35+H35+I35</f>
        <v>206.9</v>
      </c>
      <c r="N35" s="9" t="n">
        <f aca="false">IF(AND(Assumptions!$B$17,ISNUMBER(J35)),Assumptions!$B$10*Assumptions!$B$13*J35,0)</f>
        <v>4.5</v>
      </c>
      <c r="O35" s="9" t="n">
        <f aca="false">IF(AND(Assumptions!$B$17,ISNUMBER(J35)),Assumptions!$B$11*Assumptions!$B$13*J35,0)</f>
        <v>9</v>
      </c>
      <c r="P35" s="9" t="n">
        <f aca="false">IF(AND(Assumptions!$B$17,ISNUMBER(J35)),Assumptions!$B$12*Assumptions!$B$13*J35,0)</f>
        <v>13.5</v>
      </c>
      <c r="Q35" s="9" t="n">
        <f aca="false">IF(Assumptions!$B$18,Assumptions!$B$14*K35,0)</f>
        <v>4.29</v>
      </c>
      <c r="R35" s="9" t="n">
        <f aca="false">IF(Assumptions!$B$18,Assumptions!$B$15*L35,0)</f>
        <v>19.06</v>
      </c>
      <c r="S35" s="9" t="n">
        <f aca="false">IF(Assumptions!$B$18,Assumptions!$B$16*M35,0)</f>
        <v>72.415</v>
      </c>
      <c r="T35" s="9" t="n">
        <f aca="false">K35+N35+Q35</f>
        <v>51.69</v>
      </c>
      <c r="U35" s="9" t="n">
        <f aca="false">L35+O35+R35</f>
        <v>123.36</v>
      </c>
      <c r="V35" s="9" t="n">
        <f aca="false">M35+P35+S35</f>
        <v>292.815</v>
      </c>
      <c r="W35" s="9" t="n">
        <v>30</v>
      </c>
      <c r="X35" s="9" t="n">
        <v>75</v>
      </c>
      <c r="Y35" s="9" t="n">
        <v>220</v>
      </c>
      <c r="Z35" s="9" t="n">
        <f aca="false">U35-X35</f>
        <v>48.36</v>
      </c>
      <c r="AA35" s="10" t="n">
        <f aca="false">IFERROR((U35-X35)/X35,"")</f>
        <v>0.6448</v>
      </c>
      <c r="AB35" s="8" t="str">
        <f aca="false">IF(ISNUMBER(AA35),IF(ABS(AA35)&gt;Assumptions!$B$19,"REVIEW",""),"")</f>
        <v>REVIEW</v>
      </c>
    </row>
    <row r="36" customFormat="false" ht="15" hidden="false" customHeight="false" outlineLevel="0" collapsed="false">
      <c r="A36" s="8" t="s">
        <v>93</v>
      </c>
      <c r="B36" s="8"/>
      <c r="C36" s="9" t="n">
        <v>60</v>
      </c>
      <c r="D36" s="9" t="n">
        <v>110</v>
      </c>
      <c r="E36" s="9" t="n">
        <v>260</v>
      </c>
      <c r="F36" s="9" t="n">
        <v>18</v>
      </c>
      <c r="G36" s="9" t="n">
        <v>25</v>
      </c>
      <c r="H36" s="9" t="n">
        <v>3.2</v>
      </c>
      <c r="I36" s="9" t="n">
        <v>2.5</v>
      </c>
      <c r="J36" s="9" t="n">
        <v>4</v>
      </c>
      <c r="K36" s="9" t="n">
        <f aca="false">C36+3*Assumptions!$B$4*F36+Assumptions!$B$7*G36+H36+I36</f>
        <v>144.7</v>
      </c>
      <c r="L36" s="9" t="n">
        <f aca="false">D36+3*Assumptions!$B$5*F36+Assumptions!$B$8*G36+H36+I36</f>
        <v>262.9</v>
      </c>
      <c r="M36" s="9" t="n">
        <f aca="false">E36+3*Assumptions!$B$6*F36+Assumptions!$B$9*G36+H36+I36</f>
        <v>554.7</v>
      </c>
      <c r="N36" s="9" t="n">
        <f aca="false">IF(AND(Assumptions!$B$17,ISNUMBER(J36)),Assumptions!$B$10*Assumptions!$B$13*J36,0)</f>
        <v>6</v>
      </c>
      <c r="O36" s="9" t="n">
        <f aca="false">IF(AND(Assumptions!$B$17,ISNUMBER(J36)),Assumptions!$B$11*Assumptions!$B$13*J36,0)</f>
        <v>12</v>
      </c>
      <c r="P36" s="9" t="n">
        <f aca="false">IF(AND(Assumptions!$B$17,ISNUMBER(J36)),Assumptions!$B$12*Assumptions!$B$13*J36,0)</f>
        <v>18</v>
      </c>
      <c r="Q36" s="9" t="n">
        <f aca="false">IF(Assumptions!$B$18,Assumptions!$B$14*K36,0)</f>
        <v>14.47</v>
      </c>
      <c r="R36" s="9" t="n">
        <f aca="false">IF(Assumptions!$B$18,Assumptions!$B$15*L36,0)</f>
        <v>52.58</v>
      </c>
      <c r="S36" s="9" t="n">
        <f aca="false">IF(Assumptions!$B$18,Assumptions!$B$16*M36,0)</f>
        <v>194.145</v>
      </c>
      <c r="T36" s="9" t="n">
        <f aca="false">K36+N36+Q36</f>
        <v>165.17</v>
      </c>
      <c r="U36" s="9" t="n">
        <f aca="false">L36+O36+R36</f>
        <v>327.48</v>
      </c>
      <c r="V36" s="9" t="n">
        <f aca="false">M36+P36+S36</f>
        <v>766.845</v>
      </c>
      <c r="W36" s="9" t="n">
        <v>70</v>
      </c>
      <c r="X36" s="9" t="n">
        <v>170</v>
      </c>
      <c r="Y36" s="9" t="n">
        <v>470</v>
      </c>
      <c r="Z36" s="9" t="n">
        <f aca="false">U36-X36</f>
        <v>157.48</v>
      </c>
      <c r="AA36" s="10" t="n">
        <f aca="false">IFERROR((U36-X36)/X36,"")</f>
        <v>0.92635294117647</v>
      </c>
      <c r="AB36" s="8" t="str">
        <f aca="false">IF(ISNUMBER(AA36),IF(ABS(AA36)&gt;Assumptions!$B$19,"REVIEW",""),"")</f>
        <v>REVIEW</v>
      </c>
    </row>
    <row r="37" customFormat="false" ht="15" hidden="false" customHeight="false" outlineLevel="0" collapsed="false">
      <c r="A37" s="8" t="s">
        <v>94</v>
      </c>
      <c r="B37" s="8"/>
      <c r="C37" s="9" t="n">
        <v>15</v>
      </c>
      <c r="D37" s="9" t="n">
        <v>45</v>
      </c>
      <c r="E37" s="9" t="n">
        <v>180</v>
      </c>
      <c r="F37" s="9" t="n">
        <v>8</v>
      </c>
      <c r="G37" s="9" t="n">
        <v>3</v>
      </c>
      <c r="H37" s="9" t="n">
        <v>2</v>
      </c>
      <c r="I37" s="9" t="n">
        <v>0.4</v>
      </c>
      <c r="J37" s="9" t="n">
        <v>1.3</v>
      </c>
      <c r="K37" s="9" t="n">
        <f aca="false">C37+3*Assumptions!$B$4*F37+Assumptions!$B$7*G37+H37+I37</f>
        <v>44.4</v>
      </c>
      <c r="L37" s="9" t="n">
        <f aca="false">D37+3*Assumptions!$B$5*F37+Assumptions!$B$8*G37+H37+I37</f>
        <v>96.6</v>
      </c>
      <c r="M37" s="9" t="n">
        <f aca="false">E37+3*Assumptions!$B$6*F37+Assumptions!$B$9*G37+H37+I37</f>
        <v>278.4</v>
      </c>
      <c r="N37" s="9" t="n">
        <f aca="false">IF(AND(Assumptions!$B$17,ISNUMBER(J37)),Assumptions!$B$10*Assumptions!$B$13*J37,0)</f>
        <v>1.95</v>
      </c>
      <c r="O37" s="9" t="n">
        <f aca="false">IF(AND(Assumptions!$B$17,ISNUMBER(J37)),Assumptions!$B$11*Assumptions!$B$13*J37,0)</f>
        <v>3.9</v>
      </c>
      <c r="P37" s="9" t="n">
        <f aca="false">IF(AND(Assumptions!$B$17,ISNUMBER(J37)),Assumptions!$B$12*Assumptions!$B$13*J37,0)</f>
        <v>5.85</v>
      </c>
      <c r="Q37" s="9" t="n">
        <f aca="false">IF(Assumptions!$B$18,Assumptions!$B$14*K37,0)</f>
        <v>4.44</v>
      </c>
      <c r="R37" s="9" t="n">
        <f aca="false">IF(Assumptions!$B$18,Assumptions!$B$15*L37,0)</f>
        <v>19.32</v>
      </c>
      <c r="S37" s="9" t="n">
        <f aca="false">IF(Assumptions!$B$18,Assumptions!$B$16*M37,0)</f>
        <v>97.44</v>
      </c>
      <c r="T37" s="9" t="n">
        <f aca="false">K37+N37+Q37</f>
        <v>50.79</v>
      </c>
      <c r="U37" s="9" t="n">
        <f aca="false">L37+O37+R37</f>
        <v>119.82</v>
      </c>
      <c r="V37" s="9" t="n">
        <f aca="false">M37+P37+S37</f>
        <v>381.69</v>
      </c>
      <c r="W37" s="9" t="n">
        <v>30</v>
      </c>
      <c r="X37" s="9" t="n">
        <v>80</v>
      </c>
      <c r="Y37" s="9" t="n">
        <v>250</v>
      </c>
      <c r="Z37" s="9" t="n">
        <f aca="false">U37-X37</f>
        <v>39.82</v>
      </c>
      <c r="AA37" s="10" t="n">
        <f aca="false">IFERROR((U37-X37)/X37,"")</f>
        <v>0.49775</v>
      </c>
      <c r="AB37" s="8" t="str">
        <f aca="false">IF(ISNUMBER(AA37),IF(ABS(AA37)&gt;Assumptions!$B$19,"REVIEW",""),"")</f>
        <v>REVIEW</v>
      </c>
    </row>
    <row r="38" customFormat="false" ht="15" hidden="false" customHeight="false" outlineLevel="0" collapsed="false">
      <c r="A38" s="8" t="s">
        <v>95</v>
      </c>
      <c r="B38" s="8"/>
      <c r="C38" s="9" t="n">
        <v>30</v>
      </c>
      <c r="D38" s="9" t="n">
        <v>75</v>
      </c>
      <c r="E38" s="9" t="n">
        <v>200</v>
      </c>
      <c r="F38" s="9" t="n">
        <v>13</v>
      </c>
      <c r="G38" s="9" t="n">
        <v>4</v>
      </c>
      <c r="H38" s="9" t="n">
        <v>2</v>
      </c>
      <c r="I38" s="9" t="n">
        <v>1</v>
      </c>
      <c r="J38" s="9" t="n">
        <v>1.5</v>
      </c>
      <c r="K38" s="9" t="n">
        <f aca="false">C38+3*Assumptions!$B$4*F38+Assumptions!$B$7*G38+H38+I38</f>
        <v>76</v>
      </c>
      <c r="L38" s="9" t="n">
        <f aca="false">D38+3*Assumptions!$B$5*F38+Assumptions!$B$8*G38+H38+I38</f>
        <v>156.2</v>
      </c>
      <c r="M38" s="9" t="n">
        <f aca="false">E38+3*Assumptions!$B$6*F38+Assumptions!$B$9*G38+H38+I38</f>
        <v>355.5</v>
      </c>
      <c r="N38" s="9" t="n">
        <f aca="false">IF(AND(Assumptions!$B$17,ISNUMBER(J38)),Assumptions!$B$10*Assumptions!$B$13*J38,0)</f>
        <v>2.25</v>
      </c>
      <c r="O38" s="9" t="n">
        <f aca="false">IF(AND(Assumptions!$B$17,ISNUMBER(J38)),Assumptions!$B$11*Assumptions!$B$13*J38,0)</f>
        <v>4.5</v>
      </c>
      <c r="P38" s="9" t="n">
        <f aca="false">IF(AND(Assumptions!$B$17,ISNUMBER(J38)),Assumptions!$B$12*Assumptions!$B$13*J38,0)</f>
        <v>6.75</v>
      </c>
      <c r="Q38" s="9" t="n">
        <f aca="false">IF(Assumptions!$B$18,Assumptions!$B$14*K38,0)</f>
        <v>7.6</v>
      </c>
      <c r="R38" s="9" t="n">
        <f aca="false">IF(Assumptions!$B$18,Assumptions!$B$15*L38,0)</f>
        <v>31.24</v>
      </c>
      <c r="S38" s="9" t="n">
        <f aca="false">IF(Assumptions!$B$18,Assumptions!$B$16*M38,0)</f>
        <v>124.425</v>
      </c>
      <c r="T38" s="9" t="n">
        <f aca="false">K38+N38+Q38</f>
        <v>85.85</v>
      </c>
      <c r="U38" s="9" t="n">
        <f aca="false">L38+O38+R38</f>
        <v>191.94</v>
      </c>
      <c r="V38" s="9" t="n">
        <f aca="false">M38+P38+S38</f>
        <v>486.675</v>
      </c>
      <c r="W38" s="9" t="n">
        <v>45</v>
      </c>
      <c r="X38" s="9" t="n">
        <v>105</v>
      </c>
      <c r="Y38" s="9" t="n">
        <v>320</v>
      </c>
      <c r="Z38" s="9" t="n">
        <f aca="false">U38-X38</f>
        <v>86.94</v>
      </c>
      <c r="AA38" s="10" t="n">
        <f aca="false">IFERROR((U38-X38)/X38,"")</f>
        <v>0.828</v>
      </c>
      <c r="AB38" s="8" t="str">
        <f aca="false">IF(ISNUMBER(AA38),IF(ABS(AA38)&gt;Assumptions!$B$19,"REVIEW",""),"")</f>
        <v>REVIEW</v>
      </c>
    </row>
    <row r="39" customFormat="false" ht="15" hidden="false" customHeight="false" outlineLevel="0" collapsed="false">
      <c r="A39" s="8" t="s">
        <v>96</v>
      </c>
      <c r="B39" s="8"/>
      <c r="C39" s="9" t="n">
        <v>20</v>
      </c>
      <c r="D39" s="9" t="n">
        <v>90</v>
      </c>
      <c r="E39" s="9" t="n">
        <v>220</v>
      </c>
      <c r="F39" s="9" t="n">
        <v>12</v>
      </c>
      <c r="G39" s="9" t="n">
        <v>6</v>
      </c>
      <c r="H39" s="9" t="n">
        <v>2</v>
      </c>
      <c r="I39" s="9" t="n">
        <v>1</v>
      </c>
      <c r="J39" s="9" t="n">
        <v>2.5</v>
      </c>
      <c r="K39" s="9" t="n">
        <f aca="false">C39+3*Assumptions!$B$4*F39+Assumptions!$B$7*G39+H39+I39</f>
        <v>65</v>
      </c>
      <c r="L39" s="9" t="n">
        <f aca="false">D39+3*Assumptions!$B$5*F39+Assumptions!$B$8*G39+H39+I39</f>
        <v>169.8</v>
      </c>
      <c r="M39" s="9" t="n">
        <f aca="false">E39+3*Assumptions!$B$6*F39+Assumptions!$B$9*G39+H39+I39</f>
        <v>373</v>
      </c>
      <c r="N39" s="9" t="n">
        <f aca="false">IF(AND(Assumptions!$B$17,ISNUMBER(J39)),Assumptions!$B$10*Assumptions!$B$13*J39,0)</f>
        <v>3.75</v>
      </c>
      <c r="O39" s="9" t="n">
        <f aca="false">IF(AND(Assumptions!$B$17,ISNUMBER(J39)),Assumptions!$B$11*Assumptions!$B$13*J39,0)</f>
        <v>7.5</v>
      </c>
      <c r="P39" s="9" t="n">
        <f aca="false">IF(AND(Assumptions!$B$17,ISNUMBER(J39)),Assumptions!$B$12*Assumptions!$B$13*J39,0)</f>
        <v>11.25</v>
      </c>
      <c r="Q39" s="9" t="n">
        <f aca="false">IF(Assumptions!$B$18,Assumptions!$B$14*K39,0)</f>
        <v>6.5</v>
      </c>
      <c r="R39" s="9" t="n">
        <f aca="false">IF(Assumptions!$B$18,Assumptions!$B$15*L39,0)</f>
        <v>33.96</v>
      </c>
      <c r="S39" s="9" t="n">
        <f aca="false">IF(Assumptions!$B$18,Assumptions!$B$16*M39,0)</f>
        <v>130.55</v>
      </c>
      <c r="T39" s="9" t="n">
        <f aca="false">K39+N39+Q39</f>
        <v>75.25</v>
      </c>
      <c r="U39" s="9" t="n">
        <f aca="false">L39+O39+R39</f>
        <v>211.26</v>
      </c>
      <c r="V39" s="9" t="n">
        <f aca="false">M39+P39+S39</f>
        <v>514.8</v>
      </c>
      <c r="W39" s="9" t="n">
        <v>40</v>
      </c>
      <c r="X39" s="9" t="n">
        <v>100</v>
      </c>
      <c r="Y39" s="9" t="n">
        <v>305</v>
      </c>
      <c r="Z39" s="9" t="n">
        <f aca="false">U39-X39</f>
        <v>111.26</v>
      </c>
      <c r="AA39" s="10" t="n">
        <f aca="false">IFERROR((U39-X39)/X39,"")</f>
        <v>1.1126</v>
      </c>
      <c r="AB39" s="8" t="str">
        <f aca="false">IF(ISNUMBER(AA39),IF(ABS(AA39)&gt;Assumptions!$B$19,"REVIEW",""),"")</f>
        <v>REVIEW</v>
      </c>
    </row>
    <row r="40" customFormat="false" ht="15" hidden="false" customHeight="false" outlineLevel="0" collapsed="false">
      <c r="A40" s="8" t="s">
        <v>97</v>
      </c>
      <c r="B40" s="8"/>
      <c r="C40" s="9" t="n">
        <v>70</v>
      </c>
      <c r="D40" s="9" t="n">
        <v>130</v>
      </c>
      <c r="E40" s="9" t="n">
        <v>300</v>
      </c>
      <c r="F40" s="9" t="n">
        <v>28</v>
      </c>
      <c r="G40" s="9" t="n">
        <v>25</v>
      </c>
      <c r="H40" s="9" t="n">
        <v>1.4</v>
      </c>
      <c r="I40" s="9" t="n">
        <v>1</v>
      </c>
      <c r="J40" s="9" t="n">
        <v>5.5</v>
      </c>
      <c r="K40" s="9" t="n">
        <f aca="false">C40+3*Assumptions!$B$4*F40+Assumptions!$B$7*G40+H40+I40</f>
        <v>181.4</v>
      </c>
      <c r="L40" s="9" t="n">
        <f aca="false">D40+3*Assumptions!$B$5*F40+Assumptions!$B$8*G40+H40+I40</f>
        <v>333.6</v>
      </c>
      <c r="M40" s="9" t="n">
        <f aca="false">E40+3*Assumptions!$B$6*F40+Assumptions!$B$9*G40+H40+I40</f>
        <v>696.4</v>
      </c>
      <c r="N40" s="9" t="n">
        <f aca="false">IF(AND(Assumptions!$B$17,ISNUMBER(J40)),Assumptions!$B$10*Assumptions!$B$13*J40,0)</f>
        <v>8.25</v>
      </c>
      <c r="O40" s="9" t="n">
        <f aca="false">IF(AND(Assumptions!$B$17,ISNUMBER(J40)),Assumptions!$B$11*Assumptions!$B$13*J40,0)</f>
        <v>16.5</v>
      </c>
      <c r="P40" s="9" t="n">
        <f aca="false">IF(AND(Assumptions!$B$17,ISNUMBER(J40)),Assumptions!$B$12*Assumptions!$B$13*J40,0)</f>
        <v>24.75</v>
      </c>
      <c r="Q40" s="9" t="n">
        <f aca="false">IF(Assumptions!$B$18,Assumptions!$B$14*K40,0)</f>
        <v>18.14</v>
      </c>
      <c r="R40" s="9" t="n">
        <f aca="false">IF(Assumptions!$B$18,Assumptions!$B$15*L40,0)</f>
        <v>66.72</v>
      </c>
      <c r="S40" s="9" t="n">
        <f aca="false">IF(Assumptions!$B$18,Assumptions!$B$16*M40,0)</f>
        <v>243.74</v>
      </c>
      <c r="T40" s="9" t="n">
        <f aca="false">K40+N40+Q40</f>
        <v>207.79</v>
      </c>
      <c r="U40" s="9" t="n">
        <f aca="false">L40+O40+R40</f>
        <v>416.82</v>
      </c>
      <c r="V40" s="9" t="n">
        <f aca="false">M40+P40+S40</f>
        <v>964.89</v>
      </c>
      <c r="W40" s="9" t="n">
        <v>70</v>
      </c>
      <c r="X40" s="9" t="n">
        <v>165</v>
      </c>
      <c r="Y40" s="9" t="n">
        <v>450</v>
      </c>
      <c r="Z40" s="9" t="n">
        <f aca="false">U40-X40</f>
        <v>251.82</v>
      </c>
      <c r="AA40" s="10" t="n">
        <f aca="false">IFERROR((U40-X40)/X40,"")</f>
        <v>1.52618181818182</v>
      </c>
      <c r="AB40" s="8" t="str">
        <f aca="false">IF(ISNUMBER(AA40),IF(ABS(AA40)&gt;Assumptions!$B$19,"REVIEW",""),"")</f>
        <v>REVIEW</v>
      </c>
    </row>
    <row r="41" customFormat="false" ht="15" hidden="false" customHeight="false" outlineLevel="0" collapsed="false">
      <c r="A41" s="8" t="s">
        <v>98</v>
      </c>
      <c r="B41" s="8"/>
      <c r="C41" s="9" t="n">
        <v>45</v>
      </c>
      <c r="D41" s="9" t="n">
        <v>95</v>
      </c>
      <c r="E41" s="9" t="n">
        <v>220</v>
      </c>
      <c r="F41" s="9" t="n">
        <v>15</v>
      </c>
      <c r="G41" s="9" t="n">
        <v>8</v>
      </c>
      <c r="H41" s="9" t="n">
        <v>3</v>
      </c>
      <c r="I41" s="9" t="n">
        <v>1.5</v>
      </c>
      <c r="J41" s="9" t="n">
        <v>2.5</v>
      </c>
      <c r="K41" s="9" t="n">
        <f aca="false">C41+3*Assumptions!$B$4*F41+Assumptions!$B$7*G41+H41+I41</f>
        <v>102.5</v>
      </c>
      <c r="L41" s="9" t="n">
        <f aca="false">D41+3*Assumptions!$B$5*F41+Assumptions!$B$8*G41+H41+I41</f>
        <v>196.5</v>
      </c>
      <c r="M41" s="9" t="n">
        <f aca="false">E41+3*Assumptions!$B$6*F41+Assumptions!$B$9*G41+H41+I41</f>
        <v>414</v>
      </c>
      <c r="N41" s="9" t="n">
        <f aca="false">IF(AND(Assumptions!$B$17,ISNUMBER(J41)),Assumptions!$B$10*Assumptions!$B$13*J41,0)</f>
        <v>3.75</v>
      </c>
      <c r="O41" s="9" t="n">
        <f aca="false">IF(AND(Assumptions!$B$17,ISNUMBER(J41)),Assumptions!$B$11*Assumptions!$B$13*J41,0)</f>
        <v>7.5</v>
      </c>
      <c r="P41" s="9" t="n">
        <f aca="false">IF(AND(Assumptions!$B$17,ISNUMBER(J41)),Assumptions!$B$12*Assumptions!$B$13*J41,0)</f>
        <v>11.25</v>
      </c>
      <c r="Q41" s="9" t="n">
        <f aca="false">IF(Assumptions!$B$18,Assumptions!$B$14*K41,0)</f>
        <v>10.25</v>
      </c>
      <c r="R41" s="9" t="n">
        <f aca="false">IF(Assumptions!$B$18,Assumptions!$B$15*L41,0)</f>
        <v>39.3</v>
      </c>
      <c r="S41" s="9" t="n">
        <f aca="false">IF(Assumptions!$B$18,Assumptions!$B$16*M41,0)</f>
        <v>144.9</v>
      </c>
      <c r="T41" s="9" t="n">
        <f aca="false">K41+N41+Q41</f>
        <v>116.5</v>
      </c>
      <c r="U41" s="9" t="n">
        <f aca="false">L41+O41+R41</f>
        <v>243.3</v>
      </c>
      <c r="V41" s="9" t="n">
        <f aca="false">M41+P41+S41</f>
        <v>570.15</v>
      </c>
      <c r="W41" s="9" t="n">
        <v>50</v>
      </c>
      <c r="X41" s="9" t="n">
        <v>125</v>
      </c>
      <c r="Y41" s="9" t="n">
        <v>365</v>
      </c>
      <c r="Z41" s="9" t="n">
        <f aca="false">U41-X41</f>
        <v>118.3</v>
      </c>
      <c r="AA41" s="10" t="n">
        <f aca="false">IFERROR((U41-X41)/X41,"")</f>
        <v>0.9464</v>
      </c>
      <c r="AB41" s="8" t="str">
        <f aca="false">IF(ISNUMBER(AA41),IF(ABS(AA41)&gt;Assumptions!$B$19,"REVIEW",""),"")</f>
        <v>REVIEW</v>
      </c>
    </row>
    <row r="42" customFormat="false" ht="15" hidden="false" customHeight="false" outlineLevel="0" collapsed="false">
      <c r="A42" s="8" t="s">
        <v>99</v>
      </c>
      <c r="B42" s="8"/>
      <c r="C42" s="9" t="n">
        <v>40</v>
      </c>
      <c r="D42" s="9" t="n">
        <v>85</v>
      </c>
      <c r="E42" s="9" t="n">
        <v>300</v>
      </c>
      <c r="F42" s="9" t="n">
        <v>15</v>
      </c>
      <c r="G42" s="9" t="n">
        <v>4</v>
      </c>
      <c r="H42" s="9" t="n">
        <v>3</v>
      </c>
      <c r="I42" s="9" t="n">
        <v>1</v>
      </c>
      <c r="J42" s="9" t="n">
        <v>2.5</v>
      </c>
      <c r="K42" s="9" t="n">
        <f aca="false">C42+3*Assumptions!$B$4*F42+Assumptions!$B$7*G42+H42+I42</f>
        <v>93</v>
      </c>
      <c r="L42" s="9" t="n">
        <f aca="false">D42+3*Assumptions!$B$5*F42+Assumptions!$B$8*G42+H42+I42</f>
        <v>178</v>
      </c>
      <c r="M42" s="9" t="n">
        <f aca="false">E42+3*Assumptions!$B$6*F42+Assumptions!$B$9*G42+H42+I42</f>
        <v>477.5</v>
      </c>
      <c r="N42" s="9" t="n">
        <f aca="false">IF(AND(Assumptions!$B$17,ISNUMBER(J42)),Assumptions!$B$10*Assumptions!$B$13*J42,0)</f>
        <v>3.75</v>
      </c>
      <c r="O42" s="9" t="n">
        <f aca="false">IF(AND(Assumptions!$B$17,ISNUMBER(J42)),Assumptions!$B$11*Assumptions!$B$13*J42,0)</f>
        <v>7.5</v>
      </c>
      <c r="P42" s="9" t="n">
        <f aca="false">IF(AND(Assumptions!$B$17,ISNUMBER(J42)),Assumptions!$B$12*Assumptions!$B$13*J42,0)</f>
        <v>11.25</v>
      </c>
      <c r="Q42" s="9" t="n">
        <f aca="false">IF(Assumptions!$B$18,Assumptions!$B$14*K42,0)</f>
        <v>9.3</v>
      </c>
      <c r="R42" s="9" t="n">
        <f aca="false">IF(Assumptions!$B$18,Assumptions!$B$15*L42,0)</f>
        <v>35.6</v>
      </c>
      <c r="S42" s="9" t="n">
        <f aca="false">IF(Assumptions!$B$18,Assumptions!$B$16*M42,0)</f>
        <v>167.125</v>
      </c>
      <c r="T42" s="9" t="n">
        <f aca="false">K42+N42+Q42</f>
        <v>106.05</v>
      </c>
      <c r="U42" s="9" t="n">
        <f aca="false">L42+O42+R42</f>
        <v>221.1</v>
      </c>
      <c r="V42" s="9" t="n">
        <f aca="false">M42+P42+S42</f>
        <v>655.875</v>
      </c>
      <c r="W42" s="9" t="n">
        <v>50</v>
      </c>
      <c r="X42" s="9" t="n">
        <v>130</v>
      </c>
      <c r="Y42" s="9" t="n">
        <v>395</v>
      </c>
      <c r="Z42" s="9" t="n">
        <f aca="false">U42-X42</f>
        <v>91.1</v>
      </c>
      <c r="AA42" s="10" t="n">
        <f aca="false">IFERROR((U42-X42)/X42,"")</f>
        <v>0.700769230769231</v>
      </c>
      <c r="AB42" s="8" t="str">
        <f aca="false">IF(ISNUMBER(AA42),IF(ABS(AA42)&gt;Assumptions!$B$19,"REVIEW",""),"")</f>
        <v>REVIEW</v>
      </c>
    </row>
    <row r="43" customFormat="false" ht="15" hidden="false" customHeight="false" outlineLevel="0" collapsed="false">
      <c r="A43" s="8" t="s">
        <v>100</v>
      </c>
      <c r="B43" s="8"/>
      <c r="C43" s="9" t="n">
        <v>90</v>
      </c>
      <c r="D43" s="9" t="n">
        <v>200</v>
      </c>
      <c r="E43" s="9" t="n">
        <v>650</v>
      </c>
      <c r="F43" s="9" t="n">
        <v>40</v>
      </c>
      <c r="G43" s="9" t="n">
        <v>20</v>
      </c>
      <c r="H43" s="9" t="n">
        <v>4</v>
      </c>
      <c r="I43" s="9" t="n">
        <v>1.5</v>
      </c>
      <c r="J43" s="9" t="n">
        <v>4</v>
      </c>
      <c r="K43" s="9" t="n">
        <f aca="false">C43+3*Assumptions!$B$4*F43+Assumptions!$B$7*G43+H43+I43</f>
        <v>235.5</v>
      </c>
      <c r="L43" s="9" t="n">
        <f aca="false">D43+3*Assumptions!$B$5*F43+Assumptions!$B$8*G43+H43+I43</f>
        <v>461.5</v>
      </c>
      <c r="M43" s="9" t="n">
        <f aca="false">E43+3*Assumptions!$B$6*F43+Assumptions!$B$9*G43+H43+I43</f>
        <v>1155.5</v>
      </c>
      <c r="N43" s="9" t="n">
        <f aca="false">IF(AND(Assumptions!$B$17,ISNUMBER(J43)),Assumptions!$B$10*Assumptions!$B$13*J43,0)</f>
        <v>6</v>
      </c>
      <c r="O43" s="9" t="n">
        <f aca="false">IF(AND(Assumptions!$B$17,ISNUMBER(J43)),Assumptions!$B$11*Assumptions!$B$13*J43,0)</f>
        <v>12</v>
      </c>
      <c r="P43" s="9" t="n">
        <f aca="false">IF(AND(Assumptions!$B$17,ISNUMBER(J43)),Assumptions!$B$12*Assumptions!$B$13*J43,0)</f>
        <v>18</v>
      </c>
      <c r="Q43" s="9" t="n">
        <f aca="false">IF(Assumptions!$B$18,Assumptions!$B$14*K43,0)</f>
        <v>23.55</v>
      </c>
      <c r="R43" s="9" t="n">
        <f aca="false">IF(Assumptions!$B$18,Assumptions!$B$15*L43,0)</f>
        <v>92.3</v>
      </c>
      <c r="S43" s="9" t="n">
        <f aca="false">IF(Assumptions!$B$18,Assumptions!$B$16*M43,0)</f>
        <v>404.425</v>
      </c>
      <c r="T43" s="9" t="n">
        <f aca="false">K43+N43+Q43</f>
        <v>265.05</v>
      </c>
      <c r="U43" s="9" t="n">
        <f aca="false">L43+O43+R43</f>
        <v>565.8</v>
      </c>
      <c r="V43" s="9" t="n">
        <f aca="false">M43+P43+S43</f>
        <v>1577.925</v>
      </c>
      <c r="W43" s="9" t="n">
        <v>105</v>
      </c>
      <c r="X43" s="9" t="n">
        <v>275</v>
      </c>
      <c r="Y43" s="9" t="n">
        <v>830</v>
      </c>
      <c r="Z43" s="9" t="n">
        <f aca="false">U43-X43</f>
        <v>290.8</v>
      </c>
      <c r="AA43" s="10" t="n">
        <f aca="false">IFERROR((U43-X43)/X43,"")</f>
        <v>1.05745454545455</v>
      </c>
      <c r="AB43" s="8" t="str">
        <f aca="false">IF(ISNUMBER(AA43),IF(ABS(AA43)&gt;Assumptions!$B$19,"REVIEW",""),"")</f>
        <v>REVIEW</v>
      </c>
    </row>
    <row r="44" customFormat="false" ht="15" hidden="false" customHeight="false" outlineLevel="0" collapsed="false">
      <c r="A44" s="8" t="s">
        <v>101</v>
      </c>
      <c r="B44" s="8"/>
      <c r="C44" s="9" t="n">
        <v>80</v>
      </c>
      <c r="D44" s="9" t="n">
        <v>130</v>
      </c>
      <c r="E44" s="9" t="n">
        <v>320</v>
      </c>
      <c r="F44" s="9" t="n">
        <v>25</v>
      </c>
      <c r="G44" s="9" t="n">
        <v>25</v>
      </c>
      <c r="H44" s="9" t="n">
        <v>3.5</v>
      </c>
      <c r="I44" s="9" t="n">
        <v>3</v>
      </c>
      <c r="J44" s="9" t="n">
        <v>4.5</v>
      </c>
      <c r="K44" s="9" t="n">
        <f aca="false">C44+3*Assumptions!$B$4*F44+Assumptions!$B$7*G44+H44+I44</f>
        <v>186.5</v>
      </c>
      <c r="L44" s="9" t="n">
        <f aca="false">D44+3*Assumptions!$B$5*F44+Assumptions!$B$8*G44+H44+I44</f>
        <v>321.5</v>
      </c>
      <c r="M44" s="9" t="n">
        <f aca="false">E44+3*Assumptions!$B$6*F44+Assumptions!$B$9*G44+H44+I44</f>
        <v>689</v>
      </c>
      <c r="N44" s="9" t="n">
        <f aca="false">IF(AND(Assumptions!$B$17,ISNUMBER(J44)),Assumptions!$B$10*Assumptions!$B$13*J44,0)</f>
        <v>6.75</v>
      </c>
      <c r="O44" s="9" t="n">
        <f aca="false">IF(AND(Assumptions!$B$17,ISNUMBER(J44)),Assumptions!$B$11*Assumptions!$B$13*J44,0)</f>
        <v>13.5</v>
      </c>
      <c r="P44" s="9" t="n">
        <f aca="false">IF(AND(Assumptions!$B$17,ISNUMBER(J44)),Assumptions!$B$12*Assumptions!$B$13*J44,0)</f>
        <v>20.25</v>
      </c>
      <c r="Q44" s="9" t="n">
        <f aca="false">IF(Assumptions!$B$18,Assumptions!$B$14*K44,0)</f>
        <v>18.65</v>
      </c>
      <c r="R44" s="9" t="n">
        <f aca="false">IF(Assumptions!$B$18,Assumptions!$B$15*L44,0)</f>
        <v>64.3</v>
      </c>
      <c r="S44" s="9" t="n">
        <f aca="false">IF(Assumptions!$B$18,Assumptions!$B$16*M44,0)</f>
        <v>241.15</v>
      </c>
      <c r="T44" s="9" t="n">
        <f aca="false">K44+N44+Q44</f>
        <v>211.9</v>
      </c>
      <c r="U44" s="9" t="n">
        <f aca="false">L44+O44+R44</f>
        <v>399.3</v>
      </c>
      <c r="V44" s="9" t="n">
        <f aca="false">M44+P44+S44</f>
        <v>950.4</v>
      </c>
      <c r="W44" s="9" t="n">
        <v>85</v>
      </c>
      <c r="X44" s="9" t="n">
        <v>200</v>
      </c>
      <c r="Y44" s="9" t="n">
        <v>550</v>
      </c>
      <c r="Z44" s="9" t="n">
        <f aca="false">U44-X44</f>
        <v>199.3</v>
      </c>
      <c r="AA44" s="10" t="n">
        <f aca="false">IFERROR((U44-X44)/X44,"")</f>
        <v>0.9965</v>
      </c>
      <c r="AB44" s="8" t="str">
        <f aca="false">IF(ISNUMBER(AA44),IF(ABS(AA44)&gt;Assumptions!$B$19,"REVIEW",""),"")</f>
        <v>REVIEW</v>
      </c>
    </row>
    <row r="45" customFormat="false" ht="15" hidden="false" customHeight="false" outlineLevel="0" collapsed="false">
      <c r="A45" s="8" t="s">
        <v>102</v>
      </c>
      <c r="B45" s="8"/>
      <c r="C45" s="9" t="n">
        <v>30</v>
      </c>
      <c r="D45" s="9" t="n">
        <v>70</v>
      </c>
      <c r="E45" s="9" t="n">
        <v>180</v>
      </c>
      <c r="F45" s="9" t="n">
        <v>15</v>
      </c>
      <c r="G45" s="9" t="n">
        <v>5</v>
      </c>
      <c r="H45" s="9" t="n">
        <v>2.5</v>
      </c>
      <c r="I45" s="9" t="n">
        <v>1</v>
      </c>
      <c r="J45" s="9" t="n">
        <v>3</v>
      </c>
      <c r="K45" s="9" t="n">
        <f aca="false">C45+3*Assumptions!$B$4*F45+Assumptions!$B$7*G45+H45+I45</f>
        <v>83.5</v>
      </c>
      <c r="L45" s="9" t="n">
        <f aca="false">D45+3*Assumptions!$B$5*F45+Assumptions!$B$8*G45+H45+I45</f>
        <v>164.5</v>
      </c>
      <c r="M45" s="9" t="n">
        <f aca="false">E45+3*Assumptions!$B$6*F45+Assumptions!$B$9*G45+H45+I45</f>
        <v>361</v>
      </c>
      <c r="N45" s="9" t="n">
        <f aca="false">IF(AND(Assumptions!$B$17,ISNUMBER(J45)),Assumptions!$B$10*Assumptions!$B$13*J45,0)</f>
        <v>4.5</v>
      </c>
      <c r="O45" s="9" t="n">
        <f aca="false">IF(AND(Assumptions!$B$17,ISNUMBER(J45)),Assumptions!$B$11*Assumptions!$B$13*J45,0)</f>
        <v>9</v>
      </c>
      <c r="P45" s="9" t="n">
        <f aca="false">IF(AND(Assumptions!$B$17,ISNUMBER(J45)),Assumptions!$B$12*Assumptions!$B$13*J45,0)</f>
        <v>13.5</v>
      </c>
      <c r="Q45" s="9" t="n">
        <f aca="false">IF(Assumptions!$B$18,Assumptions!$B$14*K45,0)</f>
        <v>8.35</v>
      </c>
      <c r="R45" s="9" t="n">
        <f aca="false">IF(Assumptions!$B$18,Assumptions!$B$15*L45,0)</f>
        <v>32.9</v>
      </c>
      <c r="S45" s="9" t="n">
        <f aca="false">IF(Assumptions!$B$18,Assumptions!$B$16*M45,0)</f>
        <v>126.35</v>
      </c>
      <c r="T45" s="9" t="n">
        <f aca="false">K45+N45+Q45</f>
        <v>96.35</v>
      </c>
      <c r="U45" s="9" t="n">
        <f aca="false">L45+O45+R45</f>
        <v>206.4</v>
      </c>
      <c r="V45" s="9" t="n">
        <f aca="false">M45+P45+S45</f>
        <v>500.85</v>
      </c>
      <c r="W45" s="9" t="n">
        <v>45</v>
      </c>
      <c r="X45" s="9" t="n">
        <v>110</v>
      </c>
      <c r="Y45" s="9" t="n">
        <v>325</v>
      </c>
      <c r="Z45" s="9" t="n">
        <f aca="false">U45-X45</f>
        <v>96.4</v>
      </c>
      <c r="AA45" s="10" t="n">
        <f aca="false">IFERROR((U45-X45)/X45,"")</f>
        <v>0.876363636363637</v>
      </c>
      <c r="AB45" s="8" t="str">
        <f aca="false">IF(ISNUMBER(AA45),IF(ABS(AA45)&gt;Assumptions!$B$19,"REVIEW",""),"")</f>
        <v>REVIEW</v>
      </c>
    </row>
    <row r="46" customFormat="false" ht="15" hidden="false" customHeight="false" outlineLevel="0" collapsed="false">
      <c r="A46" s="8" t="s">
        <v>103</v>
      </c>
      <c r="B46" s="8"/>
      <c r="C46" s="9" t="n">
        <v>45</v>
      </c>
      <c r="D46" s="9" t="n">
        <v>90</v>
      </c>
      <c r="E46" s="9" t="n">
        <v>280</v>
      </c>
      <c r="F46" s="9" t="n">
        <v>18</v>
      </c>
      <c r="G46" s="9" t="n">
        <v>15</v>
      </c>
      <c r="H46" s="9" t="n">
        <v>2.5</v>
      </c>
      <c r="I46" s="9" t="n">
        <v>1.5</v>
      </c>
      <c r="J46" s="9" t="n">
        <v>2</v>
      </c>
      <c r="K46" s="9" t="n">
        <f aca="false">C46+3*Assumptions!$B$4*F46+Assumptions!$B$7*G46+H46+I46</f>
        <v>118</v>
      </c>
      <c r="L46" s="9" t="n">
        <f aca="false">D46+3*Assumptions!$B$5*F46+Assumptions!$B$8*G46+H46+I46</f>
        <v>221.2</v>
      </c>
      <c r="M46" s="9" t="n">
        <f aca="false">E46+3*Assumptions!$B$6*F46+Assumptions!$B$9*G46+H46+I46</f>
        <v>533</v>
      </c>
      <c r="N46" s="9" t="n">
        <f aca="false">IF(AND(Assumptions!$B$17,ISNUMBER(J46)),Assumptions!$B$10*Assumptions!$B$13*J46,0)</f>
        <v>3</v>
      </c>
      <c r="O46" s="9" t="n">
        <f aca="false">IF(AND(Assumptions!$B$17,ISNUMBER(J46)),Assumptions!$B$11*Assumptions!$B$13*J46,0)</f>
        <v>6</v>
      </c>
      <c r="P46" s="9" t="n">
        <f aca="false">IF(AND(Assumptions!$B$17,ISNUMBER(J46)),Assumptions!$B$12*Assumptions!$B$13*J46,0)</f>
        <v>9</v>
      </c>
      <c r="Q46" s="9" t="n">
        <f aca="false">IF(Assumptions!$B$18,Assumptions!$B$14*K46,0)</f>
        <v>11.8</v>
      </c>
      <c r="R46" s="9" t="n">
        <f aca="false">IF(Assumptions!$B$18,Assumptions!$B$15*L46,0)</f>
        <v>44.24</v>
      </c>
      <c r="S46" s="9" t="n">
        <f aca="false">IF(Assumptions!$B$18,Assumptions!$B$16*M46,0)</f>
        <v>186.55</v>
      </c>
      <c r="T46" s="9" t="n">
        <f aca="false">K46+N46+Q46</f>
        <v>132.8</v>
      </c>
      <c r="U46" s="9" t="n">
        <f aca="false">L46+O46+R46</f>
        <v>271.44</v>
      </c>
      <c r="V46" s="9" t="n">
        <f aca="false">M46+P46+S46</f>
        <v>728.55</v>
      </c>
      <c r="W46" s="9" t="n">
        <v>55</v>
      </c>
      <c r="X46" s="9" t="n">
        <v>130</v>
      </c>
      <c r="Y46" s="9" t="n">
        <v>360</v>
      </c>
      <c r="Z46" s="9" t="n">
        <f aca="false">U46-X46</f>
        <v>141.44</v>
      </c>
      <c r="AA46" s="10" t="n">
        <f aca="false">IFERROR((U46-X46)/X46,"")</f>
        <v>1.088</v>
      </c>
      <c r="AB46" s="8" t="str">
        <f aca="false">IF(ISNUMBER(AA46),IF(ABS(AA46)&gt;Assumptions!$B$19,"REVIEW",""),"")</f>
        <v>REVIEW</v>
      </c>
    </row>
    <row r="47" customFormat="false" ht="15" hidden="false" customHeight="false" outlineLevel="0" collapsed="false">
      <c r="A47" s="8" t="s">
        <v>104</v>
      </c>
      <c r="B47" s="8"/>
      <c r="C47" s="9" t="n">
        <v>40</v>
      </c>
      <c r="D47" s="9" t="n">
        <v>90</v>
      </c>
      <c r="E47" s="9" t="n">
        <v>250</v>
      </c>
      <c r="F47" s="9" t="n">
        <v>20</v>
      </c>
      <c r="G47" s="9" t="n">
        <v>12</v>
      </c>
      <c r="H47" s="9" t="n">
        <v>2.5</v>
      </c>
      <c r="I47" s="9" t="n">
        <v>1.5</v>
      </c>
      <c r="J47" s="9" t="n">
        <v>3.5</v>
      </c>
      <c r="K47" s="9" t="n">
        <f aca="false">C47+3*Assumptions!$B$4*F47+Assumptions!$B$7*G47+H47+I47</f>
        <v>116</v>
      </c>
      <c r="L47" s="9" t="n">
        <f aca="false">D47+3*Assumptions!$B$5*F47+Assumptions!$B$8*G47+H47+I47</f>
        <v>226</v>
      </c>
      <c r="M47" s="9" t="n">
        <f aca="false">E47+3*Assumptions!$B$6*F47+Assumptions!$B$9*G47+H47+I47</f>
        <v>512</v>
      </c>
      <c r="N47" s="9" t="n">
        <f aca="false">IF(AND(Assumptions!$B$17,ISNUMBER(J47)),Assumptions!$B$10*Assumptions!$B$13*J47,0)</f>
        <v>5.25</v>
      </c>
      <c r="O47" s="9" t="n">
        <f aca="false">IF(AND(Assumptions!$B$17,ISNUMBER(J47)),Assumptions!$B$11*Assumptions!$B$13*J47,0)</f>
        <v>10.5</v>
      </c>
      <c r="P47" s="9" t="n">
        <f aca="false">IF(AND(Assumptions!$B$17,ISNUMBER(J47)),Assumptions!$B$12*Assumptions!$B$13*J47,0)</f>
        <v>15.75</v>
      </c>
      <c r="Q47" s="9" t="n">
        <f aca="false">IF(Assumptions!$B$18,Assumptions!$B$14*K47,0)</f>
        <v>11.6</v>
      </c>
      <c r="R47" s="9" t="n">
        <f aca="false">IF(Assumptions!$B$18,Assumptions!$B$15*L47,0)</f>
        <v>45.2</v>
      </c>
      <c r="S47" s="9" t="n">
        <f aca="false">IF(Assumptions!$B$18,Assumptions!$B$16*M47,0)</f>
        <v>179.2</v>
      </c>
      <c r="T47" s="9" t="n">
        <f aca="false">K47+N47+Q47</f>
        <v>132.85</v>
      </c>
      <c r="U47" s="9" t="n">
        <f aca="false">L47+O47+R47</f>
        <v>281.7</v>
      </c>
      <c r="V47" s="9" t="n">
        <f aca="false">M47+P47+S47</f>
        <v>706.95</v>
      </c>
      <c r="W47" s="9" t="n">
        <v>50</v>
      </c>
      <c r="X47" s="9" t="n">
        <v>120</v>
      </c>
      <c r="Y47" s="9" t="n">
        <v>350</v>
      </c>
      <c r="Z47" s="9" t="n">
        <f aca="false">U47-X47</f>
        <v>161.7</v>
      </c>
      <c r="AA47" s="10" t="n">
        <f aca="false">IFERROR((U47-X47)/X47,"")</f>
        <v>1.3475</v>
      </c>
      <c r="AB47" s="8" t="str">
        <f aca="false">IF(ISNUMBER(AA47),IF(ABS(AA47)&gt;Assumptions!$B$19,"REVIEW",""),"")</f>
        <v>REVIEW</v>
      </c>
    </row>
    <row r="48" customFormat="false" ht="15" hidden="false" customHeight="false" outlineLevel="0" collapsed="false">
      <c r="A48" s="8" t="s">
        <v>105</v>
      </c>
      <c r="B48" s="8"/>
      <c r="C48" s="9" t="n">
        <v>20</v>
      </c>
      <c r="D48" s="9" t="n">
        <v>70</v>
      </c>
      <c r="E48" s="9" t="n">
        <v>180</v>
      </c>
      <c r="F48" s="9" t="n">
        <v>15</v>
      </c>
      <c r="G48" s="9" t="n">
        <v>6</v>
      </c>
      <c r="H48" s="9" t="n">
        <v>3</v>
      </c>
      <c r="I48" s="9" t="n">
        <v>1</v>
      </c>
      <c r="J48" s="9" t="n">
        <v>2.5</v>
      </c>
      <c r="K48" s="9" t="n">
        <f aca="false">C48+3*Assumptions!$B$4*F48+Assumptions!$B$7*G48+H48+I48</f>
        <v>75</v>
      </c>
      <c r="L48" s="9" t="n">
        <f aca="false">D48+3*Assumptions!$B$5*F48+Assumptions!$B$8*G48+H48+I48</f>
        <v>167</v>
      </c>
      <c r="M48" s="9" t="n">
        <f aca="false">E48+3*Assumptions!$B$6*F48+Assumptions!$B$9*G48+H48+I48</f>
        <v>365.5</v>
      </c>
      <c r="N48" s="9" t="n">
        <f aca="false">IF(AND(Assumptions!$B$17,ISNUMBER(J48)),Assumptions!$B$10*Assumptions!$B$13*J48,0)</f>
        <v>3.75</v>
      </c>
      <c r="O48" s="9" t="n">
        <f aca="false">IF(AND(Assumptions!$B$17,ISNUMBER(J48)),Assumptions!$B$11*Assumptions!$B$13*J48,0)</f>
        <v>7.5</v>
      </c>
      <c r="P48" s="9" t="n">
        <f aca="false">IF(AND(Assumptions!$B$17,ISNUMBER(J48)),Assumptions!$B$12*Assumptions!$B$13*J48,0)</f>
        <v>11.25</v>
      </c>
      <c r="Q48" s="9" t="n">
        <f aca="false">IF(Assumptions!$B$18,Assumptions!$B$14*K48,0)</f>
        <v>7.5</v>
      </c>
      <c r="R48" s="9" t="n">
        <f aca="false">IF(Assumptions!$B$18,Assumptions!$B$15*L48,0)</f>
        <v>33.4</v>
      </c>
      <c r="S48" s="9" t="n">
        <f aca="false">IF(Assumptions!$B$18,Assumptions!$B$16*M48,0)</f>
        <v>127.925</v>
      </c>
      <c r="T48" s="9" t="n">
        <f aca="false">K48+N48+Q48</f>
        <v>86.25</v>
      </c>
      <c r="U48" s="9" t="n">
        <f aca="false">L48+O48+R48</f>
        <v>207.9</v>
      </c>
      <c r="V48" s="9" t="n">
        <f aca="false">M48+P48+S48</f>
        <v>504.675</v>
      </c>
      <c r="W48" s="9" t="n">
        <v>40</v>
      </c>
      <c r="X48" s="9" t="n">
        <v>105</v>
      </c>
      <c r="Y48" s="9" t="n">
        <v>315</v>
      </c>
      <c r="Z48" s="9" t="n">
        <f aca="false">U48-X48</f>
        <v>102.9</v>
      </c>
      <c r="AA48" s="10" t="n">
        <f aca="false">IFERROR((U48-X48)/X48,"")</f>
        <v>0.98</v>
      </c>
      <c r="AB48" s="8" t="str">
        <f aca="false">IF(ISNUMBER(AA48),IF(ABS(AA48)&gt;Assumptions!$B$19,"REVIEW",""),"")</f>
        <v>REVIEW</v>
      </c>
    </row>
    <row r="49" customFormat="false" ht="15" hidden="false" customHeight="false" outlineLevel="0" collapsed="false">
      <c r="A49" s="8" t="s">
        <v>106</v>
      </c>
      <c r="B49" s="8"/>
      <c r="C49" s="9" t="n">
        <v>40</v>
      </c>
      <c r="D49" s="9" t="n">
        <v>80</v>
      </c>
      <c r="E49" s="9" t="n">
        <v>220</v>
      </c>
      <c r="F49" s="9" t="n">
        <v>15</v>
      </c>
      <c r="G49" s="9" t="n">
        <v>12</v>
      </c>
      <c r="H49" s="9" t="n">
        <v>4</v>
      </c>
      <c r="I49" s="9" t="n">
        <v>1</v>
      </c>
      <c r="J49" s="9" t="n">
        <v>3.5</v>
      </c>
      <c r="K49" s="9" t="n">
        <f aca="false">C49+3*Assumptions!$B$4*F49+Assumptions!$B$7*G49+H49+I49</f>
        <v>102</v>
      </c>
      <c r="L49" s="9" t="n">
        <f aca="false">D49+3*Assumptions!$B$5*F49+Assumptions!$B$8*G49+H49+I49</f>
        <v>190</v>
      </c>
      <c r="M49" s="9" t="n">
        <f aca="false">E49+3*Assumptions!$B$6*F49+Assumptions!$B$9*G49+H49+I49</f>
        <v>430.5</v>
      </c>
      <c r="N49" s="9" t="n">
        <f aca="false">IF(AND(Assumptions!$B$17,ISNUMBER(J49)),Assumptions!$B$10*Assumptions!$B$13*J49,0)</f>
        <v>5.25</v>
      </c>
      <c r="O49" s="9" t="n">
        <f aca="false">IF(AND(Assumptions!$B$17,ISNUMBER(J49)),Assumptions!$B$11*Assumptions!$B$13*J49,0)</f>
        <v>10.5</v>
      </c>
      <c r="P49" s="9" t="n">
        <f aca="false">IF(AND(Assumptions!$B$17,ISNUMBER(J49)),Assumptions!$B$12*Assumptions!$B$13*J49,0)</f>
        <v>15.75</v>
      </c>
      <c r="Q49" s="9" t="n">
        <f aca="false">IF(Assumptions!$B$18,Assumptions!$B$14*K49,0)</f>
        <v>10.2</v>
      </c>
      <c r="R49" s="9" t="n">
        <f aca="false">IF(Assumptions!$B$18,Assumptions!$B$15*L49,0)</f>
        <v>38</v>
      </c>
      <c r="S49" s="9" t="n">
        <f aca="false">IF(Assumptions!$B$18,Assumptions!$B$16*M49,0)</f>
        <v>150.675</v>
      </c>
      <c r="T49" s="9" t="n">
        <f aca="false">K49+N49+Q49</f>
        <v>117.45</v>
      </c>
      <c r="U49" s="9" t="n">
        <f aca="false">L49+O49+R49</f>
        <v>238.5</v>
      </c>
      <c r="V49" s="9" t="n">
        <f aca="false">M49+P49+S49</f>
        <v>596.925</v>
      </c>
      <c r="W49" s="9" t="n">
        <v>60</v>
      </c>
      <c r="X49" s="9" t="n">
        <v>140</v>
      </c>
      <c r="Y49" s="9" t="n">
        <v>390</v>
      </c>
      <c r="Z49" s="9" t="n">
        <f aca="false">U49-X49</f>
        <v>98.5</v>
      </c>
      <c r="AA49" s="10" t="n">
        <f aca="false">IFERROR((U49-X49)/X49,"")</f>
        <v>0.703571428571429</v>
      </c>
      <c r="AB49" s="8" t="str">
        <f aca="false">IF(ISNUMBER(AA49),IF(ABS(AA49)&gt;Assumptions!$B$19,"REVIEW",""),"")</f>
        <v>REVIEW</v>
      </c>
    </row>
    <row r="50" customFormat="false" ht="15" hidden="false" customHeight="false" outlineLevel="0" collapsed="false">
      <c r="A50" s="8" t="s">
        <v>107</v>
      </c>
      <c r="B50" s="8"/>
      <c r="C50" s="9" t="n">
        <v>30</v>
      </c>
      <c r="D50" s="9" t="n">
        <v>70</v>
      </c>
      <c r="E50" s="9" t="n">
        <v>180</v>
      </c>
      <c r="F50" s="9" t="n">
        <v>12</v>
      </c>
      <c r="G50" s="9" t="n">
        <v>8</v>
      </c>
      <c r="H50" s="9" t="n">
        <v>1.5</v>
      </c>
      <c r="I50" s="9" t="n">
        <v>0.3</v>
      </c>
      <c r="J50" s="9" t="n">
        <v>2.5</v>
      </c>
      <c r="K50" s="9" t="n">
        <f aca="false">C50+3*Assumptions!$B$4*F50+Assumptions!$B$7*G50+H50+I50</f>
        <v>75.8</v>
      </c>
      <c r="L50" s="9" t="n">
        <f aca="false">D50+3*Assumptions!$B$5*F50+Assumptions!$B$8*G50+H50+I50</f>
        <v>152.6</v>
      </c>
      <c r="M50" s="9" t="n">
        <f aca="false">E50+3*Assumptions!$B$6*F50+Assumptions!$B$9*G50+H50+I50</f>
        <v>339.8</v>
      </c>
      <c r="N50" s="9" t="n">
        <f aca="false">IF(AND(Assumptions!$B$17,ISNUMBER(J50)),Assumptions!$B$10*Assumptions!$B$13*J50,0)</f>
        <v>3.75</v>
      </c>
      <c r="O50" s="9" t="n">
        <f aca="false">IF(AND(Assumptions!$B$17,ISNUMBER(J50)),Assumptions!$B$11*Assumptions!$B$13*J50,0)</f>
        <v>7.5</v>
      </c>
      <c r="P50" s="9" t="n">
        <f aca="false">IF(AND(Assumptions!$B$17,ISNUMBER(J50)),Assumptions!$B$12*Assumptions!$B$13*J50,0)</f>
        <v>11.25</v>
      </c>
      <c r="Q50" s="9" t="n">
        <f aca="false">IF(Assumptions!$B$18,Assumptions!$B$14*K50,0)</f>
        <v>7.58</v>
      </c>
      <c r="R50" s="9" t="n">
        <f aca="false">IF(Assumptions!$B$18,Assumptions!$B$15*L50,0)</f>
        <v>30.52</v>
      </c>
      <c r="S50" s="9" t="n">
        <f aca="false">IF(Assumptions!$B$18,Assumptions!$B$16*M50,0)</f>
        <v>118.93</v>
      </c>
      <c r="T50" s="9" t="n">
        <f aca="false">K50+N50+Q50</f>
        <v>87.13</v>
      </c>
      <c r="U50" s="9" t="n">
        <f aca="false">L50+O50+R50</f>
        <v>190.62</v>
      </c>
      <c r="V50" s="9" t="n">
        <f aca="false">M50+P50+S50</f>
        <v>469.98</v>
      </c>
      <c r="W50" s="9" t="n">
        <v>35</v>
      </c>
      <c r="X50" s="9" t="n">
        <v>85</v>
      </c>
      <c r="Y50" s="9" t="n">
        <v>280</v>
      </c>
      <c r="Z50" s="9" t="n">
        <f aca="false">U50-X50</f>
        <v>105.62</v>
      </c>
      <c r="AA50" s="10" t="n">
        <f aca="false">IFERROR((U50-X50)/X50,"")</f>
        <v>1.24258823529412</v>
      </c>
      <c r="AB50" s="8" t="str">
        <f aca="false">IF(ISNUMBER(AA50),IF(ABS(AA50)&gt;Assumptions!$B$19,"REVIEW",""),"")</f>
        <v>REVIEW</v>
      </c>
    </row>
    <row r="51" customFormat="false" ht="15" hidden="false" customHeight="false" outlineLevel="0" collapsed="false">
      <c r="A51" s="8" t="s">
        <v>108</v>
      </c>
      <c r="B51" s="8"/>
      <c r="C51" s="9" t="n">
        <v>55</v>
      </c>
      <c r="D51" s="9" t="n">
        <v>120</v>
      </c>
      <c r="E51" s="9" t="n">
        <v>350</v>
      </c>
      <c r="F51" s="9" t="n">
        <v>20</v>
      </c>
      <c r="G51" s="9" t="n">
        <v>12</v>
      </c>
      <c r="H51" s="9" t="n">
        <v>3</v>
      </c>
      <c r="I51" s="9" t="n">
        <v>0.8</v>
      </c>
      <c r="J51" s="9" t="n">
        <v>2.5</v>
      </c>
      <c r="K51" s="9" t="n">
        <f aca="false">C51+3*Assumptions!$B$4*F51+Assumptions!$B$7*G51+H51+I51</f>
        <v>130.8</v>
      </c>
      <c r="L51" s="9" t="n">
        <f aca="false">D51+3*Assumptions!$B$5*F51+Assumptions!$B$8*G51+H51+I51</f>
        <v>255.8</v>
      </c>
      <c r="M51" s="9" t="n">
        <f aca="false">E51+3*Assumptions!$B$6*F51+Assumptions!$B$9*G51+H51+I51</f>
        <v>611.8</v>
      </c>
      <c r="N51" s="9" t="n">
        <f aca="false">IF(AND(Assumptions!$B$17,ISNUMBER(J51)),Assumptions!$B$10*Assumptions!$B$13*J51,0)</f>
        <v>3.75</v>
      </c>
      <c r="O51" s="9" t="n">
        <f aca="false">IF(AND(Assumptions!$B$17,ISNUMBER(J51)),Assumptions!$B$11*Assumptions!$B$13*J51,0)</f>
        <v>7.5</v>
      </c>
      <c r="P51" s="9" t="n">
        <f aca="false">IF(AND(Assumptions!$B$17,ISNUMBER(J51)),Assumptions!$B$12*Assumptions!$B$13*J51,0)</f>
        <v>11.25</v>
      </c>
      <c r="Q51" s="9" t="n">
        <f aca="false">IF(Assumptions!$B$18,Assumptions!$B$14*K51,0)</f>
        <v>13.08</v>
      </c>
      <c r="R51" s="9" t="n">
        <f aca="false">IF(Assumptions!$B$18,Assumptions!$B$15*L51,0)</f>
        <v>51.16</v>
      </c>
      <c r="S51" s="9" t="n">
        <f aca="false">IF(Assumptions!$B$18,Assumptions!$B$16*M51,0)</f>
        <v>214.13</v>
      </c>
      <c r="T51" s="9" t="n">
        <f aca="false">K51+N51+Q51</f>
        <v>147.63</v>
      </c>
      <c r="U51" s="9" t="n">
        <f aca="false">L51+O51+R51</f>
        <v>314.46</v>
      </c>
      <c r="V51" s="9" t="n">
        <f aca="false">M51+P51+S51</f>
        <v>837.18</v>
      </c>
      <c r="W51" s="9" t="n">
        <v>60</v>
      </c>
      <c r="X51" s="9" t="n">
        <v>150</v>
      </c>
      <c r="Y51" s="9" t="n">
        <v>450</v>
      </c>
      <c r="Z51" s="9" t="n">
        <f aca="false">U51-X51</f>
        <v>164.46</v>
      </c>
      <c r="AA51" s="10" t="n">
        <f aca="false">IFERROR((U51-X51)/X51,"")</f>
        <v>1.0964</v>
      </c>
      <c r="AB51" s="8" t="str">
        <f aca="false">IF(ISNUMBER(AA51),IF(ABS(AA51)&gt;Assumptions!$B$19,"REVIEW",""),"")</f>
        <v>REVIEW</v>
      </c>
    </row>
    <row r="52" customFormat="false" ht="15" hidden="false" customHeight="false" outlineLevel="0" collapsed="false">
      <c r="A52" s="8" t="s">
        <v>109</v>
      </c>
      <c r="B52" s="8"/>
      <c r="C52" s="9" t="n">
        <v>40</v>
      </c>
      <c r="D52" s="9" t="n">
        <v>90</v>
      </c>
      <c r="E52" s="9" t="n">
        <v>250</v>
      </c>
      <c r="F52" s="9" t="n">
        <v>15</v>
      </c>
      <c r="G52" s="9" t="n">
        <v>12</v>
      </c>
      <c r="H52" s="9" t="n">
        <v>2.5</v>
      </c>
      <c r="I52" s="9" t="n">
        <v>0.8</v>
      </c>
      <c r="J52" s="9" t="n">
        <v>2.5</v>
      </c>
      <c r="K52" s="9" t="n">
        <f aca="false">C52+3*Assumptions!$B$4*F52+Assumptions!$B$7*G52+H52+I52</f>
        <v>100.3</v>
      </c>
      <c r="L52" s="9" t="n">
        <f aca="false">D52+3*Assumptions!$B$5*F52+Assumptions!$B$8*G52+H52+I52</f>
        <v>198.3</v>
      </c>
      <c r="M52" s="9" t="n">
        <f aca="false">E52+3*Assumptions!$B$6*F52+Assumptions!$B$9*G52+H52+I52</f>
        <v>458.8</v>
      </c>
      <c r="N52" s="9" t="n">
        <f aca="false">IF(AND(Assumptions!$B$17,ISNUMBER(J52)),Assumptions!$B$10*Assumptions!$B$13*J52,0)</f>
        <v>3.75</v>
      </c>
      <c r="O52" s="9" t="n">
        <f aca="false">IF(AND(Assumptions!$B$17,ISNUMBER(J52)),Assumptions!$B$11*Assumptions!$B$13*J52,0)</f>
        <v>7.5</v>
      </c>
      <c r="P52" s="9" t="n">
        <f aca="false">IF(AND(Assumptions!$B$17,ISNUMBER(J52)),Assumptions!$B$12*Assumptions!$B$13*J52,0)</f>
        <v>11.25</v>
      </c>
      <c r="Q52" s="9" t="n">
        <f aca="false">IF(Assumptions!$B$18,Assumptions!$B$14*K52,0)</f>
        <v>10.03</v>
      </c>
      <c r="R52" s="9" t="n">
        <f aca="false">IF(Assumptions!$B$18,Assumptions!$B$15*L52,0)</f>
        <v>39.66</v>
      </c>
      <c r="S52" s="9" t="n">
        <f aca="false">IF(Assumptions!$B$18,Assumptions!$B$16*M52,0)</f>
        <v>160.58</v>
      </c>
      <c r="T52" s="9" t="n">
        <f aca="false">K52+N52+Q52</f>
        <v>114.08</v>
      </c>
      <c r="U52" s="9" t="n">
        <f aca="false">L52+O52+R52</f>
        <v>245.46</v>
      </c>
      <c r="V52" s="9" t="n">
        <f aca="false">M52+P52+S52</f>
        <v>630.63</v>
      </c>
      <c r="W52" s="9" t="n">
        <v>45</v>
      </c>
      <c r="X52" s="9" t="n">
        <v>110</v>
      </c>
      <c r="Y52" s="9" t="n">
        <v>350</v>
      </c>
      <c r="Z52" s="9" t="n">
        <f aca="false">U52-X52</f>
        <v>135.46</v>
      </c>
      <c r="AA52" s="10" t="n">
        <f aca="false">IFERROR((U52-X52)/X52,"")</f>
        <v>1.23145454545455</v>
      </c>
      <c r="AB52" s="8" t="str">
        <f aca="false">IF(ISNUMBER(AA52),IF(ABS(AA52)&gt;Assumptions!$B$19,"REVIEW",""),"")</f>
        <v>REVIEW</v>
      </c>
    </row>
    <row r="53" customFormat="false" ht="15" hidden="false" customHeight="false" outlineLevel="0" collapsed="false">
      <c r="A53" s="8" t="s">
        <v>110</v>
      </c>
      <c r="B53" s="8"/>
      <c r="C53" s="9" t="n">
        <v>20</v>
      </c>
      <c r="D53" s="9" t="n">
        <v>75</v>
      </c>
      <c r="E53" s="9" t="n">
        <v>200</v>
      </c>
      <c r="F53" s="9" t="n">
        <v>15</v>
      </c>
      <c r="G53" s="9" t="n">
        <v>6</v>
      </c>
      <c r="H53" s="9" t="n">
        <v>2</v>
      </c>
      <c r="I53" s="9" t="n">
        <v>1</v>
      </c>
      <c r="J53" s="9" t="n">
        <v>3</v>
      </c>
      <c r="K53" s="9" t="n">
        <f aca="false">C53+3*Assumptions!$B$4*F53+Assumptions!$B$7*G53+H53+I53</f>
        <v>74</v>
      </c>
      <c r="L53" s="9" t="n">
        <f aca="false">D53+3*Assumptions!$B$5*F53+Assumptions!$B$8*G53+H53+I53</f>
        <v>171</v>
      </c>
      <c r="M53" s="9" t="n">
        <f aca="false">E53+3*Assumptions!$B$6*F53+Assumptions!$B$9*G53+H53+I53</f>
        <v>384.5</v>
      </c>
      <c r="N53" s="9" t="n">
        <f aca="false">IF(AND(Assumptions!$B$17,ISNUMBER(J53)),Assumptions!$B$10*Assumptions!$B$13*J53,0)</f>
        <v>4.5</v>
      </c>
      <c r="O53" s="9" t="n">
        <f aca="false">IF(AND(Assumptions!$B$17,ISNUMBER(J53)),Assumptions!$B$11*Assumptions!$B$13*J53,0)</f>
        <v>9</v>
      </c>
      <c r="P53" s="9" t="n">
        <f aca="false">IF(AND(Assumptions!$B$17,ISNUMBER(J53)),Assumptions!$B$12*Assumptions!$B$13*J53,0)</f>
        <v>13.5</v>
      </c>
      <c r="Q53" s="9" t="n">
        <f aca="false">IF(Assumptions!$B$18,Assumptions!$B$14*K53,0)</f>
        <v>7.4</v>
      </c>
      <c r="R53" s="9" t="n">
        <f aca="false">IF(Assumptions!$B$18,Assumptions!$B$15*L53,0)</f>
        <v>34.2</v>
      </c>
      <c r="S53" s="9" t="n">
        <f aca="false">IF(Assumptions!$B$18,Assumptions!$B$16*M53,0)</f>
        <v>134.575</v>
      </c>
      <c r="T53" s="9" t="n">
        <f aca="false">K53+N53+Q53</f>
        <v>85.9</v>
      </c>
      <c r="U53" s="9" t="n">
        <f aca="false">L53+O53+R53</f>
        <v>214.2</v>
      </c>
      <c r="V53" s="9" t="n">
        <f aca="false">M53+P53+S53</f>
        <v>532.575</v>
      </c>
      <c r="W53" s="9" t="n">
        <v>40</v>
      </c>
      <c r="X53" s="9" t="n">
        <v>105</v>
      </c>
      <c r="Y53" s="9" t="n">
        <v>320</v>
      </c>
      <c r="Z53" s="9" t="n">
        <f aca="false">U53-X53</f>
        <v>109.2</v>
      </c>
      <c r="AA53" s="10" t="n">
        <f aca="false">IFERROR((U53-X53)/X53,"")</f>
        <v>1.04</v>
      </c>
      <c r="AB53" s="8" t="str">
        <f aca="false">IF(ISNUMBER(AA53),IF(ABS(AA53)&gt;Assumptions!$B$19,"REVIEW",""),"")</f>
        <v>REVIEW</v>
      </c>
    </row>
    <row r="54" customFormat="false" ht="15" hidden="false" customHeight="false" outlineLevel="0" collapsed="false">
      <c r="A54" s="8" t="s">
        <v>111</v>
      </c>
      <c r="B54" s="8"/>
      <c r="C54" s="9" t="n">
        <v>60</v>
      </c>
      <c r="D54" s="9" t="n">
        <v>180</v>
      </c>
      <c r="E54" s="9" t="n">
        <v>500</v>
      </c>
      <c r="F54" s="9" t="n">
        <v>25</v>
      </c>
      <c r="G54" s="9" t="n">
        <v>15</v>
      </c>
      <c r="H54" s="9" t="n">
        <v>3.5</v>
      </c>
      <c r="I54" s="9" t="n">
        <v>1.5</v>
      </c>
      <c r="J54" s="9" t="n">
        <v>4</v>
      </c>
      <c r="K54" s="9" t="n">
        <f aca="false">C54+3*Assumptions!$B$4*F54+Assumptions!$B$7*G54+H54+I54</f>
        <v>155</v>
      </c>
      <c r="L54" s="9" t="n">
        <f aca="false">D54+3*Assumptions!$B$5*F54+Assumptions!$B$8*G54+H54+I54</f>
        <v>350</v>
      </c>
      <c r="M54" s="9" t="n">
        <f aca="false">E54+3*Assumptions!$B$6*F54+Assumptions!$B$9*G54+H54+I54</f>
        <v>827.5</v>
      </c>
      <c r="N54" s="9" t="n">
        <f aca="false">IF(AND(Assumptions!$B$17,ISNUMBER(J54)),Assumptions!$B$10*Assumptions!$B$13*J54,0)</f>
        <v>6</v>
      </c>
      <c r="O54" s="9" t="n">
        <f aca="false">IF(AND(Assumptions!$B$17,ISNUMBER(J54)),Assumptions!$B$11*Assumptions!$B$13*J54,0)</f>
        <v>12</v>
      </c>
      <c r="P54" s="9" t="n">
        <f aca="false">IF(AND(Assumptions!$B$17,ISNUMBER(J54)),Assumptions!$B$12*Assumptions!$B$13*J54,0)</f>
        <v>18</v>
      </c>
      <c r="Q54" s="9" t="n">
        <f aca="false">IF(Assumptions!$B$18,Assumptions!$B$14*K54,0)</f>
        <v>15.5</v>
      </c>
      <c r="R54" s="9" t="n">
        <f aca="false">IF(Assumptions!$B$18,Assumptions!$B$15*L54,0)</f>
        <v>70</v>
      </c>
      <c r="S54" s="9" t="n">
        <f aca="false">IF(Assumptions!$B$18,Assumptions!$B$16*M54,0)</f>
        <v>289.625</v>
      </c>
      <c r="T54" s="9" t="n">
        <f aca="false">K54+N54+Q54</f>
        <v>176.5</v>
      </c>
      <c r="U54" s="9" t="n">
        <f aca="false">L54+O54+R54</f>
        <v>432</v>
      </c>
      <c r="V54" s="9" t="n">
        <f aca="false">M54+P54+S54</f>
        <v>1135.125</v>
      </c>
      <c r="W54" s="9" t="n">
        <v>75</v>
      </c>
      <c r="X54" s="9" t="n">
        <v>200</v>
      </c>
      <c r="Y54" s="9" t="n">
        <v>595</v>
      </c>
      <c r="Z54" s="9" t="n">
        <f aca="false">U54-X54</f>
        <v>232</v>
      </c>
      <c r="AA54" s="10" t="n">
        <f aca="false">IFERROR((U54-X54)/X54,"")</f>
        <v>1.16</v>
      </c>
      <c r="AB54" s="8" t="str">
        <f aca="false">IF(ISNUMBER(AA54),IF(ABS(AA54)&gt;Assumptions!$B$19,"REVIEW",""),"")</f>
        <v>REVIEW</v>
      </c>
    </row>
    <row r="55" customFormat="false" ht="15" hidden="false" customHeight="false" outlineLevel="0" collapsed="false">
      <c r="A55" s="8" t="s">
        <v>112</v>
      </c>
      <c r="B55" s="8"/>
      <c r="C55" s="9" t="n">
        <v>20</v>
      </c>
      <c r="D55" s="9" t="n">
        <v>45</v>
      </c>
      <c r="E55" s="9" t="n">
        <v>120</v>
      </c>
      <c r="F55" s="9" t="n">
        <v>6</v>
      </c>
      <c r="G55" s="9" t="n">
        <v>3</v>
      </c>
      <c r="H55" s="9" t="n">
        <v>4</v>
      </c>
      <c r="I55" s="9" t="n">
        <v>0.3</v>
      </c>
      <c r="J55" s="9" t="n">
        <v>1.5</v>
      </c>
      <c r="K55" s="9" t="n">
        <f aca="false">C55+3*Assumptions!$B$4*F55+Assumptions!$B$7*G55+H55+I55</f>
        <v>45.3</v>
      </c>
      <c r="L55" s="9" t="n">
        <f aca="false">D55+3*Assumptions!$B$5*F55+Assumptions!$B$8*G55+H55+I55</f>
        <v>87.7</v>
      </c>
      <c r="M55" s="9" t="n">
        <f aca="false">E55+3*Assumptions!$B$6*F55+Assumptions!$B$9*G55+H55+I55</f>
        <v>199.3</v>
      </c>
      <c r="N55" s="9" t="n">
        <f aca="false">IF(AND(Assumptions!$B$17,ISNUMBER(J55)),Assumptions!$B$10*Assumptions!$B$13*J55,0)</f>
        <v>2.25</v>
      </c>
      <c r="O55" s="9" t="n">
        <f aca="false">IF(AND(Assumptions!$B$17,ISNUMBER(J55)),Assumptions!$B$11*Assumptions!$B$13*J55,0)</f>
        <v>4.5</v>
      </c>
      <c r="P55" s="9" t="n">
        <f aca="false">IF(AND(Assumptions!$B$17,ISNUMBER(J55)),Assumptions!$B$12*Assumptions!$B$13*J55,0)</f>
        <v>6.75</v>
      </c>
      <c r="Q55" s="9" t="n">
        <f aca="false">IF(Assumptions!$B$18,Assumptions!$B$14*K55,0)</f>
        <v>4.53</v>
      </c>
      <c r="R55" s="9" t="n">
        <f aca="false">IF(Assumptions!$B$18,Assumptions!$B$15*L55,0)</f>
        <v>17.54</v>
      </c>
      <c r="S55" s="9" t="n">
        <f aca="false">IF(Assumptions!$B$18,Assumptions!$B$16*M55,0)</f>
        <v>69.755</v>
      </c>
      <c r="T55" s="9" t="n">
        <f aca="false">K55+N55+Q55</f>
        <v>52.08</v>
      </c>
      <c r="U55" s="9" t="n">
        <f aca="false">L55+O55+R55</f>
        <v>109.74</v>
      </c>
      <c r="V55" s="9" t="n">
        <f aca="false">M55+P55+S55</f>
        <v>275.805</v>
      </c>
      <c r="W55" s="9" t="n">
        <v>30</v>
      </c>
      <c r="X55" s="9" t="n">
        <v>70</v>
      </c>
      <c r="Y55" s="9" t="n">
        <v>200</v>
      </c>
      <c r="Z55" s="9" t="n">
        <f aca="false">U55-X55</f>
        <v>39.74</v>
      </c>
      <c r="AA55" s="10" t="n">
        <f aca="false">IFERROR((U55-X55)/X55,"")</f>
        <v>0.567714285714286</v>
      </c>
      <c r="AB55" s="8" t="str">
        <f aca="false">IF(ISNUMBER(AA55),IF(ABS(AA55)&gt;Assumptions!$B$19,"REVIEW",""),"")</f>
        <v>REVIEW</v>
      </c>
    </row>
    <row r="56" customFormat="false" ht="15" hidden="false" customHeight="false" outlineLevel="0" collapsed="false">
      <c r="A56" s="8" t="s">
        <v>113</v>
      </c>
      <c r="B56" s="8"/>
      <c r="C56" s="9" t="n">
        <v>20</v>
      </c>
      <c r="D56" s="9" t="n">
        <v>60</v>
      </c>
      <c r="E56" s="9" t="n">
        <v>180</v>
      </c>
      <c r="F56" s="9" t="n">
        <v>6</v>
      </c>
      <c r="G56" s="9" t="n">
        <v>3</v>
      </c>
      <c r="H56" s="9" t="n">
        <v>4</v>
      </c>
      <c r="I56" s="9" t="n">
        <v>0.4</v>
      </c>
      <c r="J56" s="9" t="n">
        <v>1.5</v>
      </c>
      <c r="K56" s="9" t="n">
        <f aca="false">C56+3*Assumptions!$B$4*F56+Assumptions!$B$7*G56+H56+I56</f>
        <v>45.4</v>
      </c>
      <c r="L56" s="9" t="n">
        <f aca="false">D56+3*Assumptions!$B$5*F56+Assumptions!$B$8*G56+H56+I56</f>
        <v>102.8</v>
      </c>
      <c r="M56" s="9" t="n">
        <f aca="false">E56+3*Assumptions!$B$6*F56+Assumptions!$B$9*G56+H56+I56</f>
        <v>259.4</v>
      </c>
      <c r="N56" s="9" t="n">
        <f aca="false">IF(AND(Assumptions!$B$17,ISNUMBER(J56)),Assumptions!$B$10*Assumptions!$B$13*J56,0)</f>
        <v>2.25</v>
      </c>
      <c r="O56" s="9" t="n">
        <f aca="false">IF(AND(Assumptions!$B$17,ISNUMBER(J56)),Assumptions!$B$11*Assumptions!$B$13*J56,0)</f>
        <v>4.5</v>
      </c>
      <c r="P56" s="9" t="n">
        <f aca="false">IF(AND(Assumptions!$B$17,ISNUMBER(J56)),Assumptions!$B$12*Assumptions!$B$13*J56,0)</f>
        <v>6.75</v>
      </c>
      <c r="Q56" s="9" t="n">
        <f aca="false">IF(Assumptions!$B$18,Assumptions!$B$14*K56,0)</f>
        <v>4.54</v>
      </c>
      <c r="R56" s="9" t="n">
        <f aca="false">IF(Assumptions!$B$18,Assumptions!$B$15*L56,0)</f>
        <v>20.56</v>
      </c>
      <c r="S56" s="9" t="n">
        <f aca="false">IF(Assumptions!$B$18,Assumptions!$B$16*M56,0)</f>
        <v>90.79</v>
      </c>
      <c r="T56" s="9" t="n">
        <f aca="false">K56+N56+Q56</f>
        <v>52.19</v>
      </c>
      <c r="U56" s="9" t="n">
        <f aca="false">L56+O56+R56</f>
        <v>127.86</v>
      </c>
      <c r="V56" s="9" t="n">
        <f aca="false">M56+P56+S56</f>
        <v>356.94</v>
      </c>
      <c r="W56" s="9" t="n">
        <v>30</v>
      </c>
      <c r="X56" s="9" t="n">
        <v>75</v>
      </c>
      <c r="Y56" s="9" t="n">
        <v>220</v>
      </c>
      <c r="Z56" s="9" t="n">
        <f aca="false">U56-X56</f>
        <v>52.86</v>
      </c>
      <c r="AA56" s="10" t="n">
        <f aca="false">IFERROR((U56-X56)/X56,"")</f>
        <v>0.7048</v>
      </c>
      <c r="AB56" s="8" t="str">
        <f aca="false">IF(ISNUMBER(AA56),IF(ABS(AA56)&gt;Assumptions!$B$19,"REVIEW",""),"")</f>
        <v>REVIEW</v>
      </c>
    </row>
    <row r="57" customFormat="false" ht="15" hidden="false" customHeight="false" outlineLevel="0" collapsed="false">
      <c r="A57" s="8" t="s">
        <v>114</v>
      </c>
      <c r="B57" s="8"/>
      <c r="C57" s="9" t="n">
        <v>15</v>
      </c>
      <c r="D57" s="9" t="n">
        <v>45</v>
      </c>
      <c r="E57" s="9" t="n">
        <v>120</v>
      </c>
      <c r="F57" s="9" t="n">
        <v>4</v>
      </c>
      <c r="G57" s="9" t="n">
        <v>3</v>
      </c>
      <c r="H57" s="9" t="n">
        <v>1</v>
      </c>
      <c r="I57" s="9" t="n">
        <v>0.25</v>
      </c>
      <c r="J57" s="9" t="n">
        <v>3</v>
      </c>
      <c r="K57" s="9" t="n">
        <f aca="false">C57+3*Assumptions!$B$4*F57+Assumptions!$B$7*G57+H57+I57</f>
        <v>31.25</v>
      </c>
      <c r="L57" s="9" t="n">
        <f aca="false">D57+3*Assumptions!$B$5*F57+Assumptions!$B$8*G57+H57+I57</f>
        <v>73.85</v>
      </c>
      <c r="M57" s="9" t="n">
        <f aca="false">E57+3*Assumptions!$B$6*F57+Assumptions!$B$9*G57+H57+I57</f>
        <v>175.25</v>
      </c>
      <c r="N57" s="9" t="n">
        <f aca="false">IF(AND(Assumptions!$B$17,ISNUMBER(J57)),Assumptions!$B$10*Assumptions!$B$13*J57,0)</f>
        <v>4.5</v>
      </c>
      <c r="O57" s="9" t="n">
        <f aca="false">IF(AND(Assumptions!$B$17,ISNUMBER(J57)),Assumptions!$B$11*Assumptions!$B$13*J57,0)</f>
        <v>9</v>
      </c>
      <c r="P57" s="9" t="n">
        <f aca="false">IF(AND(Assumptions!$B$17,ISNUMBER(J57)),Assumptions!$B$12*Assumptions!$B$13*J57,0)</f>
        <v>13.5</v>
      </c>
      <c r="Q57" s="9" t="n">
        <f aca="false">IF(Assumptions!$B$18,Assumptions!$B$14*K57,0)</f>
        <v>3.125</v>
      </c>
      <c r="R57" s="9" t="n">
        <f aca="false">IF(Assumptions!$B$18,Assumptions!$B$15*L57,0)</f>
        <v>14.77</v>
      </c>
      <c r="S57" s="9" t="n">
        <f aca="false">IF(Assumptions!$B$18,Assumptions!$B$16*M57,0)</f>
        <v>61.3375</v>
      </c>
      <c r="T57" s="9" t="n">
        <f aca="false">K57+N57+Q57</f>
        <v>38.875</v>
      </c>
      <c r="U57" s="9" t="n">
        <f aca="false">L57+O57+R57</f>
        <v>97.62</v>
      </c>
      <c r="V57" s="9" t="n">
        <f aca="false">M57+P57+S57</f>
        <v>250.0875</v>
      </c>
      <c r="W57" s="9" t="n">
        <v>25</v>
      </c>
      <c r="X57" s="9" t="n">
        <v>65</v>
      </c>
      <c r="Y57" s="9" t="n">
        <v>180</v>
      </c>
      <c r="Z57" s="9" t="n">
        <f aca="false">U57-X57</f>
        <v>32.62</v>
      </c>
      <c r="AA57" s="10" t="n">
        <f aca="false">IFERROR((U57-X57)/X57,"")</f>
        <v>0.501846153846154</v>
      </c>
      <c r="AB57" s="8" t="str">
        <f aca="false">IF(ISNUMBER(AA57),IF(ABS(AA57)&gt;Assumptions!$B$19,"REVIEW",""),"")</f>
        <v>REVIEW</v>
      </c>
    </row>
    <row r="58" customFormat="false" ht="15" hidden="false" customHeight="false" outlineLevel="0" collapsed="false">
      <c r="A58" s="8" t="s">
        <v>115</v>
      </c>
      <c r="B58" s="8"/>
      <c r="C58" s="9" t="n">
        <v>15</v>
      </c>
      <c r="D58" s="9" t="n">
        <v>55</v>
      </c>
      <c r="E58" s="9" t="n">
        <v>120</v>
      </c>
      <c r="F58" s="9" t="n">
        <v>4</v>
      </c>
      <c r="G58" s="9" t="n">
        <v>3</v>
      </c>
      <c r="H58" s="9" t="n">
        <v>2</v>
      </c>
      <c r="I58" s="9" t="n">
        <v>0.4</v>
      </c>
      <c r="J58" s="9" t="n">
        <v>8</v>
      </c>
      <c r="K58" s="9" t="n">
        <f aca="false">C58+3*Assumptions!$B$4*F58+Assumptions!$B$7*G58+H58+I58</f>
        <v>32.4</v>
      </c>
      <c r="L58" s="9" t="n">
        <f aca="false">D58+3*Assumptions!$B$5*F58+Assumptions!$B$8*G58+H58+I58</f>
        <v>85</v>
      </c>
      <c r="M58" s="9" t="n">
        <f aca="false">E58+3*Assumptions!$B$6*F58+Assumptions!$B$9*G58+H58+I58</f>
        <v>176.4</v>
      </c>
      <c r="N58" s="9" t="n">
        <f aca="false">IF(AND(Assumptions!$B$17,ISNUMBER(J58)),Assumptions!$B$10*Assumptions!$B$13*J58,0)</f>
        <v>12</v>
      </c>
      <c r="O58" s="9" t="n">
        <f aca="false">IF(AND(Assumptions!$B$17,ISNUMBER(J58)),Assumptions!$B$11*Assumptions!$B$13*J58,0)</f>
        <v>24</v>
      </c>
      <c r="P58" s="9" t="n">
        <f aca="false">IF(AND(Assumptions!$B$17,ISNUMBER(J58)),Assumptions!$B$12*Assumptions!$B$13*J58,0)</f>
        <v>36</v>
      </c>
      <c r="Q58" s="9" t="n">
        <f aca="false">IF(Assumptions!$B$18,Assumptions!$B$14*K58,0)</f>
        <v>3.24</v>
      </c>
      <c r="R58" s="9" t="n">
        <f aca="false">IF(Assumptions!$B$18,Assumptions!$B$15*L58,0)</f>
        <v>17</v>
      </c>
      <c r="S58" s="9" t="n">
        <f aca="false">IF(Assumptions!$B$18,Assumptions!$B$16*M58,0)</f>
        <v>61.74</v>
      </c>
      <c r="T58" s="9" t="n">
        <f aca="false">K58+N58+Q58</f>
        <v>47.64</v>
      </c>
      <c r="U58" s="9" t="n">
        <f aca="false">L58+O58+R58</f>
        <v>126</v>
      </c>
      <c r="V58" s="9" t="n">
        <f aca="false">M58+P58+S58</f>
        <v>274.14</v>
      </c>
      <c r="W58" s="9" t="n">
        <v>25</v>
      </c>
      <c r="X58" s="9" t="n">
        <v>60</v>
      </c>
      <c r="Y58" s="9" t="n">
        <v>180</v>
      </c>
      <c r="Z58" s="9" t="n">
        <f aca="false">U58-X58</f>
        <v>66</v>
      </c>
      <c r="AA58" s="10" t="n">
        <f aca="false">IFERROR((U58-X58)/X58,"")</f>
        <v>1.1</v>
      </c>
      <c r="AB58" s="8" t="str">
        <f aca="false">IF(ISNUMBER(AA58),IF(ABS(AA58)&gt;Assumptions!$B$19,"REVIEW",""),"")</f>
        <v>REVIEW</v>
      </c>
    </row>
    <row r="59" customFormat="false" ht="15" hidden="false" customHeight="false" outlineLevel="0" collapsed="false">
      <c r="A59" s="8" t="s">
        <v>116</v>
      </c>
      <c r="B59" s="8"/>
      <c r="C59" s="9" t="n">
        <v>20</v>
      </c>
      <c r="D59" s="9" t="n">
        <v>60</v>
      </c>
      <c r="E59" s="9" t="n">
        <v>150</v>
      </c>
      <c r="F59" s="9" t="n">
        <v>12</v>
      </c>
      <c r="G59" s="9" t="n">
        <v>4</v>
      </c>
      <c r="H59" s="9" t="n">
        <v>2</v>
      </c>
      <c r="I59" s="9" t="n">
        <v>0.6</v>
      </c>
      <c r="J59" s="9" t="n">
        <v>2</v>
      </c>
      <c r="K59" s="9" t="n">
        <f aca="false">C59+3*Assumptions!$B$4*F59+Assumptions!$B$7*G59+H59+I59</f>
        <v>62.6</v>
      </c>
      <c r="L59" s="9" t="n">
        <f aca="false">D59+3*Assumptions!$B$5*F59+Assumptions!$B$8*G59+H59+I59</f>
        <v>135.4</v>
      </c>
      <c r="M59" s="9" t="n">
        <f aca="false">E59+3*Assumptions!$B$6*F59+Assumptions!$B$9*G59+H59+I59</f>
        <v>294.6</v>
      </c>
      <c r="N59" s="9" t="n">
        <f aca="false">IF(AND(Assumptions!$B$17,ISNUMBER(J59)),Assumptions!$B$10*Assumptions!$B$13*J59,0)</f>
        <v>3</v>
      </c>
      <c r="O59" s="9" t="n">
        <f aca="false">IF(AND(Assumptions!$B$17,ISNUMBER(J59)),Assumptions!$B$11*Assumptions!$B$13*J59,0)</f>
        <v>6</v>
      </c>
      <c r="P59" s="9" t="n">
        <f aca="false">IF(AND(Assumptions!$B$17,ISNUMBER(J59)),Assumptions!$B$12*Assumptions!$B$13*J59,0)</f>
        <v>9</v>
      </c>
      <c r="Q59" s="9" t="n">
        <f aca="false">IF(Assumptions!$B$18,Assumptions!$B$14*K59,0)</f>
        <v>6.26</v>
      </c>
      <c r="R59" s="9" t="n">
        <f aca="false">IF(Assumptions!$B$18,Assumptions!$B$15*L59,0)</f>
        <v>27.08</v>
      </c>
      <c r="S59" s="9" t="n">
        <f aca="false">IF(Assumptions!$B$18,Assumptions!$B$16*M59,0)</f>
        <v>103.11</v>
      </c>
      <c r="T59" s="9" t="n">
        <f aca="false">K59+N59+Q59</f>
        <v>71.86</v>
      </c>
      <c r="U59" s="9" t="n">
        <f aca="false">L59+O59+R59</f>
        <v>168.48</v>
      </c>
      <c r="V59" s="9" t="n">
        <f aca="false">M59+P59+S59</f>
        <v>406.71</v>
      </c>
      <c r="W59" s="9" t="n">
        <v>35</v>
      </c>
      <c r="X59" s="9" t="n">
        <v>90</v>
      </c>
      <c r="Y59" s="9" t="n">
        <v>275</v>
      </c>
      <c r="Z59" s="9" t="n">
        <f aca="false">U59-X59</f>
        <v>78.48</v>
      </c>
      <c r="AA59" s="10" t="n">
        <f aca="false">IFERROR((U59-X59)/X59,"")</f>
        <v>0.872</v>
      </c>
      <c r="AB59" s="8" t="str">
        <f aca="false">IF(ISNUMBER(AA59),IF(ABS(AA59)&gt;Assumptions!$B$19,"REVIEW",""),"")</f>
        <v>REVIEW</v>
      </c>
    </row>
    <row r="60" customFormat="false" ht="15" hidden="false" customHeight="false" outlineLevel="0" collapsed="false">
      <c r="A60" s="8" t="s">
        <v>117</v>
      </c>
      <c r="B60" s="8"/>
      <c r="C60" s="9" t="n">
        <v>20</v>
      </c>
      <c r="D60" s="9" t="n">
        <v>55</v>
      </c>
      <c r="E60" s="9" t="n">
        <v>180</v>
      </c>
      <c r="F60" s="9" t="n">
        <v>8</v>
      </c>
      <c r="G60" s="9" t="n">
        <v>4</v>
      </c>
      <c r="H60" s="9" t="n">
        <v>4</v>
      </c>
      <c r="I60" s="9" t="n">
        <v>0.4</v>
      </c>
      <c r="J60" s="9" t="n">
        <v>1.5</v>
      </c>
      <c r="K60" s="9" t="n">
        <f aca="false">C60+3*Assumptions!$B$4*F60+Assumptions!$B$7*G60+H60+I60</f>
        <v>52.4</v>
      </c>
      <c r="L60" s="9" t="n">
        <f aca="false">D60+3*Assumptions!$B$5*F60+Assumptions!$B$8*G60+H60+I60</f>
        <v>110.6</v>
      </c>
      <c r="M60" s="9" t="n">
        <f aca="false">E60+3*Assumptions!$B$6*F60+Assumptions!$B$9*G60+H60+I60</f>
        <v>284.4</v>
      </c>
      <c r="N60" s="9" t="n">
        <f aca="false">IF(AND(Assumptions!$B$17,ISNUMBER(J60)),Assumptions!$B$10*Assumptions!$B$13*J60,0)</f>
        <v>2.25</v>
      </c>
      <c r="O60" s="9" t="n">
        <f aca="false">IF(AND(Assumptions!$B$17,ISNUMBER(J60)),Assumptions!$B$11*Assumptions!$B$13*J60,0)</f>
        <v>4.5</v>
      </c>
      <c r="P60" s="9" t="n">
        <f aca="false">IF(AND(Assumptions!$B$17,ISNUMBER(J60)),Assumptions!$B$12*Assumptions!$B$13*J60,0)</f>
        <v>6.75</v>
      </c>
      <c r="Q60" s="9" t="n">
        <f aca="false">IF(Assumptions!$B$18,Assumptions!$B$14*K60,0)</f>
        <v>5.24</v>
      </c>
      <c r="R60" s="9" t="n">
        <f aca="false">IF(Assumptions!$B$18,Assumptions!$B$15*L60,0)</f>
        <v>22.12</v>
      </c>
      <c r="S60" s="9" t="n">
        <f aca="false">IF(Assumptions!$B$18,Assumptions!$B$16*M60,0)</f>
        <v>99.54</v>
      </c>
      <c r="T60" s="9" t="n">
        <f aca="false">K60+N60+Q60</f>
        <v>59.89</v>
      </c>
      <c r="U60" s="9" t="n">
        <f aca="false">L60+O60+R60</f>
        <v>137.22</v>
      </c>
      <c r="V60" s="9" t="n">
        <f aca="false">M60+P60+S60</f>
        <v>390.69</v>
      </c>
      <c r="W60" s="9" t="n">
        <v>30</v>
      </c>
      <c r="X60" s="9" t="n">
        <v>80</v>
      </c>
      <c r="Y60" s="9" t="n">
        <v>250</v>
      </c>
      <c r="Z60" s="9" t="n">
        <f aca="false">U60-X60</f>
        <v>57.22</v>
      </c>
      <c r="AA60" s="10" t="n">
        <f aca="false">IFERROR((U60-X60)/X60,"")</f>
        <v>0.71525</v>
      </c>
      <c r="AB60" s="8" t="str">
        <f aca="false">IF(ISNUMBER(AA60),IF(ABS(AA60)&gt;Assumptions!$B$19,"REVIEW",""),"")</f>
        <v>REVIEW</v>
      </c>
    </row>
    <row r="61" customFormat="false" ht="15" hidden="false" customHeight="false" outlineLevel="0" collapsed="false">
      <c r="A61" s="8" t="s">
        <v>118</v>
      </c>
      <c r="B61" s="8"/>
      <c r="C61" s="9" t="n">
        <v>15</v>
      </c>
      <c r="D61" s="9" t="n">
        <v>70</v>
      </c>
      <c r="E61" s="9" t="n">
        <v>300</v>
      </c>
      <c r="F61" s="9" t="n">
        <v>8</v>
      </c>
      <c r="G61" s="9" t="n">
        <v>4</v>
      </c>
      <c r="H61" s="9" t="n">
        <v>2.5</v>
      </c>
      <c r="I61" s="9" t="n">
        <v>0.4</v>
      </c>
      <c r="J61" s="9" t="n">
        <v>3</v>
      </c>
      <c r="K61" s="9" t="n">
        <f aca="false">C61+3*Assumptions!$B$4*F61+Assumptions!$B$7*G61+H61+I61</f>
        <v>45.9</v>
      </c>
      <c r="L61" s="9" t="n">
        <f aca="false">D61+3*Assumptions!$B$5*F61+Assumptions!$B$8*G61+H61+I61</f>
        <v>124.1</v>
      </c>
      <c r="M61" s="9" t="n">
        <f aca="false">E61+3*Assumptions!$B$6*F61+Assumptions!$B$9*G61+H61+I61</f>
        <v>402.9</v>
      </c>
      <c r="N61" s="9" t="n">
        <f aca="false">IF(AND(Assumptions!$B$17,ISNUMBER(J61)),Assumptions!$B$10*Assumptions!$B$13*J61,0)</f>
        <v>4.5</v>
      </c>
      <c r="O61" s="9" t="n">
        <f aca="false">IF(AND(Assumptions!$B$17,ISNUMBER(J61)),Assumptions!$B$11*Assumptions!$B$13*J61,0)</f>
        <v>9</v>
      </c>
      <c r="P61" s="9" t="n">
        <f aca="false">IF(AND(Assumptions!$B$17,ISNUMBER(J61)),Assumptions!$B$12*Assumptions!$B$13*J61,0)</f>
        <v>13.5</v>
      </c>
      <c r="Q61" s="9" t="n">
        <f aca="false">IF(Assumptions!$B$18,Assumptions!$B$14*K61,0)</f>
        <v>4.59</v>
      </c>
      <c r="R61" s="9" t="n">
        <f aca="false">IF(Assumptions!$B$18,Assumptions!$B$15*L61,0)</f>
        <v>24.82</v>
      </c>
      <c r="S61" s="9" t="n">
        <f aca="false">IF(Assumptions!$B$18,Assumptions!$B$16*M61,0)</f>
        <v>141.015</v>
      </c>
      <c r="T61" s="9" t="n">
        <f aca="false">K61+N61+Q61</f>
        <v>54.99</v>
      </c>
      <c r="U61" s="9" t="n">
        <f aca="false">L61+O61+R61</f>
        <v>157.92</v>
      </c>
      <c r="V61" s="9" t="n">
        <f aca="false">M61+P61+S61</f>
        <v>557.415</v>
      </c>
      <c r="W61" s="9" t="n">
        <v>35</v>
      </c>
      <c r="X61" s="9" t="n">
        <v>95</v>
      </c>
      <c r="Y61" s="9" t="n">
        <v>305</v>
      </c>
      <c r="Z61" s="9" t="n">
        <f aca="false">U61-X61</f>
        <v>62.92</v>
      </c>
      <c r="AA61" s="10" t="n">
        <f aca="false">IFERROR((U61-X61)/X61,"")</f>
        <v>0.662315789473684</v>
      </c>
      <c r="AB61" s="8" t="str">
        <f aca="false">IF(ISNUMBER(AA61),IF(ABS(AA61)&gt;Assumptions!$B$19,"REVIEW",""),"")</f>
        <v>REVIEW</v>
      </c>
    </row>
    <row r="62" customFormat="false" ht="15" hidden="false" customHeight="false" outlineLevel="0" collapsed="false">
      <c r="A62" s="8" t="s">
        <v>119</v>
      </c>
      <c r="B62" s="8"/>
      <c r="C62" s="9" t="n">
        <v>25</v>
      </c>
      <c r="D62" s="9" t="n">
        <v>70</v>
      </c>
      <c r="E62" s="9" t="n">
        <v>150</v>
      </c>
      <c r="F62" s="9" t="n">
        <v>12</v>
      </c>
      <c r="G62" s="9" t="n">
        <v>4</v>
      </c>
      <c r="H62" s="9" t="n">
        <v>2.5</v>
      </c>
      <c r="I62" s="9" t="n">
        <v>0.6</v>
      </c>
      <c r="J62" s="9" t="n">
        <v>3</v>
      </c>
      <c r="K62" s="9" t="n">
        <f aca="false">C62+3*Assumptions!$B$4*F62+Assumptions!$B$7*G62+H62+I62</f>
        <v>68.1</v>
      </c>
      <c r="L62" s="9" t="n">
        <f aca="false">D62+3*Assumptions!$B$5*F62+Assumptions!$B$8*G62+H62+I62</f>
        <v>145.9</v>
      </c>
      <c r="M62" s="9" t="n">
        <f aca="false">E62+3*Assumptions!$B$6*F62+Assumptions!$B$9*G62+H62+I62</f>
        <v>295.1</v>
      </c>
      <c r="N62" s="9" t="n">
        <f aca="false">IF(AND(Assumptions!$B$17,ISNUMBER(J62)),Assumptions!$B$10*Assumptions!$B$13*J62,0)</f>
        <v>4.5</v>
      </c>
      <c r="O62" s="9" t="n">
        <f aca="false">IF(AND(Assumptions!$B$17,ISNUMBER(J62)),Assumptions!$B$11*Assumptions!$B$13*J62,0)</f>
        <v>9</v>
      </c>
      <c r="P62" s="9" t="n">
        <f aca="false">IF(AND(Assumptions!$B$17,ISNUMBER(J62)),Assumptions!$B$12*Assumptions!$B$13*J62,0)</f>
        <v>13.5</v>
      </c>
      <c r="Q62" s="9" t="n">
        <f aca="false">IF(Assumptions!$B$18,Assumptions!$B$14*K62,0)</f>
        <v>6.81</v>
      </c>
      <c r="R62" s="9" t="n">
        <f aca="false">IF(Assumptions!$B$18,Assumptions!$B$15*L62,0)</f>
        <v>29.18</v>
      </c>
      <c r="S62" s="9" t="n">
        <f aca="false">IF(Assumptions!$B$18,Assumptions!$B$16*M62,0)</f>
        <v>103.285</v>
      </c>
      <c r="T62" s="9" t="n">
        <f aca="false">K62+N62+Q62</f>
        <v>79.41</v>
      </c>
      <c r="U62" s="9" t="n">
        <f aca="false">L62+O62+R62</f>
        <v>184.08</v>
      </c>
      <c r="V62" s="9" t="n">
        <f aca="false">M62+P62+S62</f>
        <v>411.885</v>
      </c>
      <c r="W62" s="9" t="n">
        <v>40</v>
      </c>
      <c r="X62" s="9" t="n">
        <v>95</v>
      </c>
      <c r="Y62" s="9" t="n">
        <v>280</v>
      </c>
      <c r="Z62" s="9" t="n">
        <f aca="false">U62-X62</f>
        <v>89.08</v>
      </c>
      <c r="AA62" s="10" t="n">
        <f aca="false">IFERROR((U62-X62)/X62,"")</f>
        <v>0.937684210526316</v>
      </c>
      <c r="AB62" s="8" t="str">
        <f aca="false">IF(ISNUMBER(AA62),IF(ABS(AA62)&gt;Assumptions!$B$19,"REVIEW",""),"")</f>
        <v>REVIEW</v>
      </c>
    </row>
    <row r="63" customFormat="false" ht="15" hidden="false" customHeight="false" outlineLevel="0" collapsed="false">
      <c r="A63" s="8" t="s">
        <v>120</v>
      </c>
      <c r="B63" s="8"/>
      <c r="C63" s="9" t="n">
        <v>100</v>
      </c>
      <c r="D63" s="9" t="n">
        <v>180</v>
      </c>
      <c r="E63" s="9" t="n">
        <v>400</v>
      </c>
      <c r="F63" s="9" t="n">
        <v>30</v>
      </c>
      <c r="G63" s="9" t="n">
        <v>35</v>
      </c>
      <c r="H63" s="9" t="n">
        <v>5.5</v>
      </c>
      <c r="I63" s="9" t="n">
        <v>3</v>
      </c>
      <c r="J63" s="9" t="n">
        <v>7.5</v>
      </c>
      <c r="K63" s="9" t="n">
        <f aca="false">C63+3*Assumptions!$B$4*F63+Assumptions!$B$7*G63+H63+I63</f>
        <v>233.5</v>
      </c>
      <c r="L63" s="9" t="n">
        <f aca="false">D63+3*Assumptions!$B$5*F63+Assumptions!$B$8*G63+H63+I63</f>
        <v>420.5</v>
      </c>
      <c r="M63" s="9" t="n">
        <f aca="false">E63+3*Assumptions!$B$6*F63+Assumptions!$B$9*G63+H63+I63</f>
        <v>863.5</v>
      </c>
      <c r="N63" s="9" t="n">
        <f aca="false">IF(AND(Assumptions!$B$17,ISNUMBER(J63)),Assumptions!$B$10*Assumptions!$B$13*J63,0)</f>
        <v>11.25</v>
      </c>
      <c r="O63" s="9" t="n">
        <f aca="false">IF(AND(Assumptions!$B$17,ISNUMBER(J63)),Assumptions!$B$11*Assumptions!$B$13*J63,0)</f>
        <v>22.5</v>
      </c>
      <c r="P63" s="9" t="n">
        <f aca="false">IF(AND(Assumptions!$B$17,ISNUMBER(J63)),Assumptions!$B$12*Assumptions!$B$13*J63,0)</f>
        <v>33.75</v>
      </c>
      <c r="Q63" s="9" t="n">
        <f aca="false">IF(Assumptions!$B$18,Assumptions!$B$14*K63,0)</f>
        <v>23.35</v>
      </c>
      <c r="R63" s="9" t="n">
        <f aca="false">IF(Assumptions!$B$18,Assumptions!$B$15*L63,0)</f>
        <v>84.1</v>
      </c>
      <c r="S63" s="9" t="n">
        <f aca="false">IF(Assumptions!$B$18,Assumptions!$B$16*M63,0)</f>
        <v>302.225</v>
      </c>
      <c r="T63" s="9" t="n">
        <f aca="false">K63+N63+Q63</f>
        <v>268.1</v>
      </c>
      <c r="U63" s="9" t="n">
        <f aca="false">L63+O63+R63</f>
        <v>527.1</v>
      </c>
      <c r="V63" s="9" t="n">
        <f aca="false">M63+P63+S63</f>
        <v>1199.475</v>
      </c>
      <c r="W63" s="9" t="n">
        <v>100</v>
      </c>
      <c r="X63" s="9" t="n">
        <v>240</v>
      </c>
      <c r="Y63" s="9" t="n">
        <v>650</v>
      </c>
      <c r="Z63" s="9" t="n">
        <f aca="false">U63-X63</f>
        <v>287.1</v>
      </c>
      <c r="AA63" s="10" t="n">
        <f aca="false">IFERROR((U63-X63)/X63,"")</f>
        <v>1.19625</v>
      </c>
      <c r="AB63" s="8" t="str">
        <f aca="false">IF(ISNUMBER(AA63),IF(ABS(AA63)&gt;Assumptions!$B$19,"REVIEW",""),"")</f>
        <v>REVIEW</v>
      </c>
    </row>
    <row r="64" customFormat="false" ht="15" hidden="false" customHeight="false" outlineLevel="0" collapsed="false">
      <c r="A64" s="8" t="s">
        <v>121</v>
      </c>
      <c r="B64" s="8"/>
      <c r="C64" s="9" t="n">
        <v>25</v>
      </c>
      <c r="D64" s="9" t="n">
        <v>75</v>
      </c>
      <c r="E64" s="9" t="n">
        <v>300</v>
      </c>
      <c r="F64" s="9" t="n">
        <v>10</v>
      </c>
      <c r="G64" s="9" t="n">
        <v>5</v>
      </c>
      <c r="H64" s="9" t="n">
        <v>2.5</v>
      </c>
      <c r="I64" s="9" t="n">
        <v>0.7</v>
      </c>
      <c r="J64" s="9" t="n">
        <v>2</v>
      </c>
      <c r="K64" s="9" t="n">
        <f aca="false">C64+3*Assumptions!$B$4*F64+Assumptions!$B$7*G64+H64+I64</f>
        <v>63.2</v>
      </c>
      <c r="L64" s="9" t="n">
        <f aca="false">D64+3*Assumptions!$B$5*F64+Assumptions!$B$8*G64+H64+I64</f>
        <v>142.2</v>
      </c>
      <c r="M64" s="9" t="n">
        <f aca="false">E64+3*Assumptions!$B$6*F64+Assumptions!$B$9*G64+H64+I64</f>
        <v>428.2</v>
      </c>
      <c r="N64" s="9" t="n">
        <f aca="false">IF(AND(Assumptions!$B$17,ISNUMBER(J64)),Assumptions!$B$10*Assumptions!$B$13*J64,0)</f>
        <v>3</v>
      </c>
      <c r="O64" s="9" t="n">
        <f aca="false">IF(AND(Assumptions!$B$17,ISNUMBER(J64)),Assumptions!$B$11*Assumptions!$B$13*J64,0)</f>
        <v>6</v>
      </c>
      <c r="P64" s="9" t="n">
        <f aca="false">IF(AND(Assumptions!$B$17,ISNUMBER(J64)),Assumptions!$B$12*Assumptions!$B$13*J64,0)</f>
        <v>9</v>
      </c>
      <c r="Q64" s="9" t="n">
        <f aca="false">IF(Assumptions!$B$18,Assumptions!$B$14*K64,0)</f>
        <v>6.32</v>
      </c>
      <c r="R64" s="9" t="n">
        <f aca="false">IF(Assumptions!$B$18,Assumptions!$B$15*L64,0)</f>
        <v>28.44</v>
      </c>
      <c r="S64" s="9" t="n">
        <f aca="false">IF(Assumptions!$B$18,Assumptions!$B$16*M64,0)</f>
        <v>149.87</v>
      </c>
      <c r="T64" s="9" t="n">
        <f aca="false">K64+N64+Q64</f>
        <v>72.52</v>
      </c>
      <c r="U64" s="9" t="n">
        <f aca="false">L64+O64+R64</f>
        <v>176.64</v>
      </c>
      <c r="V64" s="9" t="n">
        <f aca="false">M64+P64+S64</f>
        <v>587.07</v>
      </c>
      <c r="W64" s="9" t="n">
        <v>40</v>
      </c>
      <c r="X64" s="9" t="n">
        <v>105</v>
      </c>
      <c r="Y64" s="9" t="n">
        <v>335</v>
      </c>
      <c r="Z64" s="9" t="n">
        <f aca="false">U64-X64</f>
        <v>71.64</v>
      </c>
      <c r="AA64" s="10" t="n">
        <f aca="false">IFERROR((U64-X64)/X64,"")</f>
        <v>0.682285714285714</v>
      </c>
      <c r="AB64" s="8" t="str">
        <f aca="false">IF(ISNUMBER(AA64),IF(ABS(AA64)&gt;Assumptions!$B$19,"REVIEW",""),"")</f>
        <v>REVIEW</v>
      </c>
    </row>
    <row r="65" customFormat="false" ht="15" hidden="false" customHeight="false" outlineLevel="0" collapsed="false">
      <c r="A65" s="8" t="s">
        <v>122</v>
      </c>
      <c r="B65" s="8"/>
      <c r="C65" s="9" t="n">
        <v>30</v>
      </c>
      <c r="D65" s="9" t="n">
        <v>90</v>
      </c>
      <c r="E65" s="9" t="n">
        <v>220</v>
      </c>
      <c r="F65" s="9" t="n">
        <v>12</v>
      </c>
      <c r="G65" s="9" t="n">
        <v>6</v>
      </c>
      <c r="H65" s="9" t="n">
        <v>2.5</v>
      </c>
      <c r="I65" s="9" t="n">
        <v>0.8</v>
      </c>
      <c r="J65" s="9" t="n">
        <v>3</v>
      </c>
      <c r="K65" s="9" t="n">
        <f aca="false">C65+3*Assumptions!$B$4*F65+Assumptions!$B$7*G65+H65+I65</f>
        <v>75.3</v>
      </c>
      <c r="L65" s="9" t="n">
        <f aca="false">D65+3*Assumptions!$B$5*F65+Assumptions!$B$8*G65+H65+I65</f>
        <v>170.1</v>
      </c>
      <c r="M65" s="9" t="n">
        <f aca="false">E65+3*Assumptions!$B$6*F65+Assumptions!$B$9*G65+H65+I65</f>
        <v>373.3</v>
      </c>
      <c r="N65" s="9" t="n">
        <f aca="false">IF(AND(Assumptions!$B$17,ISNUMBER(J65)),Assumptions!$B$10*Assumptions!$B$13*J65,0)</f>
        <v>4.5</v>
      </c>
      <c r="O65" s="9" t="n">
        <f aca="false">IF(AND(Assumptions!$B$17,ISNUMBER(J65)),Assumptions!$B$11*Assumptions!$B$13*J65,0)</f>
        <v>9</v>
      </c>
      <c r="P65" s="9" t="n">
        <f aca="false">IF(AND(Assumptions!$B$17,ISNUMBER(J65)),Assumptions!$B$12*Assumptions!$B$13*J65,0)</f>
        <v>13.5</v>
      </c>
      <c r="Q65" s="9" t="n">
        <f aca="false">IF(Assumptions!$B$18,Assumptions!$B$14*K65,0)</f>
        <v>7.53</v>
      </c>
      <c r="R65" s="9" t="n">
        <f aca="false">IF(Assumptions!$B$18,Assumptions!$B$15*L65,0)</f>
        <v>34.02</v>
      </c>
      <c r="S65" s="9" t="n">
        <f aca="false">IF(Assumptions!$B$18,Assumptions!$B$16*M65,0)</f>
        <v>130.655</v>
      </c>
      <c r="T65" s="9" t="n">
        <f aca="false">K65+N65+Q65</f>
        <v>87.33</v>
      </c>
      <c r="U65" s="9" t="n">
        <f aca="false">L65+O65+R65</f>
        <v>213.12</v>
      </c>
      <c r="V65" s="9" t="n">
        <f aca="false">M65+P65+S65</f>
        <v>517.455</v>
      </c>
      <c r="W65" s="9" t="n">
        <v>45</v>
      </c>
      <c r="X65" s="9" t="n">
        <v>110</v>
      </c>
      <c r="Y65" s="9" t="n">
        <v>320</v>
      </c>
      <c r="Z65" s="9" t="n">
        <f aca="false">U65-X65</f>
        <v>103.12</v>
      </c>
      <c r="AA65" s="10" t="n">
        <f aca="false">IFERROR((U65-X65)/X65,"")</f>
        <v>0.937454545454546</v>
      </c>
      <c r="AB65" s="8" t="str">
        <f aca="false">IF(ISNUMBER(AA65),IF(ABS(AA65)&gt;Assumptions!$B$19,"REVIEW",""),"")</f>
        <v>REVIEW</v>
      </c>
    </row>
    <row r="66" customFormat="false" ht="15" hidden="false" customHeight="false" outlineLevel="0" collapsed="false">
      <c r="A66" s="8" t="s">
        <v>123</v>
      </c>
      <c r="B66" s="8"/>
      <c r="C66" s="9" t="n">
        <v>22</v>
      </c>
      <c r="D66" s="9" t="n">
        <v>60</v>
      </c>
      <c r="E66" s="9" t="n">
        <v>130</v>
      </c>
      <c r="F66" s="9" t="n">
        <v>8</v>
      </c>
      <c r="G66" s="9" t="n">
        <v>4</v>
      </c>
      <c r="H66" s="9" t="n">
        <v>3.5</v>
      </c>
      <c r="I66" s="9" t="n">
        <v>0.5</v>
      </c>
      <c r="J66" s="9" t="n">
        <v>1.5</v>
      </c>
      <c r="K66" s="9" t="n">
        <f aca="false">C66+3*Assumptions!$B$4*F66+Assumptions!$B$7*G66+H66+I66</f>
        <v>54</v>
      </c>
      <c r="L66" s="9" t="n">
        <f aca="false">D66+3*Assumptions!$B$5*F66+Assumptions!$B$8*G66+H66+I66</f>
        <v>115.2</v>
      </c>
      <c r="M66" s="9" t="n">
        <f aca="false">E66+3*Assumptions!$B$6*F66+Assumptions!$B$9*G66+H66+I66</f>
        <v>234</v>
      </c>
      <c r="N66" s="9" t="n">
        <f aca="false">IF(AND(Assumptions!$B$17,ISNUMBER(J66)),Assumptions!$B$10*Assumptions!$B$13*J66,0)</f>
        <v>2.25</v>
      </c>
      <c r="O66" s="9" t="n">
        <f aca="false">IF(AND(Assumptions!$B$17,ISNUMBER(J66)),Assumptions!$B$11*Assumptions!$B$13*J66,0)</f>
        <v>4.5</v>
      </c>
      <c r="P66" s="9" t="n">
        <f aca="false">IF(AND(Assumptions!$B$17,ISNUMBER(J66)),Assumptions!$B$12*Assumptions!$B$13*J66,0)</f>
        <v>6.75</v>
      </c>
      <c r="Q66" s="9" t="n">
        <f aca="false">IF(Assumptions!$B$18,Assumptions!$B$14*K66,0)</f>
        <v>5.4</v>
      </c>
      <c r="R66" s="9" t="n">
        <f aca="false">IF(Assumptions!$B$18,Assumptions!$B$15*L66,0)</f>
        <v>23.04</v>
      </c>
      <c r="S66" s="9" t="n">
        <f aca="false">IF(Assumptions!$B$18,Assumptions!$B$16*M66,0)</f>
        <v>81.9</v>
      </c>
      <c r="T66" s="9" t="n">
        <f aca="false">K66+N66+Q66</f>
        <v>61.65</v>
      </c>
      <c r="U66" s="9" t="n">
        <f aca="false">L66+O66+R66</f>
        <v>142.74</v>
      </c>
      <c r="V66" s="9" t="n">
        <f aca="false">M66+P66+S66</f>
        <v>322.65</v>
      </c>
      <c r="W66" s="9" t="n">
        <v>40</v>
      </c>
      <c r="X66" s="9" t="n">
        <v>90</v>
      </c>
      <c r="Y66" s="9" t="n">
        <v>260</v>
      </c>
      <c r="Z66" s="9" t="n">
        <f aca="false">U66-X66</f>
        <v>52.74</v>
      </c>
      <c r="AA66" s="10" t="n">
        <f aca="false">IFERROR((U66-X66)/X66,"")</f>
        <v>0.586</v>
      </c>
      <c r="AB66" s="8" t="str">
        <f aca="false">IF(ISNUMBER(AA66),IF(ABS(AA66)&gt;Assumptions!$B$19,"REVIEW",""),"")</f>
        <v>REVIEW</v>
      </c>
    </row>
    <row r="67" customFormat="false" ht="15" hidden="false" customHeight="false" outlineLevel="0" collapsed="false">
      <c r="A67" s="8" t="s">
        <v>124</v>
      </c>
      <c r="B67" s="8"/>
      <c r="C67" s="9" t="n">
        <v>25</v>
      </c>
      <c r="D67" s="9" t="n">
        <v>75</v>
      </c>
      <c r="E67" s="9" t="n">
        <v>220</v>
      </c>
      <c r="F67" s="9" t="n">
        <v>10</v>
      </c>
      <c r="G67" s="9" t="n">
        <v>4</v>
      </c>
      <c r="H67" s="9" t="n">
        <v>2</v>
      </c>
      <c r="I67" s="9" t="n">
        <v>0.5</v>
      </c>
      <c r="J67" s="9" t="n">
        <v>4</v>
      </c>
      <c r="K67" s="9" t="n">
        <f aca="false">C67+3*Assumptions!$B$4*F67+Assumptions!$B$7*G67+H67+I67</f>
        <v>61.5</v>
      </c>
      <c r="L67" s="9" t="n">
        <f aca="false">D67+3*Assumptions!$B$5*F67+Assumptions!$B$8*G67+H67+I67</f>
        <v>139.5</v>
      </c>
      <c r="M67" s="9" t="n">
        <f aca="false">E67+3*Assumptions!$B$6*F67+Assumptions!$B$9*G67+H67+I67</f>
        <v>343.5</v>
      </c>
      <c r="N67" s="9" t="n">
        <f aca="false">IF(AND(Assumptions!$B$17,ISNUMBER(J67)),Assumptions!$B$10*Assumptions!$B$13*J67,0)</f>
        <v>6</v>
      </c>
      <c r="O67" s="9" t="n">
        <f aca="false">IF(AND(Assumptions!$B$17,ISNUMBER(J67)),Assumptions!$B$11*Assumptions!$B$13*J67,0)</f>
        <v>12</v>
      </c>
      <c r="P67" s="9" t="n">
        <f aca="false">IF(AND(Assumptions!$B$17,ISNUMBER(J67)),Assumptions!$B$12*Assumptions!$B$13*J67,0)</f>
        <v>18</v>
      </c>
      <c r="Q67" s="9" t="n">
        <f aca="false">IF(Assumptions!$B$18,Assumptions!$B$14*K67,0)</f>
        <v>6.15</v>
      </c>
      <c r="R67" s="9" t="n">
        <f aca="false">IF(Assumptions!$B$18,Assumptions!$B$15*L67,0)</f>
        <v>27.9</v>
      </c>
      <c r="S67" s="9" t="n">
        <f aca="false">IF(Assumptions!$B$18,Assumptions!$B$16*M67,0)</f>
        <v>120.225</v>
      </c>
      <c r="T67" s="9" t="n">
        <f aca="false">K67+N67+Q67</f>
        <v>73.65</v>
      </c>
      <c r="U67" s="9" t="n">
        <f aca="false">L67+O67+R67</f>
        <v>179.4</v>
      </c>
      <c r="V67" s="9" t="n">
        <f aca="false">M67+P67+S67</f>
        <v>481.725</v>
      </c>
      <c r="W67" s="9" t="n">
        <v>40</v>
      </c>
      <c r="X67" s="9" t="n">
        <v>100</v>
      </c>
      <c r="Y67" s="9" t="n">
        <v>300</v>
      </c>
      <c r="Z67" s="9" t="n">
        <f aca="false">U67-X67</f>
        <v>79.4</v>
      </c>
      <c r="AA67" s="10" t="n">
        <f aca="false">IFERROR((U67-X67)/X67,"")</f>
        <v>0.794</v>
      </c>
      <c r="AB67" s="8" t="str">
        <f aca="false">IF(ISNUMBER(AA67),IF(ABS(AA67)&gt;Assumptions!$B$19,"REVIEW",""),"")</f>
        <v>REVIEW</v>
      </c>
    </row>
    <row r="68" customFormat="false" ht="15" hidden="false" customHeight="false" outlineLevel="0" collapsed="false">
      <c r="A68" s="8" t="s">
        <v>125</v>
      </c>
      <c r="B68" s="8"/>
      <c r="C68" s="9" t="n">
        <v>25</v>
      </c>
      <c r="D68" s="9" t="n">
        <v>70</v>
      </c>
      <c r="E68" s="9" t="n">
        <v>250</v>
      </c>
      <c r="F68" s="9" t="n">
        <v>12</v>
      </c>
      <c r="G68" s="9" t="n">
        <v>8</v>
      </c>
      <c r="H68" s="9" t="n">
        <v>2.5</v>
      </c>
      <c r="I68" s="9" t="n">
        <v>0.3</v>
      </c>
      <c r="J68" s="9" t="n">
        <v>3.5</v>
      </c>
      <c r="K68" s="9" t="n">
        <f aca="false">C68+3*Assumptions!$B$4*F68+Assumptions!$B$7*G68+H68+I68</f>
        <v>71.8</v>
      </c>
      <c r="L68" s="9" t="n">
        <f aca="false">D68+3*Assumptions!$B$5*F68+Assumptions!$B$8*G68+H68+I68</f>
        <v>153.6</v>
      </c>
      <c r="M68" s="9" t="n">
        <f aca="false">E68+3*Assumptions!$B$6*F68+Assumptions!$B$9*G68+H68+I68</f>
        <v>410.8</v>
      </c>
      <c r="N68" s="9" t="n">
        <f aca="false">IF(AND(Assumptions!$B$17,ISNUMBER(J68)),Assumptions!$B$10*Assumptions!$B$13*J68,0)</f>
        <v>5.25</v>
      </c>
      <c r="O68" s="9" t="n">
        <f aca="false">IF(AND(Assumptions!$B$17,ISNUMBER(J68)),Assumptions!$B$11*Assumptions!$B$13*J68,0)</f>
        <v>10.5</v>
      </c>
      <c r="P68" s="9" t="n">
        <f aca="false">IF(AND(Assumptions!$B$17,ISNUMBER(J68)),Assumptions!$B$12*Assumptions!$B$13*J68,0)</f>
        <v>15.75</v>
      </c>
      <c r="Q68" s="9" t="n">
        <f aca="false">IF(Assumptions!$B$18,Assumptions!$B$14*K68,0)</f>
        <v>7.18</v>
      </c>
      <c r="R68" s="9" t="n">
        <f aca="false">IF(Assumptions!$B$18,Assumptions!$B$15*L68,0)</f>
        <v>30.72</v>
      </c>
      <c r="S68" s="9" t="n">
        <f aca="false">IF(Assumptions!$B$18,Assumptions!$B$16*M68,0)</f>
        <v>143.78</v>
      </c>
      <c r="T68" s="9" t="n">
        <f aca="false">K68+N68+Q68</f>
        <v>84.23</v>
      </c>
      <c r="U68" s="9" t="n">
        <f aca="false">L68+O68+R68</f>
        <v>194.82</v>
      </c>
      <c r="V68" s="9" t="n">
        <f aca="false">M68+P68+S68</f>
        <v>570.33</v>
      </c>
      <c r="W68" s="9" t="n">
        <v>30</v>
      </c>
      <c r="X68" s="9" t="n">
        <v>75</v>
      </c>
      <c r="Y68" s="9" t="n">
        <v>250</v>
      </c>
      <c r="Z68" s="9" t="n">
        <f aca="false">U68-X68</f>
        <v>119.82</v>
      </c>
      <c r="AA68" s="10" t="n">
        <f aca="false">IFERROR((U68-X68)/X68,"")</f>
        <v>1.5976</v>
      </c>
      <c r="AB68" s="8" t="str">
        <f aca="false">IF(ISNUMBER(AA68),IF(ABS(AA68)&gt;Assumptions!$B$19,"REVIEW",""),"")</f>
        <v>REVIEW</v>
      </c>
    </row>
    <row r="69" customFormat="false" ht="15" hidden="false" customHeight="false" outlineLevel="0" collapsed="false">
      <c r="A69" s="8" t="s">
        <v>126</v>
      </c>
      <c r="B69" s="8"/>
      <c r="C69" s="9" t="n">
        <v>25</v>
      </c>
      <c r="D69" s="9" t="n">
        <v>60</v>
      </c>
      <c r="E69" s="9" t="n">
        <v>180</v>
      </c>
      <c r="F69" s="9" t="n">
        <v>12</v>
      </c>
      <c r="G69" s="9" t="n">
        <v>12</v>
      </c>
      <c r="H69" s="9" t="n">
        <v>2</v>
      </c>
      <c r="I69" s="9" t="n">
        <v>0.5</v>
      </c>
      <c r="J69" s="9" t="n">
        <v>2.5</v>
      </c>
      <c r="K69" s="9" t="n">
        <f aca="false">C69+3*Assumptions!$B$4*F69+Assumptions!$B$7*G69+H69+I69</f>
        <v>75.5</v>
      </c>
      <c r="L69" s="9" t="n">
        <f aca="false">D69+3*Assumptions!$B$5*F69+Assumptions!$B$8*G69+H69+I69</f>
        <v>151.3</v>
      </c>
      <c r="M69" s="9" t="n">
        <f aca="false">E69+3*Assumptions!$B$6*F69+Assumptions!$B$9*G69+H69+I69</f>
        <v>356.5</v>
      </c>
      <c r="N69" s="9" t="n">
        <f aca="false">IF(AND(Assumptions!$B$17,ISNUMBER(J69)),Assumptions!$B$10*Assumptions!$B$13*J69,0)</f>
        <v>3.75</v>
      </c>
      <c r="O69" s="9" t="n">
        <f aca="false">IF(AND(Assumptions!$B$17,ISNUMBER(J69)),Assumptions!$B$11*Assumptions!$B$13*J69,0)</f>
        <v>7.5</v>
      </c>
      <c r="P69" s="9" t="n">
        <f aca="false">IF(AND(Assumptions!$B$17,ISNUMBER(J69)),Assumptions!$B$12*Assumptions!$B$13*J69,0)</f>
        <v>11.25</v>
      </c>
      <c r="Q69" s="9" t="n">
        <f aca="false">IF(Assumptions!$B$18,Assumptions!$B$14*K69,0)</f>
        <v>7.55</v>
      </c>
      <c r="R69" s="9" t="n">
        <f aca="false">IF(Assumptions!$B$18,Assumptions!$B$15*L69,0)</f>
        <v>30.26</v>
      </c>
      <c r="S69" s="9" t="n">
        <f aca="false">IF(Assumptions!$B$18,Assumptions!$B$16*M69,0)</f>
        <v>124.775</v>
      </c>
      <c r="T69" s="9" t="n">
        <f aca="false">K69+N69+Q69</f>
        <v>86.8</v>
      </c>
      <c r="U69" s="9" t="n">
        <f aca="false">L69+O69+R69</f>
        <v>189.06</v>
      </c>
      <c r="V69" s="9" t="n">
        <f aca="false">M69+P69+S69</f>
        <v>492.525</v>
      </c>
      <c r="W69" s="9" t="n">
        <v>35</v>
      </c>
      <c r="X69" s="9" t="n">
        <v>85</v>
      </c>
      <c r="Y69" s="9" t="n">
        <v>280</v>
      </c>
      <c r="Z69" s="9" t="n">
        <f aca="false">U69-X69</f>
        <v>104.06</v>
      </c>
      <c r="AA69" s="10" t="n">
        <f aca="false">IFERROR((U69-X69)/X69,"")</f>
        <v>1.22423529411765</v>
      </c>
      <c r="AB69" s="8" t="str">
        <f aca="false">IF(ISNUMBER(AA69),IF(ABS(AA69)&gt;Assumptions!$B$19,"REVIEW",""),"")</f>
        <v>REVIEW</v>
      </c>
    </row>
    <row r="70" customFormat="false" ht="15" hidden="false" customHeight="false" outlineLevel="0" collapsed="false">
      <c r="A70" s="8" t="s">
        <v>127</v>
      </c>
      <c r="B70" s="8" t="s">
        <v>60</v>
      </c>
      <c r="C70" s="9" t="n">
        <v>20</v>
      </c>
      <c r="D70" s="9" t="n">
        <v>70</v>
      </c>
      <c r="E70" s="9" t="n">
        <v>180</v>
      </c>
      <c r="F70" s="9" t="n">
        <v>6</v>
      </c>
      <c r="G70" s="9" t="n">
        <v>4</v>
      </c>
      <c r="H70" s="9" t="n">
        <v>2.5</v>
      </c>
      <c r="I70" s="9" t="n">
        <v>0.3</v>
      </c>
      <c r="J70" s="9"/>
      <c r="K70" s="9" t="n">
        <f aca="false">C70+3*Assumptions!$B$4*F70+Assumptions!$B$7*G70+H70+I70</f>
        <v>44.8</v>
      </c>
      <c r="L70" s="9" t="n">
        <f aca="false">D70+3*Assumptions!$B$5*F70+Assumptions!$B$8*G70+H70+I70</f>
        <v>113.2</v>
      </c>
      <c r="M70" s="9" t="n">
        <f aca="false">E70+3*Assumptions!$B$6*F70+Assumptions!$B$9*G70+H70+I70</f>
        <v>261.8</v>
      </c>
      <c r="N70" s="9" t="n">
        <f aca="false">IF(AND(Assumptions!$B$17,ISNUMBER(J70)),Assumptions!$B$10*Assumptions!$B$13*J70,0)</f>
        <v>0</v>
      </c>
      <c r="O70" s="9" t="n">
        <f aca="false">IF(AND(Assumptions!$B$17,ISNUMBER(J70)),Assumptions!$B$11*Assumptions!$B$13*J70,0)</f>
        <v>0</v>
      </c>
      <c r="P70" s="9" t="n">
        <f aca="false">IF(AND(Assumptions!$B$17,ISNUMBER(J70)),Assumptions!$B$12*Assumptions!$B$13*J70,0)</f>
        <v>0</v>
      </c>
      <c r="Q70" s="9" t="n">
        <f aca="false">IF(Assumptions!$B$18,Assumptions!$B$14*K70,0)</f>
        <v>4.48</v>
      </c>
      <c r="R70" s="9" t="n">
        <f aca="false">IF(Assumptions!$B$18,Assumptions!$B$15*L70,0)</f>
        <v>22.64</v>
      </c>
      <c r="S70" s="9" t="n">
        <f aca="false">IF(Assumptions!$B$18,Assumptions!$B$16*M70,0)</f>
        <v>91.63</v>
      </c>
      <c r="T70" s="9" t="n">
        <f aca="false">K70+N70+Q70</f>
        <v>49.28</v>
      </c>
      <c r="U70" s="9" t="n">
        <f aca="false">L70+O70+R70</f>
        <v>135.84</v>
      </c>
      <c r="V70" s="9" t="n">
        <f aca="false">M70+P70+S70</f>
        <v>353.43</v>
      </c>
      <c r="W70" s="9" t="n">
        <v>30</v>
      </c>
      <c r="X70" s="9" t="n">
        <v>80</v>
      </c>
      <c r="Y70" s="9" t="n">
        <v>240</v>
      </c>
      <c r="Z70" s="9" t="n">
        <f aca="false">U70-X70</f>
        <v>55.84</v>
      </c>
      <c r="AA70" s="10" t="n">
        <f aca="false">IFERROR((U70-X70)/X70,"")</f>
        <v>0.698</v>
      </c>
      <c r="AB70" s="8" t="str">
        <f aca="false">IF(ISNUMBER(AA70),IF(ABS(AA70)&gt;Assumptions!$B$19,"REVIEW",""),"")</f>
        <v>REVIEW</v>
      </c>
    </row>
    <row r="71" customFormat="false" ht="15" hidden="false" customHeight="false" outlineLevel="0" collapsed="false">
      <c r="A71" s="8" t="s">
        <v>128</v>
      </c>
      <c r="B71" s="8"/>
      <c r="C71" s="9" t="n">
        <v>20</v>
      </c>
      <c r="D71" s="9" t="n">
        <v>70</v>
      </c>
      <c r="E71" s="9" t="n">
        <v>150</v>
      </c>
      <c r="F71" s="9" t="n">
        <v>10</v>
      </c>
      <c r="G71" s="9" t="n">
        <v>4</v>
      </c>
      <c r="H71" s="9" t="n">
        <v>2</v>
      </c>
      <c r="I71" s="9" t="n">
        <v>1</v>
      </c>
      <c r="J71" s="9" t="n">
        <v>3.5</v>
      </c>
      <c r="K71" s="9" t="n">
        <f aca="false">C71+3*Assumptions!$B$4*F71+Assumptions!$B$7*G71+H71+I71</f>
        <v>57</v>
      </c>
      <c r="L71" s="9" t="n">
        <f aca="false">D71+3*Assumptions!$B$5*F71+Assumptions!$B$8*G71+H71+I71</f>
        <v>135</v>
      </c>
      <c r="M71" s="9" t="n">
        <f aca="false">E71+3*Assumptions!$B$6*F71+Assumptions!$B$9*G71+H71+I71</f>
        <v>274</v>
      </c>
      <c r="N71" s="9" t="n">
        <f aca="false">IF(AND(Assumptions!$B$17,ISNUMBER(J71)),Assumptions!$B$10*Assumptions!$B$13*J71,0)</f>
        <v>5.25</v>
      </c>
      <c r="O71" s="9" t="n">
        <f aca="false">IF(AND(Assumptions!$B$17,ISNUMBER(J71)),Assumptions!$B$11*Assumptions!$B$13*J71,0)</f>
        <v>10.5</v>
      </c>
      <c r="P71" s="9" t="n">
        <f aca="false">IF(AND(Assumptions!$B$17,ISNUMBER(J71)),Assumptions!$B$12*Assumptions!$B$13*J71,0)</f>
        <v>15.75</v>
      </c>
      <c r="Q71" s="9" t="n">
        <f aca="false">IF(Assumptions!$B$18,Assumptions!$B$14*K71,0)</f>
        <v>5.7</v>
      </c>
      <c r="R71" s="9" t="n">
        <f aca="false">IF(Assumptions!$B$18,Assumptions!$B$15*L71,0)</f>
        <v>27</v>
      </c>
      <c r="S71" s="9" t="n">
        <f aca="false">IF(Assumptions!$B$18,Assumptions!$B$16*M71,0)</f>
        <v>95.9</v>
      </c>
      <c r="T71" s="9" t="n">
        <f aca="false">K71+N71+Q71</f>
        <v>67.95</v>
      </c>
      <c r="U71" s="9" t="n">
        <f aca="false">L71+O71+R71</f>
        <v>172.5</v>
      </c>
      <c r="V71" s="9" t="n">
        <f aca="false">M71+P71+S71</f>
        <v>385.65</v>
      </c>
      <c r="W71" s="9" t="n">
        <v>35</v>
      </c>
      <c r="X71" s="9" t="n">
        <v>85</v>
      </c>
      <c r="Y71" s="9" t="n">
        <v>260</v>
      </c>
      <c r="Z71" s="9" t="n">
        <f aca="false">U71-X71</f>
        <v>87.5</v>
      </c>
      <c r="AA71" s="10" t="n">
        <f aca="false">IFERROR((U71-X71)/X71,"")</f>
        <v>1.02941176470588</v>
      </c>
      <c r="AB71" s="8" t="str">
        <f aca="false">IF(ISNUMBER(AA71),IF(ABS(AA71)&gt;Assumptions!$B$19,"REVIEW",""),"")</f>
        <v>REVIEW</v>
      </c>
    </row>
    <row r="72" customFormat="false" ht="15" hidden="false" customHeight="false" outlineLevel="0" collapsed="false">
      <c r="A72" s="8" t="s">
        <v>129</v>
      </c>
      <c r="B72" s="8"/>
      <c r="C72" s="9" t="n">
        <v>30</v>
      </c>
      <c r="D72" s="9" t="n">
        <v>90</v>
      </c>
      <c r="E72" s="9" t="n">
        <v>260</v>
      </c>
      <c r="F72" s="9" t="n">
        <v>12</v>
      </c>
      <c r="G72" s="9" t="n">
        <v>5</v>
      </c>
      <c r="H72" s="9" t="n">
        <v>2.5</v>
      </c>
      <c r="I72" s="9" t="n">
        <v>1</v>
      </c>
      <c r="J72" s="9" t="n">
        <v>5</v>
      </c>
      <c r="K72" s="9" t="n">
        <f aca="false">C72+3*Assumptions!$B$4*F72+Assumptions!$B$7*G72+H72+I72</f>
        <v>74.5</v>
      </c>
      <c r="L72" s="9" t="n">
        <f aca="false">D72+3*Assumptions!$B$5*F72+Assumptions!$B$8*G72+H72+I72</f>
        <v>168.3</v>
      </c>
      <c r="M72" s="9" t="n">
        <f aca="false">E72+3*Assumptions!$B$6*F72+Assumptions!$B$9*G72+H72+I72</f>
        <v>409.5</v>
      </c>
      <c r="N72" s="9" t="n">
        <f aca="false">IF(AND(Assumptions!$B$17,ISNUMBER(J72)),Assumptions!$B$10*Assumptions!$B$13*J72,0)</f>
        <v>7.5</v>
      </c>
      <c r="O72" s="9" t="n">
        <f aca="false">IF(AND(Assumptions!$B$17,ISNUMBER(J72)),Assumptions!$B$11*Assumptions!$B$13*J72,0)</f>
        <v>15</v>
      </c>
      <c r="P72" s="9" t="n">
        <f aca="false">IF(AND(Assumptions!$B$17,ISNUMBER(J72)),Assumptions!$B$12*Assumptions!$B$13*J72,0)</f>
        <v>22.5</v>
      </c>
      <c r="Q72" s="9" t="n">
        <f aca="false">IF(Assumptions!$B$18,Assumptions!$B$14*K72,0)</f>
        <v>7.45</v>
      </c>
      <c r="R72" s="9" t="n">
        <f aca="false">IF(Assumptions!$B$18,Assumptions!$B$15*L72,0)</f>
        <v>33.66</v>
      </c>
      <c r="S72" s="9" t="n">
        <f aca="false">IF(Assumptions!$B$18,Assumptions!$B$16*M72,0)</f>
        <v>143.325</v>
      </c>
      <c r="T72" s="9" t="n">
        <f aca="false">K72+N72+Q72</f>
        <v>89.45</v>
      </c>
      <c r="U72" s="9" t="n">
        <f aca="false">L72+O72+R72</f>
        <v>216.96</v>
      </c>
      <c r="V72" s="9" t="n">
        <f aca="false">M72+P72+S72</f>
        <v>575.325</v>
      </c>
      <c r="W72" s="9" t="n">
        <v>45</v>
      </c>
      <c r="X72" s="9" t="n">
        <v>110</v>
      </c>
      <c r="Y72" s="9" t="n">
        <v>340</v>
      </c>
      <c r="Z72" s="9" t="n">
        <f aca="false">U72-X72</f>
        <v>106.96</v>
      </c>
      <c r="AA72" s="10" t="n">
        <f aca="false">IFERROR((U72-X72)/X72,"")</f>
        <v>0.972363636363636</v>
      </c>
      <c r="AB72" s="8" t="str">
        <f aca="false">IF(ISNUMBER(AA72),IF(ABS(AA72)&gt;Assumptions!$B$19,"REVIEW",""),"")</f>
        <v>REVIEW</v>
      </c>
    </row>
    <row r="73" customFormat="false" ht="15" hidden="false" customHeight="false" outlineLevel="0" collapsed="false">
      <c r="A73" s="8" t="s">
        <v>130</v>
      </c>
      <c r="B73" s="8" t="s">
        <v>60</v>
      </c>
      <c r="C73" s="9" t="n">
        <v>80</v>
      </c>
      <c r="D73" s="9" t="n">
        <v>150</v>
      </c>
      <c r="E73" s="9" t="n">
        <v>400</v>
      </c>
      <c r="F73" s="9" t="n">
        <v>30</v>
      </c>
      <c r="G73" s="9" t="n">
        <v>15</v>
      </c>
      <c r="H73" s="9" t="n">
        <v>5</v>
      </c>
      <c r="I73" s="9" t="n">
        <v>1</v>
      </c>
      <c r="J73" s="9"/>
      <c r="K73" s="9" t="n">
        <f aca="false">C73+3*Assumptions!$B$4*F73+Assumptions!$B$7*G73+H73+I73</f>
        <v>191</v>
      </c>
      <c r="L73" s="9" t="n">
        <f aca="false">D73+3*Assumptions!$B$5*F73+Assumptions!$B$8*G73+H73+I73</f>
        <v>348</v>
      </c>
      <c r="M73" s="9" t="n">
        <f aca="false">E73+3*Assumptions!$B$6*F73+Assumptions!$B$9*G73+H73+I73</f>
        <v>781</v>
      </c>
      <c r="N73" s="9" t="n">
        <f aca="false">IF(AND(Assumptions!$B$17,ISNUMBER(J73)),Assumptions!$B$10*Assumptions!$B$13*J73,0)</f>
        <v>0</v>
      </c>
      <c r="O73" s="9" t="n">
        <f aca="false">IF(AND(Assumptions!$B$17,ISNUMBER(J73)),Assumptions!$B$11*Assumptions!$B$13*J73,0)</f>
        <v>0</v>
      </c>
      <c r="P73" s="9" t="n">
        <f aca="false">IF(AND(Assumptions!$B$17,ISNUMBER(J73)),Assumptions!$B$12*Assumptions!$B$13*J73,0)</f>
        <v>0</v>
      </c>
      <c r="Q73" s="9" t="n">
        <f aca="false">IF(Assumptions!$B$18,Assumptions!$B$14*K73,0)</f>
        <v>19.1</v>
      </c>
      <c r="R73" s="9" t="n">
        <f aca="false">IF(Assumptions!$B$18,Assumptions!$B$15*L73,0)</f>
        <v>69.6</v>
      </c>
      <c r="S73" s="9" t="n">
        <f aca="false">IF(Assumptions!$B$18,Assumptions!$B$16*M73,0)</f>
        <v>273.35</v>
      </c>
      <c r="T73" s="9" t="n">
        <f aca="false">K73+N73+Q73</f>
        <v>210.1</v>
      </c>
      <c r="U73" s="9" t="n">
        <f aca="false">L73+O73+R73</f>
        <v>417.6</v>
      </c>
      <c r="V73" s="9" t="n">
        <f aca="false">M73+P73+S73</f>
        <v>1054.35</v>
      </c>
      <c r="W73" s="9" t="n">
        <v>70</v>
      </c>
      <c r="X73" s="9" t="n">
        <v>180</v>
      </c>
      <c r="Y73" s="9" t="n">
        <v>550</v>
      </c>
      <c r="Z73" s="9" t="n">
        <f aca="false">U73-X73</f>
        <v>237.6</v>
      </c>
      <c r="AA73" s="10" t="n">
        <f aca="false">IFERROR((U73-X73)/X73,"")</f>
        <v>1.32</v>
      </c>
      <c r="AB73" s="8" t="str">
        <f aca="false">IF(ISNUMBER(AA73),IF(ABS(AA73)&gt;Assumptions!$B$19,"REVIEW",""),"")</f>
        <v>REVIEW</v>
      </c>
    </row>
    <row r="74" customFormat="false" ht="15" hidden="false" customHeight="false" outlineLevel="0" collapsed="false">
      <c r="A74" s="8" t="s">
        <v>131</v>
      </c>
      <c r="B74" s="8"/>
      <c r="C74" s="9" t="n">
        <v>20</v>
      </c>
      <c r="D74" s="9" t="n">
        <v>55</v>
      </c>
      <c r="E74" s="9" t="n">
        <v>130</v>
      </c>
      <c r="F74" s="9" t="n">
        <v>6</v>
      </c>
      <c r="G74" s="9" t="n">
        <v>4</v>
      </c>
      <c r="H74" s="9" t="n">
        <v>3.5</v>
      </c>
      <c r="I74" s="9" t="n">
        <v>0.4</v>
      </c>
      <c r="J74" s="9" t="n">
        <v>1.5</v>
      </c>
      <c r="K74" s="9" t="n">
        <f aca="false">C74+3*Assumptions!$B$4*F74+Assumptions!$B$7*G74+H74+I74</f>
        <v>45.9</v>
      </c>
      <c r="L74" s="9" t="n">
        <f aca="false">D74+3*Assumptions!$B$5*F74+Assumptions!$B$8*G74+H74+I74</f>
        <v>99.3</v>
      </c>
      <c r="M74" s="9" t="n">
        <f aca="false">E74+3*Assumptions!$B$6*F74+Assumptions!$B$9*G74+H74+I74</f>
        <v>212.9</v>
      </c>
      <c r="N74" s="9" t="n">
        <f aca="false">IF(AND(Assumptions!$B$17,ISNUMBER(J74)),Assumptions!$B$10*Assumptions!$B$13*J74,0)</f>
        <v>2.25</v>
      </c>
      <c r="O74" s="9" t="n">
        <f aca="false">IF(AND(Assumptions!$B$17,ISNUMBER(J74)),Assumptions!$B$11*Assumptions!$B$13*J74,0)</f>
        <v>4.5</v>
      </c>
      <c r="P74" s="9" t="n">
        <f aca="false">IF(AND(Assumptions!$B$17,ISNUMBER(J74)),Assumptions!$B$12*Assumptions!$B$13*J74,0)</f>
        <v>6.75</v>
      </c>
      <c r="Q74" s="9" t="n">
        <f aca="false">IF(Assumptions!$B$18,Assumptions!$B$14*K74,0)</f>
        <v>4.59</v>
      </c>
      <c r="R74" s="9" t="n">
        <f aca="false">IF(Assumptions!$B$18,Assumptions!$B$15*L74,0)</f>
        <v>19.86</v>
      </c>
      <c r="S74" s="9" t="n">
        <f aca="false">IF(Assumptions!$B$18,Assumptions!$B$16*M74,0)</f>
        <v>74.515</v>
      </c>
      <c r="T74" s="9" t="n">
        <f aca="false">K74+N74+Q74</f>
        <v>52.74</v>
      </c>
      <c r="U74" s="9" t="n">
        <f aca="false">L74+O74+R74</f>
        <v>123.66</v>
      </c>
      <c r="V74" s="9" t="n">
        <f aca="false">M74+P74+S74</f>
        <v>294.165</v>
      </c>
      <c r="W74" s="9" t="n">
        <v>30</v>
      </c>
      <c r="X74" s="9" t="n">
        <v>75</v>
      </c>
      <c r="Y74" s="9" t="n">
        <v>200</v>
      </c>
      <c r="Z74" s="9" t="n">
        <f aca="false">U74-X74</f>
        <v>48.66</v>
      </c>
      <c r="AA74" s="10" t="n">
        <f aca="false">IFERROR((U74-X74)/X74,"")</f>
        <v>0.6488</v>
      </c>
      <c r="AB74" s="8" t="str">
        <f aca="false">IF(ISNUMBER(AA74),IF(ABS(AA74)&gt;Assumptions!$B$19,"REVIEW",""),"")</f>
        <v>REVIEW</v>
      </c>
    </row>
    <row r="75" customFormat="false" ht="15" hidden="false" customHeight="false" outlineLevel="0" collapsed="false">
      <c r="A75" s="8" t="s">
        <v>132</v>
      </c>
      <c r="B75" s="8"/>
      <c r="C75" s="9" t="n">
        <v>30</v>
      </c>
      <c r="D75" s="9" t="n">
        <v>75</v>
      </c>
      <c r="E75" s="9" t="n">
        <v>250</v>
      </c>
      <c r="F75" s="9" t="n">
        <v>10</v>
      </c>
      <c r="G75" s="9" t="n">
        <v>5</v>
      </c>
      <c r="H75" s="9" t="n">
        <v>2.5</v>
      </c>
      <c r="I75" s="9" t="n">
        <v>0.6</v>
      </c>
      <c r="J75" s="9" t="n">
        <v>2</v>
      </c>
      <c r="K75" s="9" t="n">
        <f aca="false">C75+3*Assumptions!$B$4*F75+Assumptions!$B$7*G75+H75+I75</f>
        <v>68.1</v>
      </c>
      <c r="L75" s="9" t="n">
        <f aca="false">D75+3*Assumptions!$B$5*F75+Assumptions!$B$8*G75+H75+I75</f>
        <v>142.1</v>
      </c>
      <c r="M75" s="9" t="n">
        <f aca="false">E75+3*Assumptions!$B$6*F75+Assumptions!$B$9*G75+H75+I75</f>
        <v>378.1</v>
      </c>
      <c r="N75" s="9" t="n">
        <f aca="false">IF(AND(Assumptions!$B$17,ISNUMBER(J75)),Assumptions!$B$10*Assumptions!$B$13*J75,0)</f>
        <v>3</v>
      </c>
      <c r="O75" s="9" t="n">
        <f aca="false">IF(AND(Assumptions!$B$17,ISNUMBER(J75)),Assumptions!$B$11*Assumptions!$B$13*J75,0)</f>
        <v>6</v>
      </c>
      <c r="P75" s="9" t="n">
        <f aca="false">IF(AND(Assumptions!$B$17,ISNUMBER(J75)),Assumptions!$B$12*Assumptions!$B$13*J75,0)</f>
        <v>9</v>
      </c>
      <c r="Q75" s="9" t="n">
        <f aca="false">IF(Assumptions!$B$18,Assumptions!$B$14*K75,0)</f>
        <v>6.81</v>
      </c>
      <c r="R75" s="9" t="n">
        <f aca="false">IF(Assumptions!$B$18,Assumptions!$B$15*L75,0)</f>
        <v>28.42</v>
      </c>
      <c r="S75" s="9" t="n">
        <f aca="false">IF(Assumptions!$B$18,Assumptions!$B$16*M75,0)</f>
        <v>132.335</v>
      </c>
      <c r="T75" s="9" t="n">
        <f aca="false">K75+N75+Q75</f>
        <v>77.91</v>
      </c>
      <c r="U75" s="9" t="n">
        <f aca="false">L75+O75+R75</f>
        <v>176.52</v>
      </c>
      <c r="V75" s="9" t="n">
        <f aca="false">M75+P75+S75</f>
        <v>519.435</v>
      </c>
      <c r="W75" s="9" t="n">
        <v>40</v>
      </c>
      <c r="X75" s="9" t="n">
        <v>105</v>
      </c>
      <c r="Y75" s="9" t="n">
        <v>320</v>
      </c>
      <c r="Z75" s="9" t="n">
        <f aca="false">U75-X75</f>
        <v>71.52</v>
      </c>
      <c r="AA75" s="10" t="n">
        <f aca="false">IFERROR((U75-X75)/X75,"")</f>
        <v>0.681142857142857</v>
      </c>
      <c r="AB75" s="8" t="str">
        <f aca="false">IF(ISNUMBER(AA75),IF(ABS(AA75)&gt;Assumptions!$B$19,"REVIEW",""),"")</f>
        <v>REVIEW</v>
      </c>
    </row>
    <row r="76" customFormat="false" ht="15" hidden="false" customHeight="false" outlineLevel="0" collapsed="false">
      <c r="A76" s="8" t="s">
        <v>133</v>
      </c>
      <c r="B76" s="8" t="s">
        <v>60</v>
      </c>
      <c r="C76" s="9" t="n">
        <v>50</v>
      </c>
      <c r="D76" s="9" t="n">
        <v>120</v>
      </c>
      <c r="E76" s="9" t="n">
        <v>350</v>
      </c>
      <c r="F76" s="9" t="n">
        <v>25</v>
      </c>
      <c r="G76" s="9" t="n">
        <v>8</v>
      </c>
      <c r="H76" s="9" t="n">
        <v>4.5</v>
      </c>
      <c r="I76" s="9" t="n">
        <v>0.5</v>
      </c>
      <c r="J76" s="9"/>
      <c r="K76" s="9" t="n">
        <f aca="false">C76+3*Assumptions!$B$4*F76+Assumptions!$B$7*G76+H76+I76</f>
        <v>138</v>
      </c>
      <c r="L76" s="9" t="n">
        <f aca="false">D76+3*Assumptions!$B$5*F76+Assumptions!$B$8*G76+H76+I76</f>
        <v>276</v>
      </c>
      <c r="M76" s="9" t="n">
        <f aca="false">E76+3*Assumptions!$B$6*F76+Assumptions!$B$9*G76+H76+I76</f>
        <v>649.5</v>
      </c>
      <c r="N76" s="9" t="n">
        <f aca="false">IF(AND(Assumptions!$B$17,ISNUMBER(J76)),Assumptions!$B$10*Assumptions!$B$13*J76,0)</f>
        <v>0</v>
      </c>
      <c r="O76" s="9" t="n">
        <f aca="false">IF(AND(Assumptions!$B$17,ISNUMBER(J76)),Assumptions!$B$11*Assumptions!$B$13*J76,0)</f>
        <v>0</v>
      </c>
      <c r="P76" s="9" t="n">
        <f aca="false">IF(AND(Assumptions!$B$17,ISNUMBER(J76)),Assumptions!$B$12*Assumptions!$B$13*J76,0)</f>
        <v>0</v>
      </c>
      <c r="Q76" s="9" t="n">
        <f aca="false">IF(Assumptions!$B$18,Assumptions!$B$14*K76,0)</f>
        <v>13.8</v>
      </c>
      <c r="R76" s="9" t="n">
        <f aca="false">IF(Assumptions!$B$18,Assumptions!$B$15*L76,0)</f>
        <v>55.2</v>
      </c>
      <c r="S76" s="9" t="n">
        <f aca="false">IF(Assumptions!$B$18,Assumptions!$B$16*M76,0)</f>
        <v>227.325</v>
      </c>
      <c r="T76" s="9" t="n">
        <f aca="false">K76+N76+Q76</f>
        <v>151.8</v>
      </c>
      <c r="U76" s="9" t="n">
        <f aca="false">L76+O76+R76</f>
        <v>331.2</v>
      </c>
      <c r="V76" s="9" t="n">
        <f aca="false">M76+P76+S76</f>
        <v>876.825</v>
      </c>
      <c r="W76" s="9" t="n">
        <v>75</v>
      </c>
      <c r="X76" s="9" t="n">
        <v>200</v>
      </c>
      <c r="Y76" s="9" t="n">
        <v>650</v>
      </c>
      <c r="Z76" s="9" t="n">
        <f aca="false">U76-X76</f>
        <v>131.2</v>
      </c>
      <c r="AA76" s="10" t="n">
        <f aca="false">IFERROR((U76-X76)/X76,"")</f>
        <v>0.656</v>
      </c>
      <c r="AB76" s="8" t="str">
        <f aca="false">IF(ISNUMBER(AA76),IF(ABS(AA76)&gt;Assumptions!$B$19,"REVIEW",""),"")</f>
        <v>REVIEW</v>
      </c>
    </row>
    <row r="77" customFormat="false" ht="15" hidden="false" customHeight="false" outlineLevel="0" collapsed="false">
      <c r="A77" s="8" t="s">
        <v>134</v>
      </c>
      <c r="B77" s="8"/>
      <c r="C77" s="9" t="n">
        <v>90</v>
      </c>
      <c r="D77" s="9" t="n">
        <v>160</v>
      </c>
      <c r="E77" s="9" t="n">
        <v>350</v>
      </c>
      <c r="F77" s="9" t="n">
        <v>25</v>
      </c>
      <c r="G77" s="9" t="n">
        <v>30</v>
      </c>
      <c r="H77" s="9" t="n">
        <v>3.5</v>
      </c>
      <c r="I77" s="9" t="n">
        <v>2</v>
      </c>
      <c r="J77" s="9" t="n">
        <v>6.5</v>
      </c>
      <c r="K77" s="9" t="n">
        <f aca="false">C77+3*Assumptions!$B$4*F77+Assumptions!$B$7*G77+H77+I77</f>
        <v>200.5</v>
      </c>
      <c r="L77" s="9" t="n">
        <f aca="false">D77+3*Assumptions!$B$5*F77+Assumptions!$B$8*G77+H77+I77</f>
        <v>360.5</v>
      </c>
      <c r="M77" s="9" t="n">
        <f aca="false">E77+3*Assumptions!$B$6*F77+Assumptions!$B$9*G77+H77+I77</f>
        <v>738</v>
      </c>
      <c r="N77" s="9" t="n">
        <f aca="false">IF(AND(Assumptions!$B$17,ISNUMBER(J77)),Assumptions!$B$10*Assumptions!$B$13*J77,0)</f>
        <v>9.75</v>
      </c>
      <c r="O77" s="9" t="n">
        <f aca="false">IF(AND(Assumptions!$B$17,ISNUMBER(J77)),Assumptions!$B$11*Assumptions!$B$13*J77,0)</f>
        <v>19.5</v>
      </c>
      <c r="P77" s="9" t="n">
        <f aca="false">IF(AND(Assumptions!$B$17,ISNUMBER(J77)),Assumptions!$B$12*Assumptions!$B$13*J77,0)</f>
        <v>29.25</v>
      </c>
      <c r="Q77" s="9" t="n">
        <f aca="false">IF(Assumptions!$B$18,Assumptions!$B$14*K77,0)</f>
        <v>20.05</v>
      </c>
      <c r="R77" s="9" t="n">
        <f aca="false">IF(Assumptions!$B$18,Assumptions!$B$15*L77,0)</f>
        <v>72.1</v>
      </c>
      <c r="S77" s="9" t="n">
        <f aca="false">IF(Assumptions!$B$18,Assumptions!$B$16*M77,0)</f>
        <v>258.3</v>
      </c>
      <c r="T77" s="9" t="n">
        <f aca="false">K77+N77+Q77</f>
        <v>230.3</v>
      </c>
      <c r="U77" s="9" t="n">
        <f aca="false">L77+O77+R77</f>
        <v>452.1</v>
      </c>
      <c r="V77" s="9" t="n">
        <f aca="false">M77+P77+S77</f>
        <v>1025.55</v>
      </c>
      <c r="W77" s="9" t="n">
        <v>85</v>
      </c>
      <c r="X77" s="9" t="n">
        <v>210</v>
      </c>
      <c r="Y77" s="9" t="n">
        <v>580</v>
      </c>
      <c r="Z77" s="9" t="n">
        <f aca="false">U77-X77</f>
        <v>242.1</v>
      </c>
      <c r="AA77" s="10" t="n">
        <f aca="false">IFERROR((U77-X77)/X77,"")</f>
        <v>1.15285714285714</v>
      </c>
      <c r="AB77" s="8" t="str">
        <f aca="false">IF(ISNUMBER(AA77),IF(ABS(AA77)&gt;Assumptions!$B$19,"REVIEW",""),"")</f>
        <v>REVIEW</v>
      </c>
    </row>
    <row r="78" customFormat="false" ht="15" hidden="false" customHeight="false" outlineLevel="0" collapsed="false">
      <c r="A78" s="8" t="s">
        <v>135</v>
      </c>
      <c r="B78" s="8"/>
      <c r="C78" s="9" t="n">
        <v>50</v>
      </c>
      <c r="D78" s="9" t="n">
        <v>160</v>
      </c>
      <c r="E78" s="9" t="n">
        <v>420</v>
      </c>
      <c r="F78" s="9" t="n">
        <v>25</v>
      </c>
      <c r="G78" s="9" t="n">
        <v>15</v>
      </c>
      <c r="H78" s="9" t="n">
        <v>3</v>
      </c>
      <c r="I78" s="9" t="n">
        <v>2</v>
      </c>
      <c r="J78" s="9" t="n">
        <v>4.5</v>
      </c>
      <c r="K78" s="9" t="n">
        <f aca="false">C78+3*Assumptions!$B$4*F78+Assumptions!$B$7*G78+H78+I78</f>
        <v>145</v>
      </c>
      <c r="L78" s="9" t="n">
        <f aca="false">D78+3*Assumptions!$B$5*F78+Assumptions!$B$8*G78+H78+I78</f>
        <v>330</v>
      </c>
      <c r="M78" s="9" t="n">
        <f aca="false">E78+3*Assumptions!$B$6*F78+Assumptions!$B$9*G78+H78+I78</f>
        <v>747.5</v>
      </c>
      <c r="N78" s="9" t="n">
        <f aca="false">IF(AND(Assumptions!$B$17,ISNUMBER(J78)),Assumptions!$B$10*Assumptions!$B$13*J78,0)</f>
        <v>6.75</v>
      </c>
      <c r="O78" s="9" t="n">
        <f aca="false">IF(AND(Assumptions!$B$17,ISNUMBER(J78)),Assumptions!$B$11*Assumptions!$B$13*J78,0)</f>
        <v>13.5</v>
      </c>
      <c r="P78" s="9" t="n">
        <f aca="false">IF(AND(Assumptions!$B$17,ISNUMBER(J78)),Assumptions!$B$12*Assumptions!$B$13*J78,0)</f>
        <v>20.25</v>
      </c>
      <c r="Q78" s="9" t="n">
        <f aca="false">IF(Assumptions!$B$18,Assumptions!$B$14*K78,0)</f>
        <v>14.5</v>
      </c>
      <c r="R78" s="9" t="n">
        <f aca="false">IF(Assumptions!$B$18,Assumptions!$B$15*L78,0)</f>
        <v>66</v>
      </c>
      <c r="S78" s="9" t="n">
        <f aca="false">IF(Assumptions!$B$18,Assumptions!$B$16*M78,0)</f>
        <v>261.625</v>
      </c>
      <c r="T78" s="9" t="n">
        <f aca="false">K78+N78+Q78</f>
        <v>166.25</v>
      </c>
      <c r="U78" s="9" t="n">
        <f aca="false">L78+O78+R78</f>
        <v>409.5</v>
      </c>
      <c r="V78" s="9" t="n">
        <f aca="false">M78+P78+S78</f>
        <v>1029.375</v>
      </c>
      <c r="W78" s="9" t="n">
        <v>70</v>
      </c>
      <c r="X78" s="9" t="n">
        <v>180</v>
      </c>
      <c r="Y78" s="9" t="n">
        <v>545</v>
      </c>
      <c r="Z78" s="9" t="n">
        <f aca="false">U78-X78</f>
        <v>229.5</v>
      </c>
      <c r="AA78" s="10" t="n">
        <f aca="false">IFERROR((U78-X78)/X78,"")</f>
        <v>1.275</v>
      </c>
      <c r="AB78" s="8" t="str">
        <f aca="false">IF(ISNUMBER(AA78),IF(ABS(AA78)&gt;Assumptions!$B$19,"REVIEW",""),"")</f>
        <v>REVIEW</v>
      </c>
    </row>
    <row r="79" customFormat="false" ht="15" hidden="false" customHeight="false" outlineLevel="0" collapsed="false">
      <c r="A79" s="8" t="s">
        <v>136</v>
      </c>
      <c r="B79" s="8"/>
      <c r="C79" s="9" t="n">
        <v>15</v>
      </c>
      <c r="D79" s="9" t="n">
        <v>55</v>
      </c>
      <c r="E79" s="9" t="n">
        <v>180</v>
      </c>
      <c r="F79" s="9" t="n">
        <v>10</v>
      </c>
      <c r="G79" s="9" t="n">
        <v>3</v>
      </c>
      <c r="H79" s="9" t="n">
        <v>2</v>
      </c>
      <c r="I79" s="9" t="n">
        <v>0.5</v>
      </c>
      <c r="J79" s="9" t="n">
        <v>1.5</v>
      </c>
      <c r="K79" s="9" t="n">
        <f aca="false">C79+3*Assumptions!$B$4*F79+Assumptions!$B$7*G79+H79+I79</f>
        <v>50.5</v>
      </c>
      <c r="L79" s="9" t="n">
        <f aca="false">D79+3*Assumptions!$B$5*F79+Assumptions!$B$8*G79+H79+I79</f>
        <v>117.5</v>
      </c>
      <c r="M79" s="9" t="n">
        <f aca="false">E79+3*Assumptions!$B$6*F79+Assumptions!$B$9*G79+H79+I79</f>
        <v>299.5</v>
      </c>
      <c r="N79" s="9" t="n">
        <f aca="false">IF(AND(Assumptions!$B$17,ISNUMBER(J79)),Assumptions!$B$10*Assumptions!$B$13*J79,0)</f>
        <v>2.25</v>
      </c>
      <c r="O79" s="9" t="n">
        <f aca="false">IF(AND(Assumptions!$B$17,ISNUMBER(J79)),Assumptions!$B$11*Assumptions!$B$13*J79,0)</f>
        <v>4.5</v>
      </c>
      <c r="P79" s="9" t="n">
        <f aca="false">IF(AND(Assumptions!$B$17,ISNUMBER(J79)),Assumptions!$B$12*Assumptions!$B$13*J79,0)</f>
        <v>6.75</v>
      </c>
      <c r="Q79" s="9" t="n">
        <f aca="false">IF(Assumptions!$B$18,Assumptions!$B$14*K79,0)</f>
        <v>5.05</v>
      </c>
      <c r="R79" s="9" t="n">
        <f aca="false">IF(Assumptions!$B$18,Assumptions!$B$15*L79,0)</f>
        <v>23.5</v>
      </c>
      <c r="S79" s="9" t="n">
        <f aca="false">IF(Assumptions!$B$18,Assumptions!$B$16*M79,0)</f>
        <v>104.825</v>
      </c>
      <c r="T79" s="9" t="n">
        <f aca="false">K79+N79+Q79</f>
        <v>57.8</v>
      </c>
      <c r="U79" s="9" t="n">
        <f aca="false">L79+O79+R79</f>
        <v>145.5</v>
      </c>
      <c r="V79" s="9" t="n">
        <f aca="false">M79+P79+S79</f>
        <v>411.075</v>
      </c>
      <c r="W79" s="9" t="n">
        <v>35</v>
      </c>
      <c r="X79" s="9" t="n">
        <v>85</v>
      </c>
      <c r="Y79" s="9" t="n">
        <v>265</v>
      </c>
      <c r="Z79" s="9" t="n">
        <f aca="false">U79-X79</f>
        <v>60.5</v>
      </c>
      <c r="AA79" s="10" t="n">
        <f aca="false">IFERROR((U79-X79)/X79,"")</f>
        <v>0.711764705882353</v>
      </c>
      <c r="AB79" s="8" t="str">
        <f aca="false">IF(ISNUMBER(AA79),IF(ABS(AA79)&gt;Assumptions!$B$19,"REVIEW",""),"")</f>
        <v>REVIEW</v>
      </c>
    </row>
    <row r="80" customFormat="false" ht="15" hidden="false" customHeight="false" outlineLevel="0" collapsed="false">
      <c r="A80" s="8" t="s">
        <v>137</v>
      </c>
      <c r="B80" s="8"/>
      <c r="C80" s="9" t="n">
        <v>80</v>
      </c>
      <c r="D80" s="9" t="n">
        <v>160</v>
      </c>
      <c r="E80" s="9" t="n">
        <v>400</v>
      </c>
      <c r="F80" s="9" t="n">
        <v>25</v>
      </c>
      <c r="G80" s="9" t="n">
        <v>20</v>
      </c>
      <c r="H80" s="9" t="n">
        <v>3.5</v>
      </c>
      <c r="I80" s="9" t="n">
        <v>2</v>
      </c>
      <c r="J80" s="9" t="n">
        <v>6</v>
      </c>
      <c r="K80" s="9" t="n">
        <f aca="false">C80+3*Assumptions!$B$4*F80+Assumptions!$B$7*G80+H80+I80</f>
        <v>180.5</v>
      </c>
      <c r="L80" s="9" t="n">
        <f aca="false">D80+3*Assumptions!$B$5*F80+Assumptions!$B$8*G80+H80+I80</f>
        <v>340.5</v>
      </c>
      <c r="M80" s="9" t="n">
        <f aca="false">E80+3*Assumptions!$B$6*F80+Assumptions!$B$9*G80+H80+I80</f>
        <v>748</v>
      </c>
      <c r="N80" s="9" t="n">
        <f aca="false">IF(AND(Assumptions!$B$17,ISNUMBER(J80)),Assumptions!$B$10*Assumptions!$B$13*J80,0)</f>
        <v>9</v>
      </c>
      <c r="O80" s="9" t="n">
        <f aca="false">IF(AND(Assumptions!$B$17,ISNUMBER(J80)),Assumptions!$B$11*Assumptions!$B$13*J80,0)</f>
        <v>18</v>
      </c>
      <c r="P80" s="9" t="n">
        <f aca="false">IF(AND(Assumptions!$B$17,ISNUMBER(J80)),Assumptions!$B$12*Assumptions!$B$13*J80,0)</f>
        <v>27</v>
      </c>
      <c r="Q80" s="9" t="n">
        <f aca="false">IF(Assumptions!$B$18,Assumptions!$B$14*K80,0)</f>
        <v>18.05</v>
      </c>
      <c r="R80" s="9" t="n">
        <f aca="false">IF(Assumptions!$B$18,Assumptions!$B$15*L80,0)</f>
        <v>68.1</v>
      </c>
      <c r="S80" s="9" t="n">
        <f aca="false">IF(Assumptions!$B$18,Assumptions!$B$16*M80,0)</f>
        <v>261.8</v>
      </c>
      <c r="T80" s="9" t="n">
        <f aca="false">K80+N80+Q80</f>
        <v>207.55</v>
      </c>
      <c r="U80" s="9" t="n">
        <f aca="false">L80+O80+R80</f>
        <v>426.6</v>
      </c>
      <c r="V80" s="9" t="n">
        <f aca="false">M80+P80+S80</f>
        <v>1036.8</v>
      </c>
      <c r="W80" s="9" t="n">
        <v>90</v>
      </c>
      <c r="X80" s="9" t="n">
        <v>220</v>
      </c>
      <c r="Y80" s="9" t="n">
        <v>620</v>
      </c>
      <c r="Z80" s="9" t="n">
        <f aca="false">U80-X80</f>
        <v>206.6</v>
      </c>
      <c r="AA80" s="10" t="n">
        <f aca="false">IFERROR((U80-X80)/X80,"")</f>
        <v>0.939090909090909</v>
      </c>
      <c r="AB80" s="8" t="str">
        <f aca="false">IF(ISNUMBER(AA80),IF(ABS(AA80)&gt;Assumptions!$B$19,"REVIEW",""),"")</f>
        <v>REVIEW</v>
      </c>
    </row>
    <row r="81" customFormat="false" ht="15" hidden="false" customHeight="false" outlineLevel="0" collapsed="false">
      <c r="A81" s="8" t="s">
        <v>138</v>
      </c>
      <c r="B81" s="8"/>
      <c r="C81" s="9" t="n">
        <v>70</v>
      </c>
      <c r="D81" s="9" t="n">
        <v>130</v>
      </c>
      <c r="E81" s="9" t="n">
        <v>320</v>
      </c>
      <c r="F81" s="9" t="n">
        <v>25</v>
      </c>
      <c r="G81" s="9" t="n">
        <v>25</v>
      </c>
      <c r="H81" s="9" t="n">
        <v>1.3</v>
      </c>
      <c r="I81" s="9" t="n">
        <v>1</v>
      </c>
      <c r="J81" s="9" t="n">
        <v>5</v>
      </c>
      <c r="K81" s="9" t="n">
        <f aca="false">C81+3*Assumptions!$B$4*F81+Assumptions!$B$7*G81+H81+I81</f>
        <v>172.3</v>
      </c>
      <c r="L81" s="9" t="n">
        <f aca="false">D81+3*Assumptions!$B$5*F81+Assumptions!$B$8*G81+H81+I81</f>
        <v>317.3</v>
      </c>
      <c r="M81" s="9" t="n">
        <f aca="false">E81+3*Assumptions!$B$6*F81+Assumptions!$B$9*G81+H81+I81</f>
        <v>684.8</v>
      </c>
      <c r="N81" s="9" t="n">
        <f aca="false">IF(AND(Assumptions!$B$17,ISNUMBER(J81)),Assumptions!$B$10*Assumptions!$B$13*J81,0)</f>
        <v>7.5</v>
      </c>
      <c r="O81" s="9" t="n">
        <f aca="false">IF(AND(Assumptions!$B$17,ISNUMBER(J81)),Assumptions!$B$11*Assumptions!$B$13*J81,0)</f>
        <v>15</v>
      </c>
      <c r="P81" s="9" t="n">
        <f aca="false">IF(AND(Assumptions!$B$17,ISNUMBER(J81)),Assumptions!$B$12*Assumptions!$B$13*J81,0)</f>
        <v>22.5</v>
      </c>
      <c r="Q81" s="9" t="n">
        <f aca="false">IF(Assumptions!$B$18,Assumptions!$B$14*K81,0)</f>
        <v>17.23</v>
      </c>
      <c r="R81" s="9" t="n">
        <f aca="false">IF(Assumptions!$B$18,Assumptions!$B$15*L81,0)</f>
        <v>63.46</v>
      </c>
      <c r="S81" s="9" t="n">
        <f aca="false">IF(Assumptions!$B$18,Assumptions!$B$16*M81,0)</f>
        <v>239.68</v>
      </c>
      <c r="T81" s="9" t="n">
        <f aca="false">K81+N81+Q81</f>
        <v>197.03</v>
      </c>
      <c r="U81" s="9" t="n">
        <f aca="false">L81+O81+R81</f>
        <v>395.76</v>
      </c>
      <c r="V81" s="9" t="n">
        <f aca="false">M81+P81+S81</f>
        <v>946.98</v>
      </c>
      <c r="W81" s="9" t="n">
        <v>75</v>
      </c>
      <c r="X81" s="9" t="n">
        <v>180</v>
      </c>
      <c r="Y81" s="9" t="n">
        <v>500</v>
      </c>
      <c r="Z81" s="9" t="n">
        <f aca="false">U81-X81</f>
        <v>215.76</v>
      </c>
      <c r="AA81" s="10" t="n">
        <f aca="false">IFERROR((U81-X81)/X81,"")</f>
        <v>1.19866666666667</v>
      </c>
      <c r="AB81" s="8" t="str">
        <f aca="false">IF(ISNUMBER(AA81),IF(ABS(AA81)&gt;Assumptions!$B$19,"REVIEW",""),"")</f>
        <v>REVIEW</v>
      </c>
    </row>
    <row r="82" customFormat="false" ht="15" hidden="false" customHeight="false" outlineLevel="0" collapsed="false">
      <c r="A82" s="8" t="s">
        <v>139</v>
      </c>
      <c r="B82" s="8"/>
      <c r="C82" s="9" t="n">
        <v>22</v>
      </c>
      <c r="D82" s="9" t="n">
        <v>55</v>
      </c>
      <c r="E82" s="9" t="n">
        <v>130</v>
      </c>
      <c r="F82" s="9" t="n">
        <v>6</v>
      </c>
      <c r="G82" s="9" t="n">
        <v>3</v>
      </c>
      <c r="H82" s="9" t="n">
        <v>3.5</v>
      </c>
      <c r="I82" s="9" t="n">
        <v>0.4</v>
      </c>
      <c r="J82" s="9" t="n">
        <v>1.5</v>
      </c>
      <c r="K82" s="9" t="n">
        <f aca="false">C82+3*Assumptions!$B$4*F82+Assumptions!$B$7*G82+H82+I82</f>
        <v>46.9</v>
      </c>
      <c r="L82" s="9" t="n">
        <f aca="false">D82+3*Assumptions!$B$5*F82+Assumptions!$B$8*G82+H82+I82</f>
        <v>97.3</v>
      </c>
      <c r="M82" s="9" t="n">
        <f aca="false">E82+3*Assumptions!$B$6*F82+Assumptions!$B$9*G82+H82+I82</f>
        <v>208.9</v>
      </c>
      <c r="N82" s="9" t="n">
        <f aca="false">IF(AND(Assumptions!$B$17,ISNUMBER(J82)),Assumptions!$B$10*Assumptions!$B$13*J82,0)</f>
        <v>2.25</v>
      </c>
      <c r="O82" s="9" t="n">
        <f aca="false">IF(AND(Assumptions!$B$17,ISNUMBER(J82)),Assumptions!$B$11*Assumptions!$B$13*J82,0)</f>
        <v>4.5</v>
      </c>
      <c r="P82" s="9" t="n">
        <f aca="false">IF(AND(Assumptions!$B$17,ISNUMBER(J82)),Assumptions!$B$12*Assumptions!$B$13*J82,0)</f>
        <v>6.75</v>
      </c>
      <c r="Q82" s="9" t="n">
        <f aca="false">IF(Assumptions!$B$18,Assumptions!$B$14*K82,0)</f>
        <v>4.69</v>
      </c>
      <c r="R82" s="9" t="n">
        <f aca="false">IF(Assumptions!$B$18,Assumptions!$B$15*L82,0)</f>
        <v>19.46</v>
      </c>
      <c r="S82" s="9" t="n">
        <f aca="false">IF(Assumptions!$B$18,Assumptions!$B$16*M82,0)</f>
        <v>73.115</v>
      </c>
      <c r="T82" s="9" t="n">
        <f aca="false">K82+N82+Q82</f>
        <v>53.84</v>
      </c>
      <c r="U82" s="9" t="n">
        <f aca="false">L82+O82+R82</f>
        <v>121.26</v>
      </c>
      <c r="V82" s="9" t="n">
        <f aca="false">M82+P82+S82</f>
        <v>288.765</v>
      </c>
      <c r="W82" s="9" t="n">
        <v>30</v>
      </c>
      <c r="X82" s="9" t="n">
        <v>75</v>
      </c>
      <c r="Y82" s="9" t="n">
        <v>220</v>
      </c>
      <c r="Z82" s="9" t="n">
        <f aca="false">U82-X82</f>
        <v>46.26</v>
      </c>
      <c r="AA82" s="10" t="n">
        <f aca="false">IFERROR((U82-X82)/X82,"")</f>
        <v>0.6168</v>
      </c>
      <c r="AB82" s="8" t="str">
        <f aca="false">IF(ISNUMBER(AA82),IF(ABS(AA82)&gt;Assumptions!$B$19,"REVIEW",""),"")</f>
        <v>REVIEW</v>
      </c>
    </row>
    <row r="83" customFormat="false" ht="15" hidden="false" customHeight="false" outlineLevel="0" collapsed="false">
      <c r="A83" s="8" t="s">
        <v>140</v>
      </c>
      <c r="B83" s="8"/>
      <c r="C83" s="9" t="n">
        <v>80</v>
      </c>
      <c r="D83" s="9" t="n">
        <v>140</v>
      </c>
      <c r="E83" s="9" t="n">
        <v>350</v>
      </c>
      <c r="F83" s="9" t="n">
        <v>22</v>
      </c>
      <c r="G83" s="9" t="n">
        <v>30</v>
      </c>
      <c r="H83" s="9" t="n">
        <v>3.5</v>
      </c>
      <c r="I83" s="9" t="n">
        <v>3</v>
      </c>
      <c r="J83" s="9" t="n">
        <v>4.5</v>
      </c>
      <c r="K83" s="9" t="n">
        <f aca="false">C83+3*Assumptions!$B$4*F83+Assumptions!$B$7*G83+H83+I83</f>
        <v>182.5</v>
      </c>
      <c r="L83" s="9" t="n">
        <f aca="false">D83+3*Assumptions!$B$5*F83+Assumptions!$B$8*G83+H83+I83</f>
        <v>325.3</v>
      </c>
      <c r="M83" s="9" t="n">
        <f aca="false">E83+3*Assumptions!$B$6*F83+Assumptions!$B$9*G83+H83+I83</f>
        <v>707.5</v>
      </c>
      <c r="N83" s="9" t="n">
        <f aca="false">IF(AND(Assumptions!$B$17,ISNUMBER(J83)),Assumptions!$B$10*Assumptions!$B$13*J83,0)</f>
        <v>6.75</v>
      </c>
      <c r="O83" s="9" t="n">
        <f aca="false">IF(AND(Assumptions!$B$17,ISNUMBER(J83)),Assumptions!$B$11*Assumptions!$B$13*J83,0)</f>
        <v>13.5</v>
      </c>
      <c r="P83" s="9" t="n">
        <f aca="false">IF(AND(Assumptions!$B$17,ISNUMBER(J83)),Assumptions!$B$12*Assumptions!$B$13*J83,0)</f>
        <v>20.25</v>
      </c>
      <c r="Q83" s="9" t="n">
        <f aca="false">IF(Assumptions!$B$18,Assumptions!$B$14*K83,0)</f>
        <v>18.25</v>
      </c>
      <c r="R83" s="9" t="n">
        <f aca="false">IF(Assumptions!$B$18,Assumptions!$B$15*L83,0)</f>
        <v>65.06</v>
      </c>
      <c r="S83" s="9" t="n">
        <f aca="false">IF(Assumptions!$B$18,Assumptions!$B$16*M83,0)</f>
        <v>247.625</v>
      </c>
      <c r="T83" s="9" t="n">
        <f aca="false">K83+N83+Q83</f>
        <v>207.5</v>
      </c>
      <c r="U83" s="9" t="n">
        <f aca="false">L83+O83+R83</f>
        <v>403.86</v>
      </c>
      <c r="V83" s="9" t="n">
        <f aca="false">M83+P83+S83</f>
        <v>975.375</v>
      </c>
      <c r="W83" s="9" t="n">
        <v>80</v>
      </c>
      <c r="X83" s="9" t="n">
        <v>195</v>
      </c>
      <c r="Y83" s="9" t="n">
        <v>540</v>
      </c>
      <c r="Z83" s="9" t="n">
        <f aca="false">U83-X83</f>
        <v>208.86</v>
      </c>
      <c r="AA83" s="10" t="n">
        <f aca="false">IFERROR((U83-X83)/X83,"")</f>
        <v>1.07107692307692</v>
      </c>
      <c r="AB83" s="8" t="str">
        <f aca="false">IF(ISNUMBER(AA83),IF(ABS(AA83)&gt;Assumptions!$B$19,"REVIEW",""),"")</f>
        <v>REVIEW</v>
      </c>
    </row>
    <row r="84" customFormat="false" ht="15" hidden="false" customHeight="false" outlineLevel="0" collapsed="false">
      <c r="A84" s="8" t="s">
        <v>141</v>
      </c>
      <c r="B84" s="8"/>
      <c r="C84" s="9" t="n">
        <v>25</v>
      </c>
      <c r="D84" s="9" t="n">
        <v>90</v>
      </c>
      <c r="E84" s="9" t="n">
        <v>180</v>
      </c>
      <c r="F84" s="9" t="n">
        <v>12</v>
      </c>
      <c r="G84" s="9" t="n">
        <v>4</v>
      </c>
      <c r="H84" s="9" t="n">
        <v>3</v>
      </c>
      <c r="I84" s="9" t="n">
        <v>1</v>
      </c>
      <c r="J84" s="9" t="n">
        <v>3</v>
      </c>
      <c r="K84" s="9" t="n">
        <f aca="false">C84+3*Assumptions!$B$4*F84+Assumptions!$B$7*G84+H84+I84</f>
        <v>69</v>
      </c>
      <c r="L84" s="9" t="n">
        <f aca="false">D84+3*Assumptions!$B$5*F84+Assumptions!$B$8*G84+H84+I84</f>
        <v>166.8</v>
      </c>
      <c r="M84" s="9" t="n">
        <f aca="false">E84+3*Assumptions!$B$6*F84+Assumptions!$B$9*G84+H84+I84</f>
        <v>326</v>
      </c>
      <c r="N84" s="9" t="n">
        <f aca="false">IF(AND(Assumptions!$B$17,ISNUMBER(J84)),Assumptions!$B$10*Assumptions!$B$13*J84,0)</f>
        <v>4.5</v>
      </c>
      <c r="O84" s="9" t="n">
        <f aca="false">IF(AND(Assumptions!$B$17,ISNUMBER(J84)),Assumptions!$B$11*Assumptions!$B$13*J84,0)</f>
        <v>9</v>
      </c>
      <c r="P84" s="9" t="n">
        <f aca="false">IF(AND(Assumptions!$B$17,ISNUMBER(J84)),Assumptions!$B$12*Assumptions!$B$13*J84,0)</f>
        <v>13.5</v>
      </c>
      <c r="Q84" s="9" t="n">
        <f aca="false">IF(Assumptions!$B$18,Assumptions!$B$14*K84,0)</f>
        <v>6.9</v>
      </c>
      <c r="R84" s="9" t="n">
        <f aca="false">IF(Assumptions!$B$18,Assumptions!$B$15*L84,0)</f>
        <v>33.36</v>
      </c>
      <c r="S84" s="9" t="n">
        <f aca="false">IF(Assumptions!$B$18,Assumptions!$B$16*M84,0)</f>
        <v>114.1</v>
      </c>
      <c r="T84" s="9" t="n">
        <f aca="false">K84+N84+Q84</f>
        <v>80.4</v>
      </c>
      <c r="U84" s="9" t="n">
        <f aca="false">L84+O84+R84</f>
        <v>209.16</v>
      </c>
      <c r="V84" s="9" t="n">
        <f aca="false">M84+P84+S84</f>
        <v>453.6</v>
      </c>
      <c r="W84" s="9" t="n">
        <v>40</v>
      </c>
      <c r="X84" s="9" t="n">
        <v>100</v>
      </c>
      <c r="Y84" s="9" t="n">
        <v>295</v>
      </c>
      <c r="Z84" s="9" t="n">
        <f aca="false">U84-X84</f>
        <v>109.16</v>
      </c>
      <c r="AA84" s="10" t="n">
        <f aca="false">IFERROR((U84-X84)/X84,"")</f>
        <v>1.0916</v>
      </c>
      <c r="AB84" s="8" t="str">
        <f aca="false">IF(ISNUMBER(AA84),IF(ABS(AA84)&gt;Assumptions!$B$19,"REVIEW",""),"")</f>
        <v>REVIEW</v>
      </c>
    </row>
    <row r="85" customFormat="false" ht="15" hidden="false" customHeight="false" outlineLevel="0" collapsed="false">
      <c r="A85" s="8" t="s">
        <v>142</v>
      </c>
      <c r="B85" s="8"/>
      <c r="C85" s="9" t="n">
        <v>45</v>
      </c>
      <c r="D85" s="9" t="n">
        <v>90</v>
      </c>
      <c r="E85" s="9" t="n">
        <v>250</v>
      </c>
      <c r="F85" s="9" t="n">
        <v>15</v>
      </c>
      <c r="G85" s="9" t="n">
        <v>20</v>
      </c>
      <c r="H85" s="9" t="n">
        <v>4</v>
      </c>
      <c r="I85" s="9" t="n">
        <v>1.5</v>
      </c>
      <c r="J85" s="9" t="n">
        <v>5</v>
      </c>
      <c r="K85" s="9" t="n">
        <f aca="false">C85+3*Assumptions!$B$4*F85+Assumptions!$B$7*G85+H85+I85</f>
        <v>115.5</v>
      </c>
      <c r="L85" s="9" t="n">
        <f aca="false">D85+3*Assumptions!$B$5*F85+Assumptions!$B$8*G85+H85+I85</f>
        <v>216.5</v>
      </c>
      <c r="M85" s="9" t="n">
        <f aca="false">E85+3*Assumptions!$B$6*F85+Assumptions!$B$9*G85+H85+I85</f>
        <v>493</v>
      </c>
      <c r="N85" s="9" t="n">
        <f aca="false">IF(AND(Assumptions!$B$17,ISNUMBER(J85)),Assumptions!$B$10*Assumptions!$B$13*J85,0)</f>
        <v>7.5</v>
      </c>
      <c r="O85" s="9" t="n">
        <f aca="false">IF(AND(Assumptions!$B$17,ISNUMBER(J85)),Assumptions!$B$11*Assumptions!$B$13*J85,0)</f>
        <v>15</v>
      </c>
      <c r="P85" s="9" t="n">
        <f aca="false">IF(AND(Assumptions!$B$17,ISNUMBER(J85)),Assumptions!$B$12*Assumptions!$B$13*J85,0)</f>
        <v>22.5</v>
      </c>
      <c r="Q85" s="9" t="n">
        <f aca="false">IF(Assumptions!$B$18,Assumptions!$B$14*K85,0)</f>
        <v>11.55</v>
      </c>
      <c r="R85" s="9" t="n">
        <f aca="false">IF(Assumptions!$B$18,Assumptions!$B$15*L85,0)</f>
        <v>43.3</v>
      </c>
      <c r="S85" s="9" t="n">
        <f aca="false">IF(Assumptions!$B$18,Assumptions!$B$16*M85,0)</f>
        <v>172.55</v>
      </c>
      <c r="T85" s="9" t="n">
        <f aca="false">K85+N85+Q85</f>
        <v>134.55</v>
      </c>
      <c r="U85" s="9" t="n">
        <f aca="false">L85+O85+R85</f>
        <v>274.8</v>
      </c>
      <c r="V85" s="9" t="n">
        <f aca="false">M85+P85+S85</f>
        <v>688.05</v>
      </c>
      <c r="W85" s="9" t="n">
        <v>60</v>
      </c>
      <c r="X85" s="9" t="n">
        <v>140</v>
      </c>
      <c r="Y85" s="9" t="n">
        <v>380</v>
      </c>
      <c r="Z85" s="9" t="n">
        <f aca="false">U85-X85</f>
        <v>134.8</v>
      </c>
      <c r="AA85" s="10" t="n">
        <f aca="false">IFERROR((U85-X85)/X85,"")</f>
        <v>0.962857142857143</v>
      </c>
      <c r="AB85" s="8" t="str">
        <f aca="false">IF(ISNUMBER(AA85),IF(ABS(AA85)&gt;Assumptions!$B$19,"REVIEW",""),"")</f>
        <v>REVIEW</v>
      </c>
    </row>
    <row r="86" customFormat="false" ht="15" hidden="false" customHeight="false" outlineLevel="0" collapsed="false">
      <c r="A86" s="8" t="s">
        <v>143</v>
      </c>
      <c r="B86" s="8"/>
      <c r="C86" s="9" t="n">
        <v>45</v>
      </c>
      <c r="D86" s="9" t="n">
        <v>80</v>
      </c>
      <c r="E86" s="9" t="n">
        <v>180</v>
      </c>
      <c r="F86" s="9" t="n">
        <v>15</v>
      </c>
      <c r="G86" s="9" t="n">
        <v>5</v>
      </c>
      <c r="H86" s="9" t="n">
        <v>3.5</v>
      </c>
      <c r="I86" s="9" t="n">
        <v>1.5</v>
      </c>
      <c r="J86" s="9" t="n">
        <v>5</v>
      </c>
      <c r="K86" s="9" t="n">
        <f aca="false">C86+3*Assumptions!$B$4*F86+Assumptions!$B$7*G86+H86+I86</f>
        <v>100</v>
      </c>
      <c r="L86" s="9" t="n">
        <f aca="false">D86+3*Assumptions!$B$5*F86+Assumptions!$B$8*G86+H86+I86</f>
        <v>176</v>
      </c>
      <c r="M86" s="9" t="n">
        <f aca="false">E86+3*Assumptions!$B$6*F86+Assumptions!$B$9*G86+H86+I86</f>
        <v>362.5</v>
      </c>
      <c r="N86" s="9" t="n">
        <f aca="false">IF(AND(Assumptions!$B$17,ISNUMBER(J86)),Assumptions!$B$10*Assumptions!$B$13*J86,0)</f>
        <v>7.5</v>
      </c>
      <c r="O86" s="9" t="n">
        <f aca="false">IF(AND(Assumptions!$B$17,ISNUMBER(J86)),Assumptions!$B$11*Assumptions!$B$13*J86,0)</f>
        <v>15</v>
      </c>
      <c r="P86" s="9" t="n">
        <f aca="false">IF(AND(Assumptions!$B$17,ISNUMBER(J86)),Assumptions!$B$12*Assumptions!$B$13*J86,0)</f>
        <v>22.5</v>
      </c>
      <c r="Q86" s="9" t="n">
        <f aca="false">IF(Assumptions!$B$18,Assumptions!$B$14*K86,0)</f>
        <v>10</v>
      </c>
      <c r="R86" s="9" t="n">
        <f aca="false">IF(Assumptions!$B$18,Assumptions!$B$15*L86,0)</f>
        <v>35.2</v>
      </c>
      <c r="S86" s="9" t="n">
        <f aca="false">IF(Assumptions!$B$18,Assumptions!$B$16*M86,0)</f>
        <v>126.875</v>
      </c>
      <c r="T86" s="9" t="n">
        <f aca="false">K86+N86+Q86</f>
        <v>117.5</v>
      </c>
      <c r="U86" s="9" t="n">
        <f aca="false">L86+O86+R86</f>
        <v>226.2</v>
      </c>
      <c r="V86" s="9" t="n">
        <f aca="false">M86+P86+S86</f>
        <v>511.875</v>
      </c>
      <c r="W86" s="9" t="n">
        <v>50</v>
      </c>
      <c r="X86" s="9" t="n">
        <v>120</v>
      </c>
      <c r="Y86" s="9" t="n">
        <v>350</v>
      </c>
      <c r="Z86" s="9" t="n">
        <f aca="false">U86-X86</f>
        <v>106.2</v>
      </c>
      <c r="AA86" s="10" t="n">
        <f aca="false">IFERROR((U86-X86)/X86,"")</f>
        <v>0.885</v>
      </c>
      <c r="AB86" s="8" t="str">
        <f aca="false">IF(ISNUMBER(AA86),IF(ABS(AA86)&gt;Assumptions!$B$19,"REVIEW",""),"")</f>
        <v>REVIEW</v>
      </c>
    </row>
    <row r="87" customFormat="false" ht="15" hidden="false" customHeight="false" outlineLevel="0" collapsed="false">
      <c r="A87" s="8" t="s">
        <v>144</v>
      </c>
      <c r="B87" s="8"/>
      <c r="C87" s="9" t="n">
        <v>25</v>
      </c>
      <c r="D87" s="9" t="n">
        <v>95</v>
      </c>
      <c r="E87" s="9" t="n">
        <v>180</v>
      </c>
      <c r="F87" s="9" t="n">
        <v>15</v>
      </c>
      <c r="G87" s="9" t="n">
        <v>8</v>
      </c>
      <c r="H87" s="9" t="n">
        <v>2.5</v>
      </c>
      <c r="I87" s="9" t="n">
        <v>1</v>
      </c>
      <c r="J87" s="9" t="n">
        <v>2.5</v>
      </c>
      <c r="K87" s="9" t="n">
        <f aca="false">C87+3*Assumptions!$B$4*F87+Assumptions!$B$7*G87+H87+I87</f>
        <v>81.5</v>
      </c>
      <c r="L87" s="9" t="n">
        <f aca="false">D87+3*Assumptions!$B$5*F87+Assumptions!$B$8*G87+H87+I87</f>
        <v>195.5</v>
      </c>
      <c r="M87" s="9" t="n">
        <f aca="false">E87+3*Assumptions!$B$6*F87+Assumptions!$B$9*G87+H87+I87</f>
        <v>373</v>
      </c>
      <c r="N87" s="9" t="n">
        <f aca="false">IF(AND(Assumptions!$B$17,ISNUMBER(J87)),Assumptions!$B$10*Assumptions!$B$13*J87,0)</f>
        <v>3.75</v>
      </c>
      <c r="O87" s="9" t="n">
        <f aca="false">IF(AND(Assumptions!$B$17,ISNUMBER(J87)),Assumptions!$B$11*Assumptions!$B$13*J87,0)</f>
        <v>7.5</v>
      </c>
      <c r="P87" s="9" t="n">
        <f aca="false">IF(AND(Assumptions!$B$17,ISNUMBER(J87)),Assumptions!$B$12*Assumptions!$B$13*J87,0)</f>
        <v>11.25</v>
      </c>
      <c r="Q87" s="9" t="n">
        <f aca="false">IF(Assumptions!$B$18,Assumptions!$B$14*K87,0)</f>
        <v>8.15</v>
      </c>
      <c r="R87" s="9" t="n">
        <f aca="false">IF(Assumptions!$B$18,Assumptions!$B$15*L87,0)</f>
        <v>39.1</v>
      </c>
      <c r="S87" s="9" t="n">
        <f aca="false">IF(Assumptions!$B$18,Assumptions!$B$16*M87,0)</f>
        <v>130.55</v>
      </c>
      <c r="T87" s="9" t="n">
        <f aca="false">K87+N87+Q87</f>
        <v>93.4</v>
      </c>
      <c r="U87" s="9" t="n">
        <f aca="false">L87+O87+R87</f>
        <v>242.1</v>
      </c>
      <c r="V87" s="9" t="n">
        <f aca="false">M87+P87+S87</f>
        <v>514.8</v>
      </c>
      <c r="W87" s="9" t="n">
        <v>45</v>
      </c>
      <c r="X87" s="9" t="n">
        <v>110</v>
      </c>
      <c r="Y87" s="9" t="n">
        <v>320</v>
      </c>
      <c r="Z87" s="9" t="n">
        <f aca="false">U87-X87</f>
        <v>132.1</v>
      </c>
      <c r="AA87" s="10" t="n">
        <f aca="false">IFERROR((U87-X87)/X87,"")</f>
        <v>1.20090909090909</v>
      </c>
      <c r="AB87" s="8" t="str">
        <f aca="false">IF(ISNUMBER(AA87),IF(ABS(AA87)&gt;Assumptions!$B$19,"REVIEW",""),"")</f>
        <v>REVIEW</v>
      </c>
    </row>
    <row r="88" customFormat="false" ht="15" hidden="false" customHeight="false" outlineLevel="0" collapsed="false">
      <c r="A88" s="8" t="s">
        <v>145</v>
      </c>
      <c r="B88" s="8"/>
      <c r="C88" s="9" t="n">
        <v>45</v>
      </c>
      <c r="D88" s="9" t="n">
        <v>90</v>
      </c>
      <c r="E88" s="9" t="n">
        <v>220</v>
      </c>
      <c r="F88" s="9" t="n">
        <v>15</v>
      </c>
      <c r="G88" s="9" t="n">
        <v>6</v>
      </c>
      <c r="H88" s="9" t="n">
        <v>2.5</v>
      </c>
      <c r="I88" s="9" t="n">
        <v>1</v>
      </c>
      <c r="J88" s="9" t="n">
        <v>2.5</v>
      </c>
      <c r="K88" s="9" t="n">
        <f aca="false">C88+3*Assumptions!$B$4*F88+Assumptions!$B$7*G88+H88+I88</f>
        <v>99.5</v>
      </c>
      <c r="L88" s="9" t="n">
        <f aca="false">D88+3*Assumptions!$B$5*F88+Assumptions!$B$8*G88+H88+I88</f>
        <v>186.5</v>
      </c>
      <c r="M88" s="9" t="n">
        <f aca="false">E88+3*Assumptions!$B$6*F88+Assumptions!$B$9*G88+H88+I88</f>
        <v>405</v>
      </c>
      <c r="N88" s="9" t="n">
        <f aca="false">IF(AND(Assumptions!$B$17,ISNUMBER(J88)),Assumptions!$B$10*Assumptions!$B$13*J88,0)</f>
        <v>3.75</v>
      </c>
      <c r="O88" s="9" t="n">
        <f aca="false">IF(AND(Assumptions!$B$17,ISNUMBER(J88)),Assumptions!$B$11*Assumptions!$B$13*J88,0)</f>
        <v>7.5</v>
      </c>
      <c r="P88" s="9" t="n">
        <f aca="false">IF(AND(Assumptions!$B$17,ISNUMBER(J88)),Assumptions!$B$12*Assumptions!$B$13*J88,0)</f>
        <v>11.25</v>
      </c>
      <c r="Q88" s="9" t="n">
        <f aca="false">IF(Assumptions!$B$18,Assumptions!$B$14*K88,0)</f>
        <v>9.95</v>
      </c>
      <c r="R88" s="9" t="n">
        <f aca="false">IF(Assumptions!$B$18,Assumptions!$B$15*L88,0)</f>
        <v>37.3</v>
      </c>
      <c r="S88" s="9" t="n">
        <f aca="false">IF(Assumptions!$B$18,Assumptions!$B$16*M88,0)</f>
        <v>141.75</v>
      </c>
      <c r="T88" s="9" t="n">
        <f aca="false">K88+N88+Q88</f>
        <v>113.2</v>
      </c>
      <c r="U88" s="9" t="n">
        <f aca="false">L88+O88+R88</f>
        <v>231.3</v>
      </c>
      <c r="V88" s="9" t="n">
        <f aca="false">M88+P88+S88</f>
        <v>558</v>
      </c>
      <c r="W88" s="9" t="n">
        <v>50</v>
      </c>
      <c r="X88" s="9" t="n">
        <v>125</v>
      </c>
      <c r="Y88" s="9" t="n">
        <v>365</v>
      </c>
      <c r="Z88" s="9" t="n">
        <f aca="false">U88-X88</f>
        <v>106.3</v>
      </c>
      <c r="AA88" s="10" t="n">
        <f aca="false">IFERROR((U88-X88)/X88,"")</f>
        <v>0.8504</v>
      </c>
      <c r="AB88" s="8" t="str">
        <f aca="false">IF(ISNUMBER(AA88),IF(ABS(AA88)&gt;Assumptions!$B$19,"REVIEW",""),"")</f>
        <v>REVIEW</v>
      </c>
    </row>
    <row r="89" customFormat="false" ht="15" hidden="false" customHeight="false" outlineLevel="0" collapsed="false">
      <c r="A89" s="8" t="s">
        <v>146</v>
      </c>
      <c r="B89" s="8"/>
      <c r="C89" s="9" t="n">
        <v>30</v>
      </c>
      <c r="D89" s="9" t="n">
        <v>70</v>
      </c>
      <c r="E89" s="9" t="n">
        <v>200</v>
      </c>
      <c r="F89" s="9" t="n">
        <v>12</v>
      </c>
      <c r="G89" s="9" t="n">
        <v>8</v>
      </c>
      <c r="H89" s="9" t="n">
        <v>4</v>
      </c>
      <c r="I89" s="9" t="n">
        <v>0.5</v>
      </c>
      <c r="J89" s="9" t="n">
        <v>3</v>
      </c>
      <c r="K89" s="9" t="n">
        <f aca="false">C89+3*Assumptions!$B$4*F89+Assumptions!$B$7*G89+H89+I89</f>
        <v>78.5</v>
      </c>
      <c r="L89" s="9" t="n">
        <f aca="false">D89+3*Assumptions!$B$5*F89+Assumptions!$B$8*G89+H89+I89</f>
        <v>155.3</v>
      </c>
      <c r="M89" s="9" t="n">
        <f aca="false">E89+3*Assumptions!$B$6*F89+Assumptions!$B$9*G89+H89+I89</f>
        <v>362.5</v>
      </c>
      <c r="N89" s="9" t="n">
        <f aca="false">IF(AND(Assumptions!$B$17,ISNUMBER(J89)),Assumptions!$B$10*Assumptions!$B$13*J89,0)</f>
        <v>4.5</v>
      </c>
      <c r="O89" s="9" t="n">
        <f aca="false">IF(AND(Assumptions!$B$17,ISNUMBER(J89)),Assumptions!$B$11*Assumptions!$B$13*J89,0)</f>
        <v>9</v>
      </c>
      <c r="P89" s="9" t="n">
        <f aca="false">IF(AND(Assumptions!$B$17,ISNUMBER(J89)),Assumptions!$B$12*Assumptions!$B$13*J89,0)</f>
        <v>13.5</v>
      </c>
      <c r="Q89" s="9" t="n">
        <f aca="false">IF(Assumptions!$B$18,Assumptions!$B$14*K89,0)</f>
        <v>7.85</v>
      </c>
      <c r="R89" s="9" t="n">
        <f aca="false">IF(Assumptions!$B$18,Assumptions!$B$15*L89,0)</f>
        <v>31.06</v>
      </c>
      <c r="S89" s="9" t="n">
        <f aca="false">IF(Assumptions!$B$18,Assumptions!$B$16*M89,0)</f>
        <v>126.875</v>
      </c>
      <c r="T89" s="9" t="n">
        <f aca="false">K89+N89+Q89</f>
        <v>90.85</v>
      </c>
      <c r="U89" s="9" t="n">
        <f aca="false">L89+O89+R89</f>
        <v>195.36</v>
      </c>
      <c r="V89" s="9" t="n">
        <f aca="false">M89+P89+S89</f>
        <v>502.875</v>
      </c>
      <c r="W89" s="9" t="n">
        <v>50</v>
      </c>
      <c r="X89" s="9" t="n">
        <v>125</v>
      </c>
      <c r="Y89" s="9" t="n">
        <v>350</v>
      </c>
      <c r="Z89" s="9" t="n">
        <f aca="false">U89-X89</f>
        <v>70.36</v>
      </c>
      <c r="AA89" s="10" t="n">
        <f aca="false">IFERROR((U89-X89)/X89,"")</f>
        <v>0.56288</v>
      </c>
      <c r="AB89" s="8" t="str">
        <f aca="false">IF(ISNUMBER(AA89),IF(ABS(AA89)&gt;Assumptions!$B$19,"REVIEW",""),"")</f>
        <v>REVIEW</v>
      </c>
    </row>
    <row r="90" customFormat="false" ht="15" hidden="false" customHeight="false" outlineLevel="0" collapsed="false">
      <c r="A90" s="8" t="s">
        <v>147</v>
      </c>
      <c r="B90" s="8"/>
      <c r="C90" s="9" t="n">
        <v>20</v>
      </c>
      <c r="D90" s="9" t="n">
        <v>70</v>
      </c>
      <c r="E90" s="9" t="n">
        <v>200</v>
      </c>
      <c r="F90" s="9" t="n">
        <v>10</v>
      </c>
      <c r="G90" s="9" t="n">
        <v>6</v>
      </c>
      <c r="H90" s="9" t="n">
        <v>3.5</v>
      </c>
      <c r="I90" s="9" t="n">
        <v>1.1</v>
      </c>
      <c r="J90" s="9" t="n">
        <v>1.8</v>
      </c>
      <c r="K90" s="9" t="n">
        <f aca="false">C90+3*Assumptions!$B$4*F90+Assumptions!$B$7*G90+H90+I90</f>
        <v>60.6</v>
      </c>
      <c r="L90" s="9" t="n">
        <f aca="false">D90+3*Assumptions!$B$5*F90+Assumptions!$B$8*G90+H90+I90</f>
        <v>140.6</v>
      </c>
      <c r="M90" s="9" t="n">
        <f aca="false">E90+3*Assumptions!$B$6*F90+Assumptions!$B$9*G90+H90+I90</f>
        <v>333.6</v>
      </c>
      <c r="N90" s="9" t="n">
        <f aca="false">IF(AND(Assumptions!$B$17,ISNUMBER(J90)),Assumptions!$B$10*Assumptions!$B$13*J90,0)</f>
        <v>2.7</v>
      </c>
      <c r="O90" s="9" t="n">
        <f aca="false">IF(AND(Assumptions!$B$17,ISNUMBER(J90)),Assumptions!$B$11*Assumptions!$B$13*J90,0)</f>
        <v>5.4</v>
      </c>
      <c r="P90" s="9" t="n">
        <f aca="false">IF(AND(Assumptions!$B$17,ISNUMBER(J90)),Assumptions!$B$12*Assumptions!$B$13*J90,0)</f>
        <v>8.1</v>
      </c>
      <c r="Q90" s="9" t="n">
        <f aca="false">IF(Assumptions!$B$18,Assumptions!$B$14*K90,0)</f>
        <v>6.06</v>
      </c>
      <c r="R90" s="9" t="n">
        <f aca="false">IF(Assumptions!$B$18,Assumptions!$B$15*L90,0)</f>
        <v>28.12</v>
      </c>
      <c r="S90" s="9" t="n">
        <f aca="false">IF(Assumptions!$B$18,Assumptions!$B$16*M90,0)</f>
        <v>116.76</v>
      </c>
      <c r="T90" s="9" t="n">
        <f aca="false">K90+N90+Q90</f>
        <v>69.36</v>
      </c>
      <c r="U90" s="9" t="n">
        <f aca="false">L90+O90+R90</f>
        <v>174.12</v>
      </c>
      <c r="V90" s="9" t="n">
        <f aca="false">M90+P90+S90</f>
        <v>458.46</v>
      </c>
      <c r="W90" s="9" t="n">
        <v>35</v>
      </c>
      <c r="X90" s="9" t="n">
        <v>95</v>
      </c>
      <c r="Y90" s="9" t="n">
        <v>280</v>
      </c>
      <c r="Z90" s="9" t="n">
        <f aca="false">U90-X90</f>
        <v>79.12</v>
      </c>
      <c r="AA90" s="10" t="n">
        <f aca="false">IFERROR((U90-X90)/X90,"")</f>
        <v>0.832842105263158</v>
      </c>
      <c r="AB90" s="8" t="str">
        <f aca="false">IF(ISNUMBER(AA90),IF(ABS(AA90)&gt;Assumptions!$B$19,"REVIEW",""),"")</f>
        <v>REVIEW</v>
      </c>
    </row>
    <row r="91" customFormat="false" ht="15" hidden="false" customHeight="false" outlineLevel="0" collapsed="false">
      <c r="A91" s="8" t="s">
        <v>148</v>
      </c>
      <c r="B91" s="8"/>
      <c r="C91" s="9" t="n">
        <v>30</v>
      </c>
      <c r="D91" s="9" t="n">
        <v>90</v>
      </c>
      <c r="E91" s="9" t="n">
        <v>220</v>
      </c>
      <c r="F91" s="9" t="n">
        <v>10</v>
      </c>
      <c r="G91" s="9" t="n">
        <v>5</v>
      </c>
      <c r="H91" s="9" t="n">
        <v>4</v>
      </c>
      <c r="I91" s="9" t="n">
        <v>0.5</v>
      </c>
      <c r="J91" s="9" t="n">
        <v>3</v>
      </c>
      <c r="K91" s="9" t="n">
        <f aca="false">C91+3*Assumptions!$B$4*F91+Assumptions!$B$7*G91+H91+I91</f>
        <v>69.5</v>
      </c>
      <c r="L91" s="9" t="n">
        <f aca="false">D91+3*Assumptions!$B$5*F91+Assumptions!$B$8*G91+H91+I91</f>
        <v>158.5</v>
      </c>
      <c r="M91" s="9" t="n">
        <f aca="false">E91+3*Assumptions!$B$6*F91+Assumptions!$B$9*G91+H91+I91</f>
        <v>349.5</v>
      </c>
      <c r="N91" s="9" t="n">
        <f aca="false">IF(AND(Assumptions!$B$17,ISNUMBER(J91)),Assumptions!$B$10*Assumptions!$B$13*J91,0)</f>
        <v>4.5</v>
      </c>
      <c r="O91" s="9" t="n">
        <f aca="false">IF(AND(Assumptions!$B$17,ISNUMBER(J91)),Assumptions!$B$11*Assumptions!$B$13*J91,0)</f>
        <v>9</v>
      </c>
      <c r="P91" s="9" t="n">
        <f aca="false">IF(AND(Assumptions!$B$17,ISNUMBER(J91)),Assumptions!$B$12*Assumptions!$B$13*J91,0)</f>
        <v>13.5</v>
      </c>
      <c r="Q91" s="9" t="n">
        <f aca="false">IF(Assumptions!$B$18,Assumptions!$B$14*K91,0)</f>
        <v>6.95</v>
      </c>
      <c r="R91" s="9" t="n">
        <f aca="false">IF(Assumptions!$B$18,Assumptions!$B$15*L91,0)</f>
        <v>31.7</v>
      </c>
      <c r="S91" s="9" t="n">
        <f aca="false">IF(Assumptions!$B$18,Assumptions!$B$16*M91,0)</f>
        <v>122.325</v>
      </c>
      <c r="T91" s="9" t="n">
        <f aca="false">K91+N91+Q91</f>
        <v>80.95</v>
      </c>
      <c r="U91" s="9" t="n">
        <f aca="false">L91+O91+R91</f>
        <v>199.2</v>
      </c>
      <c r="V91" s="9" t="n">
        <f aca="false">M91+P91+S91</f>
        <v>485.325</v>
      </c>
      <c r="W91" s="9" t="n">
        <v>45</v>
      </c>
      <c r="X91" s="9" t="n">
        <v>110</v>
      </c>
      <c r="Y91" s="9" t="n">
        <v>320</v>
      </c>
      <c r="Z91" s="9" t="n">
        <f aca="false">U91-X91</f>
        <v>89.2</v>
      </c>
      <c r="AA91" s="10" t="n">
        <f aca="false">IFERROR((U91-X91)/X91,"")</f>
        <v>0.810909090909091</v>
      </c>
      <c r="AB91" s="8" t="str">
        <f aca="false">IF(ISNUMBER(AA91),IF(ABS(AA91)&gt;Assumptions!$B$19,"REVIEW",""),"")</f>
        <v>REVIEW</v>
      </c>
    </row>
    <row r="92" customFormat="false" ht="15" hidden="false" customHeight="false" outlineLevel="0" collapsed="false">
      <c r="A92" s="8" t="s">
        <v>149</v>
      </c>
      <c r="B92" s="8"/>
      <c r="C92" s="9" t="n">
        <v>18</v>
      </c>
      <c r="D92" s="9" t="n">
        <v>55</v>
      </c>
      <c r="E92" s="9" t="n">
        <v>200</v>
      </c>
      <c r="F92" s="9" t="n">
        <v>8</v>
      </c>
      <c r="G92" s="9" t="n">
        <v>8</v>
      </c>
      <c r="H92" s="9" t="n">
        <v>1.2</v>
      </c>
      <c r="I92" s="9" t="n">
        <v>0.4</v>
      </c>
      <c r="J92" s="9" t="n">
        <v>0.8</v>
      </c>
      <c r="K92" s="9" t="n">
        <f aca="false">C92+3*Assumptions!$B$4*F92+Assumptions!$B$7*G92+H92+I92</f>
        <v>51.6</v>
      </c>
      <c r="L92" s="9" t="n">
        <f aca="false">D92+3*Assumptions!$B$5*F92+Assumptions!$B$8*G92+H92+I92</f>
        <v>115.8</v>
      </c>
      <c r="M92" s="9" t="n">
        <f aca="false">E92+3*Assumptions!$B$6*F92+Assumptions!$B$9*G92+H92+I92</f>
        <v>317.6</v>
      </c>
      <c r="N92" s="9" t="n">
        <f aca="false">IF(AND(Assumptions!$B$17,ISNUMBER(J92)),Assumptions!$B$10*Assumptions!$B$13*J92,0)</f>
        <v>1.2</v>
      </c>
      <c r="O92" s="9" t="n">
        <f aca="false">IF(AND(Assumptions!$B$17,ISNUMBER(J92)),Assumptions!$B$11*Assumptions!$B$13*J92,0)</f>
        <v>2.4</v>
      </c>
      <c r="P92" s="9" t="n">
        <f aca="false">IF(AND(Assumptions!$B$17,ISNUMBER(J92)),Assumptions!$B$12*Assumptions!$B$13*J92,0)</f>
        <v>3.6</v>
      </c>
      <c r="Q92" s="9" t="n">
        <f aca="false">IF(Assumptions!$B$18,Assumptions!$B$14*K92,0)</f>
        <v>5.16</v>
      </c>
      <c r="R92" s="9" t="n">
        <f aca="false">IF(Assumptions!$B$18,Assumptions!$B$15*L92,0)</f>
        <v>23.16</v>
      </c>
      <c r="S92" s="9" t="n">
        <f aca="false">IF(Assumptions!$B$18,Assumptions!$B$16*M92,0)</f>
        <v>111.16</v>
      </c>
      <c r="T92" s="9" t="n">
        <f aca="false">K92+N92+Q92</f>
        <v>57.96</v>
      </c>
      <c r="U92" s="9" t="n">
        <f aca="false">L92+O92+R92</f>
        <v>141.36</v>
      </c>
      <c r="V92" s="9" t="n">
        <f aca="false">M92+P92+S92</f>
        <v>432.36</v>
      </c>
      <c r="W92" s="9" t="n">
        <v>30</v>
      </c>
      <c r="X92" s="9" t="n">
        <v>70</v>
      </c>
      <c r="Y92" s="9" t="n">
        <v>220</v>
      </c>
      <c r="Z92" s="9" t="n">
        <f aca="false">U92-X92</f>
        <v>71.36</v>
      </c>
      <c r="AA92" s="10" t="n">
        <f aca="false">IFERROR((U92-X92)/X92,"")</f>
        <v>1.01942857142857</v>
      </c>
      <c r="AB92" s="8" t="str">
        <f aca="false">IF(ISNUMBER(AA92),IF(ABS(AA92)&gt;Assumptions!$B$19,"REVIEW",""),"")</f>
        <v>REVIEW</v>
      </c>
    </row>
    <row r="93" customFormat="false" ht="15" hidden="false" customHeight="false" outlineLevel="0" collapsed="false">
      <c r="A93" s="8" t="s">
        <v>150</v>
      </c>
      <c r="B93" s="8"/>
      <c r="C93" s="9" t="n">
        <v>20</v>
      </c>
      <c r="D93" s="9" t="n">
        <v>55</v>
      </c>
      <c r="E93" s="9" t="n">
        <v>140</v>
      </c>
      <c r="F93" s="9" t="n">
        <v>7</v>
      </c>
      <c r="G93" s="9" t="n">
        <v>3</v>
      </c>
      <c r="H93" s="9" t="n">
        <v>3.5</v>
      </c>
      <c r="I93" s="9" t="n">
        <v>0.4</v>
      </c>
      <c r="J93" s="9" t="n">
        <v>1.5</v>
      </c>
      <c r="K93" s="9" t="n">
        <f aca="false">C93+3*Assumptions!$B$4*F93+Assumptions!$B$7*G93+H93+I93</f>
        <v>47.9</v>
      </c>
      <c r="L93" s="9" t="n">
        <f aca="false">D93+3*Assumptions!$B$5*F93+Assumptions!$B$8*G93+H93+I93</f>
        <v>102.7</v>
      </c>
      <c r="M93" s="9" t="n">
        <f aca="false">E93+3*Assumptions!$B$6*F93+Assumptions!$B$9*G93+H93+I93</f>
        <v>229.4</v>
      </c>
      <c r="N93" s="9" t="n">
        <f aca="false">IF(AND(Assumptions!$B$17,ISNUMBER(J93)),Assumptions!$B$10*Assumptions!$B$13*J93,0)</f>
        <v>2.25</v>
      </c>
      <c r="O93" s="9" t="n">
        <f aca="false">IF(AND(Assumptions!$B$17,ISNUMBER(J93)),Assumptions!$B$11*Assumptions!$B$13*J93,0)</f>
        <v>4.5</v>
      </c>
      <c r="P93" s="9" t="n">
        <f aca="false">IF(AND(Assumptions!$B$17,ISNUMBER(J93)),Assumptions!$B$12*Assumptions!$B$13*J93,0)</f>
        <v>6.75</v>
      </c>
      <c r="Q93" s="9" t="n">
        <f aca="false">IF(Assumptions!$B$18,Assumptions!$B$14*K93,0)</f>
        <v>4.79</v>
      </c>
      <c r="R93" s="9" t="n">
        <f aca="false">IF(Assumptions!$B$18,Assumptions!$B$15*L93,0)</f>
        <v>20.54</v>
      </c>
      <c r="S93" s="9" t="n">
        <f aca="false">IF(Assumptions!$B$18,Assumptions!$B$16*M93,0)</f>
        <v>80.29</v>
      </c>
      <c r="T93" s="9" t="n">
        <f aca="false">K93+N93+Q93</f>
        <v>54.94</v>
      </c>
      <c r="U93" s="9" t="n">
        <f aca="false">L93+O93+R93</f>
        <v>127.74</v>
      </c>
      <c r="V93" s="9" t="n">
        <f aca="false">M93+P93+S93</f>
        <v>316.44</v>
      </c>
      <c r="W93" s="9" t="n">
        <v>30</v>
      </c>
      <c r="X93" s="9" t="n">
        <v>75</v>
      </c>
      <c r="Y93" s="9" t="n">
        <v>220</v>
      </c>
      <c r="Z93" s="9" t="n">
        <f aca="false">U93-X93</f>
        <v>52.74</v>
      </c>
      <c r="AA93" s="10" t="n">
        <f aca="false">IFERROR((U93-X93)/X93,"")</f>
        <v>0.7032</v>
      </c>
      <c r="AB93" s="8" t="str">
        <f aca="false">IF(ISNUMBER(AA93),IF(ABS(AA93)&gt;Assumptions!$B$19,"REVIEW",""),"")</f>
        <v>REVIEW</v>
      </c>
    </row>
    <row r="94" customFormat="false" ht="15" hidden="false" customHeight="false" outlineLevel="0" collapsed="false">
      <c r="A94" s="8" t="s">
        <v>151</v>
      </c>
      <c r="B94" s="8"/>
      <c r="C94" s="9" t="n">
        <v>25</v>
      </c>
      <c r="D94" s="9" t="n">
        <v>90</v>
      </c>
      <c r="E94" s="9" t="n">
        <v>200</v>
      </c>
      <c r="F94" s="9" t="n">
        <v>15</v>
      </c>
      <c r="G94" s="9" t="n">
        <v>6</v>
      </c>
      <c r="H94" s="9" t="n">
        <v>2</v>
      </c>
      <c r="I94" s="9" t="n">
        <v>1</v>
      </c>
      <c r="J94" s="9" t="n">
        <v>2.5</v>
      </c>
      <c r="K94" s="9" t="n">
        <f aca="false">C94+3*Assumptions!$B$4*F94+Assumptions!$B$7*G94+H94+I94</f>
        <v>79</v>
      </c>
      <c r="L94" s="9" t="n">
        <f aca="false">D94+3*Assumptions!$B$5*F94+Assumptions!$B$8*G94+H94+I94</f>
        <v>186</v>
      </c>
      <c r="M94" s="9" t="n">
        <f aca="false">E94+3*Assumptions!$B$6*F94+Assumptions!$B$9*G94+H94+I94</f>
        <v>384.5</v>
      </c>
      <c r="N94" s="9" t="n">
        <f aca="false">IF(AND(Assumptions!$B$17,ISNUMBER(J94)),Assumptions!$B$10*Assumptions!$B$13*J94,0)</f>
        <v>3.75</v>
      </c>
      <c r="O94" s="9" t="n">
        <f aca="false">IF(AND(Assumptions!$B$17,ISNUMBER(J94)),Assumptions!$B$11*Assumptions!$B$13*J94,0)</f>
        <v>7.5</v>
      </c>
      <c r="P94" s="9" t="n">
        <f aca="false">IF(AND(Assumptions!$B$17,ISNUMBER(J94)),Assumptions!$B$12*Assumptions!$B$13*J94,0)</f>
        <v>11.25</v>
      </c>
      <c r="Q94" s="9" t="n">
        <f aca="false">IF(Assumptions!$B$18,Assumptions!$B$14*K94,0)</f>
        <v>7.9</v>
      </c>
      <c r="R94" s="9" t="n">
        <f aca="false">IF(Assumptions!$B$18,Assumptions!$B$15*L94,0)</f>
        <v>37.2</v>
      </c>
      <c r="S94" s="9" t="n">
        <f aca="false">IF(Assumptions!$B$18,Assumptions!$B$16*M94,0)</f>
        <v>134.575</v>
      </c>
      <c r="T94" s="9" t="n">
        <f aca="false">K94+N94+Q94</f>
        <v>90.65</v>
      </c>
      <c r="U94" s="9" t="n">
        <f aca="false">L94+O94+R94</f>
        <v>230.7</v>
      </c>
      <c r="V94" s="9" t="n">
        <f aca="false">M94+P94+S94</f>
        <v>530.325</v>
      </c>
      <c r="W94" s="9" t="n">
        <v>45</v>
      </c>
      <c r="X94" s="9" t="n">
        <v>110</v>
      </c>
      <c r="Y94" s="9" t="n">
        <v>330</v>
      </c>
      <c r="Z94" s="9" t="n">
        <f aca="false">U94-X94</f>
        <v>120.7</v>
      </c>
      <c r="AA94" s="10" t="n">
        <f aca="false">IFERROR((U94-X94)/X94,"")</f>
        <v>1.09727272727273</v>
      </c>
      <c r="AB94" s="8" t="str">
        <f aca="false">IF(ISNUMBER(AA94),IF(ABS(AA94)&gt;Assumptions!$B$19,"REVIEW",""),"")</f>
        <v>REVIEW</v>
      </c>
    </row>
    <row r="95" customFormat="false" ht="15" hidden="false" customHeight="false" outlineLevel="0" collapsed="false">
      <c r="A95" s="8" t="s">
        <v>152</v>
      </c>
      <c r="B95" s="8"/>
      <c r="C95" s="9" t="n">
        <v>90</v>
      </c>
      <c r="D95" s="9" t="n">
        <v>150</v>
      </c>
      <c r="E95" s="9" t="n">
        <v>350</v>
      </c>
      <c r="F95" s="9" t="n">
        <v>28</v>
      </c>
      <c r="G95" s="9" t="n">
        <v>35</v>
      </c>
      <c r="H95" s="9" t="n">
        <v>4.5</v>
      </c>
      <c r="I95" s="9" t="n">
        <v>2.5</v>
      </c>
      <c r="J95" s="9" t="n">
        <v>7.5</v>
      </c>
      <c r="K95" s="9" t="n">
        <f aca="false">C95+3*Assumptions!$B$4*F95+Assumptions!$B$7*G95+H95+I95</f>
        <v>216</v>
      </c>
      <c r="L95" s="9" t="n">
        <f aca="false">D95+3*Assumptions!$B$5*F95+Assumptions!$B$8*G95+H95+I95</f>
        <v>378.2</v>
      </c>
      <c r="M95" s="9" t="n">
        <f aca="false">E95+3*Assumptions!$B$6*F95+Assumptions!$B$9*G95+H95+I95</f>
        <v>791</v>
      </c>
      <c r="N95" s="9" t="n">
        <f aca="false">IF(AND(Assumptions!$B$17,ISNUMBER(J95)),Assumptions!$B$10*Assumptions!$B$13*J95,0)</f>
        <v>11.25</v>
      </c>
      <c r="O95" s="9" t="n">
        <f aca="false">IF(AND(Assumptions!$B$17,ISNUMBER(J95)),Assumptions!$B$11*Assumptions!$B$13*J95,0)</f>
        <v>22.5</v>
      </c>
      <c r="P95" s="9" t="n">
        <f aca="false">IF(AND(Assumptions!$B$17,ISNUMBER(J95)),Assumptions!$B$12*Assumptions!$B$13*J95,0)</f>
        <v>33.75</v>
      </c>
      <c r="Q95" s="9" t="n">
        <f aca="false">IF(Assumptions!$B$18,Assumptions!$B$14*K95,0)</f>
        <v>21.6</v>
      </c>
      <c r="R95" s="9" t="n">
        <f aca="false">IF(Assumptions!$B$18,Assumptions!$B$15*L95,0)</f>
        <v>75.64</v>
      </c>
      <c r="S95" s="9" t="n">
        <f aca="false">IF(Assumptions!$B$18,Assumptions!$B$16*M95,0)</f>
        <v>276.85</v>
      </c>
      <c r="T95" s="9" t="n">
        <f aca="false">K95+N95+Q95</f>
        <v>248.85</v>
      </c>
      <c r="U95" s="9" t="n">
        <f aca="false">L95+O95+R95</f>
        <v>476.34</v>
      </c>
      <c r="V95" s="9" t="n">
        <f aca="false">M95+P95+S95</f>
        <v>1101.6</v>
      </c>
      <c r="W95" s="9" t="n">
        <v>95</v>
      </c>
      <c r="X95" s="9" t="n">
        <v>220</v>
      </c>
      <c r="Y95" s="9" t="n">
        <v>600</v>
      </c>
      <c r="Z95" s="9" t="n">
        <f aca="false">U95-X95</f>
        <v>256.34</v>
      </c>
      <c r="AA95" s="10" t="n">
        <f aca="false">IFERROR((U95-X95)/X95,"")</f>
        <v>1.16518181818182</v>
      </c>
      <c r="AB95" s="8" t="str">
        <f aca="false">IF(ISNUMBER(AA95),IF(ABS(AA95)&gt;Assumptions!$B$19,"REVIEW",""),"")</f>
        <v>REVIEW</v>
      </c>
    </row>
    <row r="96" customFormat="false" ht="15" hidden="false" customHeight="false" outlineLevel="0" collapsed="false">
      <c r="A96" s="8" t="s">
        <v>153</v>
      </c>
      <c r="B96" s="8"/>
      <c r="C96" s="9" t="n">
        <v>50</v>
      </c>
      <c r="D96" s="9" t="n">
        <v>100</v>
      </c>
      <c r="E96" s="9" t="n">
        <v>250</v>
      </c>
      <c r="F96" s="9" t="n">
        <v>22</v>
      </c>
      <c r="G96" s="9" t="n">
        <v>18</v>
      </c>
      <c r="H96" s="9" t="n">
        <v>3</v>
      </c>
      <c r="I96" s="9" t="n">
        <v>0.6</v>
      </c>
      <c r="J96" s="9" t="n">
        <v>4</v>
      </c>
      <c r="K96" s="9" t="n">
        <f aca="false">C96+3*Assumptions!$B$4*F96+Assumptions!$B$7*G96+H96+I96</f>
        <v>137.6</v>
      </c>
      <c r="L96" s="9" t="n">
        <f aca="false">D96+3*Assumptions!$B$5*F96+Assumptions!$B$8*G96+H96+I96</f>
        <v>258.4</v>
      </c>
      <c r="M96" s="9" t="n">
        <f aca="false">E96+3*Assumptions!$B$6*F96+Assumptions!$B$9*G96+H96+I96</f>
        <v>556.6</v>
      </c>
      <c r="N96" s="9" t="n">
        <f aca="false">IF(AND(Assumptions!$B$17,ISNUMBER(J96)),Assumptions!$B$10*Assumptions!$B$13*J96,0)</f>
        <v>6</v>
      </c>
      <c r="O96" s="9" t="n">
        <f aca="false">IF(AND(Assumptions!$B$17,ISNUMBER(J96)),Assumptions!$B$11*Assumptions!$B$13*J96,0)</f>
        <v>12</v>
      </c>
      <c r="P96" s="9" t="n">
        <f aca="false">IF(AND(Assumptions!$B$17,ISNUMBER(J96)),Assumptions!$B$12*Assumptions!$B$13*J96,0)</f>
        <v>18</v>
      </c>
      <c r="Q96" s="9" t="n">
        <f aca="false">IF(Assumptions!$B$18,Assumptions!$B$14*K96,0)</f>
        <v>13.76</v>
      </c>
      <c r="R96" s="9" t="n">
        <f aca="false">IF(Assumptions!$B$18,Assumptions!$B$15*L96,0)</f>
        <v>51.68</v>
      </c>
      <c r="S96" s="9" t="n">
        <f aca="false">IF(Assumptions!$B$18,Assumptions!$B$16*M96,0)</f>
        <v>194.81</v>
      </c>
      <c r="T96" s="9" t="n">
        <f aca="false">K96+N96+Q96</f>
        <v>157.36</v>
      </c>
      <c r="U96" s="9" t="n">
        <f aca="false">L96+O96+R96</f>
        <v>322.08</v>
      </c>
      <c r="V96" s="9" t="n">
        <f aca="false">M96+P96+S96</f>
        <v>769.41</v>
      </c>
      <c r="W96" s="9" t="n">
        <v>60</v>
      </c>
      <c r="X96" s="9" t="n">
        <v>140</v>
      </c>
      <c r="Y96" s="9" t="n">
        <v>400</v>
      </c>
      <c r="Z96" s="9" t="n">
        <f aca="false">U96-X96</f>
        <v>182.08</v>
      </c>
      <c r="AA96" s="10" t="n">
        <f aca="false">IFERROR((U96-X96)/X96,"")</f>
        <v>1.30057142857143</v>
      </c>
      <c r="AB96" s="8" t="str">
        <f aca="false">IF(ISNUMBER(AA96),IF(ABS(AA96)&gt;Assumptions!$B$19,"REVIEW",""),"")</f>
        <v>REVIEW</v>
      </c>
    </row>
    <row r="97" customFormat="false" ht="15" hidden="false" customHeight="false" outlineLevel="0" collapsed="false">
      <c r="A97" s="8" t="s">
        <v>154</v>
      </c>
      <c r="B97" s="8"/>
      <c r="C97" s="9" t="n">
        <v>20</v>
      </c>
      <c r="D97" s="9" t="n">
        <v>55</v>
      </c>
      <c r="E97" s="9" t="n">
        <v>200</v>
      </c>
      <c r="F97" s="9" t="n">
        <v>8</v>
      </c>
      <c r="G97" s="9" t="n">
        <v>8</v>
      </c>
      <c r="H97" s="9" t="n">
        <v>1.5</v>
      </c>
      <c r="I97" s="9" t="n">
        <v>0.4</v>
      </c>
      <c r="J97" s="9" t="n">
        <v>1</v>
      </c>
      <c r="K97" s="9" t="n">
        <f aca="false">C97+3*Assumptions!$B$4*F97+Assumptions!$B$7*G97+H97+I97</f>
        <v>53.9</v>
      </c>
      <c r="L97" s="9" t="n">
        <f aca="false">D97+3*Assumptions!$B$5*F97+Assumptions!$B$8*G97+H97+I97</f>
        <v>116.1</v>
      </c>
      <c r="M97" s="9" t="n">
        <f aca="false">E97+3*Assumptions!$B$6*F97+Assumptions!$B$9*G97+H97+I97</f>
        <v>317.9</v>
      </c>
      <c r="N97" s="9" t="n">
        <f aca="false">IF(AND(Assumptions!$B$17,ISNUMBER(J97)),Assumptions!$B$10*Assumptions!$B$13*J97,0)</f>
        <v>1.5</v>
      </c>
      <c r="O97" s="9" t="n">
        <f aca="false">IF(AND(Assumptions!$B$17,ISNUMBER(J97)),Assumptions!$B$11*Assumptions!$B$13*J97,0)</f>
        <v>3</v>
      </c>
      <c r="P97" s="9" t="n">
        <f aca="false">IF(AND(Assumptions!$B$17,ISNUMBER(J97)),Assumptions!$B$12*Assumptions!$B$13*J97,0)</f>
        <v>4.5</v>
      </c>
      <c r="Q97" s="9" t="n">
        <f aca="false">IF(Assumptions!$B$18,Assumptions!$B$14*K97,0)</f>
        <v>5.39</v>
      </c>
      <c r="R97" s="9" t="n">
        <f aca="false">IF(Assumptions!$B$18,Assumptions!$B$15*L97,0)</f>
        <v>23.22</v>
      </c>
      <c r="S97" s="9" t="n">
        <f aca="false">IF(Assumptions!$B$18,Assumptions!$B$16*M97,0)</f>
        <v>111.265</v>
      </c>
      <c r="T97" s="9" t="n">
        <f aca="false">K97+N97+Q97</f>
        <v>60.79</v>
      </c>
      <c r="U97" s="9" t="n">
        <f aca="false">L97+O97+R97</f>
        <v>142.32</v>
      </c>
      <c r="V97" s="9" t="n">
        <f aca="false">M97+P97+S97</f>
        <v>433.665</v>
      </c>
      <c r="W97" s="9" t="n">
        <v>30</v>
      </c>
      <c r="X97" s="9" t="n">
        <v>75</v>
      </c>
      <c r="Y97" s="9" t="n">
        <v>230</v>
      </c>
      <c r="Z97" s="9" t="n">
        <f aca="false">U97-X97</f>
        <v>67.32</v>
      </c>
      <c r="AA97" s="10" t="n">
        <f aca="false">IFERROR((U97-X97)/X97,"")</f>
        <v>0.8976</v>
      </c>
      <c r="AB97" s="8" t="str">
        <f aca="false">IF(ISNUMBER(AA97),IF(ABS(AA97)&gt;Assumptions!$B$19,"REVIEW",""),"")</f>
        <v>REVIEW</v>
      </c>
    </row>
    <row r="98" customFormat="false" ht="15" hidden="false" customHeight="false" outlineLevel="0" collapsed="false">
      <c r="A98" s="8" t="s">
        <v>155</v>
      </c>
      <c r="B98" s="8"/>
      <c r="C98" s="9" t="n">
        <v>60</v>
      </c>
      <c r="D98" s="9" t="n">
        <v>150</v>
      </c>
      <c r="E98" s="9" t="n">
        <v>350</v>
      </c>
      <c r="F98" s="9" t="n">
        <v>25</v>
      </c>
      <c r="G98" s="9" t="n">
        <v>13</v>
      </c>
      <c r="H98" s="9" t="n">
        <v>4.5</v>
      </c>
      <c r="I98" s="9" t="n">
        <v>1.2</v>
      </c>
      <c r="J98" s="9" t="n">
        <v>6</v>
      </c>
      <c r="K98" s="9" t="n">
        <f aca="false">C98+3*Assumptions!$B$4*F98+Assumptions!$B$7*G98+H98+I98</f>
        <v>153.7</v>
      </c>
      <c r="L98" s="9" t="n">
        <f aca="false">D98+3*Assumptions!$B$5*F98+Assumptions!$B$8*G98+H98+I98</f>
        <v>316.7</v>
      </c>
      <c r="M98" s="9" t="n">
        <f aca="false">E98+3*Assumptions!$B$6*F98+Assumptions!$B$9*G98+H98+I98</f>
        <v>670.2</v>
      </c>
      <c r="N98" s="9" t="n">
        <f aca="false">IF(AND(Assumptions!$B$17,ISNUMBER(J98)),Assumptions!$B$10*Assumptions!$B$13*J98,0)</f>
        <v>9</v>
      </c>
      <c r="O98" s="9" t="n">
        <f aca="false">IF(AND(Assumptions!$B$17,ISNUMBER(J98)),Assumptions!$B$11*Assumptions!$B$13*J98,0)</f>
        <v>18</v>
      </c>
      <c r="P98" s="9" t="n">
        <f aca="false">IF(AND(Assumptions!$B$17,ISNUMBER(J98)),Assumptions!$B$12*Assumptions!$B$13*J98,0)</f>
        <v>27</v>
      </c>
      <c r="Q98" s="9" t="n">
        <f aca="false">IF(Assumptions!$B$18,Assumptions!$B$14*K98,0)</f>
        <v>15.37</v>
      </c>
      <c r="R98" s="9" t="n">
        <f aca="false">IF(Assumptions!$B$18,Assumptions!$B$15*L98,0)</f>
        <v>63.34</v>
      </c>
      <c r="S98" s="9" t="n">
        <f aca="false">IF(Assumptions!$B$18,Assumptions!$B$16*M98,0)</f>
        <v>234.57</v>
      </c>
      <c r="T98" s="9" t="n">
        <f aca="false">K98+N98+Q98</f>
        <v>178.07</v>
      </c>
      <c r="U98" s="9" t="n">
        <f aca="false">L98+O98+R98</f>
        <v>398.04</v>
      </c>
      <c r="V98" s="9" t="n">
        <f aca="false">M98+P98+S98</f>
        <v>931.77</v>
      </c>
      <c r="W98" s="9" t="n">
        <v>60</v>
      </c>
      <c r="X98" s="9" t="n">
        <v>150</v>
      </c>
      <c r="Y98" s="9" t="n">
        <v>400</v>
      </c>
      <c r="Z98" s="9" t="n">
        <f aca="false">U98-X98</f>
        <v>248.04</v>
      </c>
      <c r="AA98" s="10" t="n">
        <f aca="false">IFERROR((U98-X98)/X98,"")</f>
        <v>1.6536</v>
      </c>
      <c r="AB98" s="8" t="str">
        <f aca="false">IF(ISNUMBER(AA98),IF(ABS(AA98)&gt;Assumptions!$B$19,"REVIEW",""),"")</f>
        <v>REVIEW</v>
      </c>
    </row>
    <row r="99" customFormat="false" ht="15" hidden="false" customHeight="false" outlineLevel="0" collapsed="false">
      <c r="A99" s="8" t="s">
        <v>156</v>
      </c>
      <c r="B99" s="8"/>
      <c r="C99" s="9" t="n">
        <v>70</v>
      </c>
      <c r="D99" s="9" t="n">
        <v>130</v>
      </c>
      <c r="E99" s="9" t="n">
        <v>250</v>
      </c>
      <c r="F99" s="9" t="n">
        <v>12</v>
      </c>
      <c r="G99" s="9" t="n">
        <v>8</v>
      </c>
      <c r="H99" s="9" t="n">
        <v>3</v>
      </c>
      <c r="I99" s="9" t="n">
        <v>1.5</v>
      </c>
      <c r="J99" s="9" t="n">
        <v>4.5</v>
      </c>
      <c r="K99" s="9" t="n">
        <f aca="false">C99+3*Assumptions!$B$4*F99+Assumptions!$B$7*G99+H99+I99</f>
        <v>118.5</v>
      </c>
      <c r="L99" s="9" t="n">
        <f aca="false">D99+3*Assumptions!$B$5*F99+Assumptions!$B$8*G99+H99+I99</f>
        <v>215.3</v>
      </c>
      <c r="M99" s="9" t="n">
        <f aca="false">E99+3*Assumptions!$B$6*F99+Assumptions!$B$9*G99+H99+I99</f>
        <v>412.5</v>
      </c>
      <c r="N99" s="9" t="n">
        <f aca="false">IF(AND(Assumptions!$B$17,ISNUMBER(J99)),Assumptions!$B$10*Assumptions!$B$13*J99,0)</f>
        <v>6.75</v>
      </c>
      <c r="O99" s="9" t="n">
        <f aca="false">IF(AND(Assumptions!$B$17,ISNUMBER(J99)),Assumptions!$B$11*Assumptions!$B$13*J99,0)</f>
        <v>13.5</v>
      </c>
      <c r="P99" s="9" t="n">
        <f aca="false">IF(AND(Assumptions!$B$17,ISNUMBER(J99)),Assumptions!$B$12*Assumptions!$B$13*J99,0)</f>
        <v>20.25</v>
      </c>
      <c r="Q99" s="9" t="n">
        <f aca="false">IF(Assumptions!$B$18,Assumptions!$B$14*K99,0)</f>
        <v>11.85</v>
      </c>
      <c r="R99" s="9" t="n">
        <f aca="false">IF(Assumptions!$B$18,Assumptions!$B$15*L99,0)</f>
        <v>43.06</v>
      </c>
      <c r="S99" s="9" t="n">
        <f aca="false">IF(Assumptions!$B$18,Assumptions!$B$16*M99,0)</f>
        <v>144.375</v>
      </c>
      <c r="T99" s="9" t="n">
        <f aca="false">K99+N99+Q99</f>
        <v>137.1</v>
      </c>
      <c r="U99" s="9" t="n">
        <f aca="false">L99+O99+R99</f>
        <v>271.86</v>
      </c>
      <c r="V99" s="9" t="n">
        <f aca="false">M99+P99+S99</f>
        <v>577.125</v>
      </c>
      <c r="W99" s="9" t="n">
        <v>60</v>
      </c>
      <c r="X99" s="9" t="n">
        <v>140</v>
      </c>
      <c r="Y99" s="9" t="n">
        <v>395</v>
      </c>
      <c r="Z99" s="9" t="n">
        <f aca="false">U99-X99</f>
        <v>131.86</v>
      </c>
      <c r="AA99" s="10" t="n">
        <f aca="false">IFERROR((U99-X99)/X99,"")</f>
        <v>0.941857142857143</v>
      </c>
      <c r="AB99" s="8" t="str">
        <f aca="false">IF(ISNUMBER(AA99),IF(ABS(AA99)&gt;Assumptions!$B$19,"REVIEW",""),"")</f>
        <v>REVIEW</v>
      </c>
    </row>
    <row r="100" customFormat="false" ht="15" hidden="false" customHeight="false" outlineLevel="0" collapsed="false">
      <c r="A100" s="8" t="s">
        <v>157</v>
      </c>
      <c r="B100" s="8"/>
      <c r="C100" s="9" t="n">
        <v>150</v>
      </c>
      <c r="D100" s="9" t="n">
        <v>250</v>
      </c>
      <c r="E100" s="9" t="n">
        <v>550</v>
      </c>
      <c r="F100" s="9" t="n">
        <v>30</v>
      </c>
      <c r="G100" s="9" t="n">
        <v>30</v>
      </c>
      <c r="H100" s="9" t="n">
        <v>5</v>
      </c>
      <c r="I100" s="9" t="n">
        <v>2</v>
      </c>
      <c r="J100" s="9" t="n">
        <v>7</v>
      </c>
      <c r="K100" s="9" t="n">
        <f aca="false">C100+3*Assumptions!$B$4*F100+Assumptions!$B$7*G100+H100+I100</f>
        <v>277</v>
      </c>
      <c r="L100" s="9" t="n">
        <f aca="false">D100+3*Assumptions!$B$5*F100+Assumptions!$B$8*G100+H100+I100</f>
        <v>479</v>
      </c>
      <c r="M100" s="9" t="n">
        <f aca="false">E100+3*Assumptions!$B$6*F100+Assumptions!$B$9*G100+H100+I100</f>
        <v>992</v>
      </c>
      <c r="N100" s="9" t="n">
        <f aca="false">IF(AND(Assumptions!$B$17,ISNUMBER(J100)),Assumptions!$B$10*Assumptions!$B$13*J100,0)</f>
        <v>10.5</v>
      </c>
      <c r="O100" s="9" t="n">
        <f aca="false">IF(AND(Assumptions!$B$17,ISNUMBER(J100)),Assumptions!$B$11*Assumptions!$B$13*J100,0)</f>
        <v>21</v>
      </c>
      <c r="P100" s="9" t="n">
        <f aca="false">IF(AND(Assumptions!$B$17,ISNUMBER(J100)),Assumptions!$B$12*Assumptions!$B$13*J100,0)</f>
        <v>31.5</v>
      </c>
      <c r="Q100" s="9" t="n">
        <f aca="false">IF(Assumptions!$B$18,Assumptions!$B$14*K100,0)</f>
        <v>27.7</v>
      </c>
      <c r="R100" s="9" t="n">
        <f aca="false">IF(Assumptions!$B$18,Assumptions!$B$15*L100,0)</f>
        <v>95.8</v>
      </c>
      <c r="S100" s="9" t="n">
        <f aca="false">IF(Assumptions!$B$18,Assumptions!$B$16*M100,0)</f>
        <v>347.2</v>
      </c>
      <c r="T100" s="9" t="n">
        <f aca="false">K100+N100+Q100</f>
        <v>315.2</v>
      </c>
      <c r="U100" s="9" t="n">
        <f aca="false">L100+O100+R100</f>
        <v>595.8</v>
      </c>
      <c r="V100" s="9" t="n">
        <f aca="false">M100+P100+S100</f>
        <v>1370.7</v>
      </c>
      <c r="W100" s="9" t="n">
        <v>115</v>
      </c>
      <c r="X100" s="9" t="n">
        <v>280</v>
      </c>
      <c r="Y100" s="9" t="n">
        <v>780</v>
      </c>
      <c r="Z100" s="9" t="n">
        <f aca="false">U100-X100</f>
        <v>315.8</v>
      </c>
      <c r="AA100" s="10" t="n">
        <f aca="false">IFERROR((U100-X100)/X100,"")</f>
        <v>1.12785714285714</v>
      </c>
      <c r="AB100" s="8" t="str">
        <f aca="false">IF(ISNUMBER(AA100),IF(ABS(AA100)&gt;Assumptions!$B$19,"REVIEW",""),"")</f>
        <v>REVIEW</v>
      </c>
    </row>
    <row r="101" customFormat="false" ht="15" hidden="false" customHeight="false" outlineLevel="0" collapsed="false">
      <c r="A101" s="8" t="s">
        <v>158</v>
      </c>
      <c r="B101" s="8"/>
      <c r="C101" s="9" t="n">
        <v>15</v>
      </c>
      <c r="D101" s="9" t="n">
        <v>45</v>
      </c>
      <c r="E101" s="9" t="n">
        <v>120</v>
      </c>
      <c r="F101" s="9" t="n">
        <v>4</v>
      </c>
      <c r="G101" s="9" t="n">
        <v>3</v>
      </c>
      <c r="H101" s="9" t="n">
        <v>2</v>
      </c>
      <c r="I101" s="9" t="n">
        <v>0.3</v>
      </c>
      <c r="J101" s="9" t="n">
        <v>3</v>
      </c>
      <c r="K101" s="9" t="n">
        <f aca="false">C101+3*Assumptions!$B$4*F101+Assumptions!$B$7*G101+H101+I101</f>
        <v>32.3</v>
      </c>
      <c r="L101" s="9" t="n">
        <f aca="false">D101+3*Assumptions!$B$5*F101+Assumptions!$B$8*G101+H101+I101</f>
        <v>74.9</v>
      </c>
      <c r="M101" s="9" t="n">
        <f aca="false">E101+3*Assumptions!$B$6*F101+Assumptions!$B$9*G101+H101+I101</f>
        <v>176.3</v>
      </c>
      <c r="N101" s="9" t="n">
        <f aca="false">IF(AND(Assumptions!$B$17,ISNUMBER(J101)),Assumptions!$B$10*Assumptions!$B$13*J101,0)</f>
        <v>4.5</v>
      </c>
      <c r="O101" s="9" t="n">
        <f aca="false">IF(AND(Assumptions!$B$17,ISNUMBER(J101)),Assumptions!$B$11*Assumptions!$B$13*J101,0)</f>
        <v>9</v>
      </c>
      <c r="P101" s="9" t="n">
        <f aca="false">IF(AND(Assumptions!$B$17,ISNUMBER(J101)),Assumptions!$B$12*Assumptions!$B$13*J101,0)</f>
        <v>13.5</v>
      </c>
      <c r="Q101" s="9" t="n">
        <f aca="false">IF(Assumptions!$B$18,Assumptions!$B$14*K101,0)</f>
        <v>3.23</v>
      </c>
      <c r="R101" s="9" t="n">
        <f aca="false">IF(Assumptions!$B$18,Assumptions!$B$15*L101,0)</f>
        <v>14.98</v>
      </c>
      <c r="S101" s="9" t="n">
        <f aca="false">IF(Assumptions!$B$18,Assumptions!$B$16*M101,0)</f>
        <v>61.705</v>
      </c>
      <c r="T101" s="9" t="n">
        <f aca="false">K101+N101+Q101</f>
        <v>40.03</v>
      </c>
      <c r="U101" s="9" t="n">
        <f aca="false">L101+O101+R101</f>
        <v>98.88</v>
      </c>
      <c r="V101" s="9" t="n">
        <f aca="false">M101+P101+S101</f>
        <v>251.505</v>
      </c>
      <c r="W101" s="9" t="n">
        <v>20</v>
      </c>
      <c r="X101" s="9" t="n">
        <v>55</v>
      </c>
      <c r="Y101" s="9" t="n">
        <v>200</v>
      </c>
      <c r="Z101" s="9" t="n">
        <f aca="false">U101-X101</f>
        <v>43.88</v>
      </c>
      <c r="AA101" s="10" t="n">
        <f aca="false">IFERROR((U101-X101)/X101,"")</f>
        <v>0.797818181818182</v>
      </c>
      <c r="AB101" s="8" t="str">
        <f aca="false">IF(ISNUMBER(AA101),IF(ABS(AA101)&gt;Assumptions!$B$19,"REVIEW",""),"")</f>
        <v>REVIEW</v>
      </c>
    </row>
    <row r="102" customFormat="false" ht="15" hidden="false" customHeight="false" outlineLevel="0" collapsed="false">
      <c r="A102" s="8" t="s">
        <v>159</v>
      </c>
      <c r="B102" s="8"/>
      <c r="C102" s="9" t="n">
        <v>18</v>
      </c>
      <c r="D102" s="9" t="n">
        <v>55</v>
      </c>
      <c r="E102" s="9" t="n">
        <v>130</v>
      </c>
      <c r="F102" s="9" t="n">
        <v>5</v>
      </c>
      <c r="G102" s="9" t="n">
        <v>3</v>
      </c>
      <c r="H102" s="9" t="n">
        <v>2</v>
      </c>
      <c r="I102" s="9" t="n">
        <v>0.4</v>
      </c>
      <c r="J102" s="9" t="n">
        <v>2</v>
      </c>
      <c r="K102" s="9" t="n">
        <f aca="false">C102+3*Assumptions!$B$4*F102+Assumptions!$B$7*G102+H102+I102</f>
        <v>38.4</v>
      </c>
      <c r="L102" s="9" t="n">
        <f aca="false">D102+3*Assumptions!$B$5*F102+Assumptions!$B$8*G102+H102+I102</f>
        <v>90.4</v>
      </c>
      <c r="M102" s="9" t="n">
        <f aca="false">E102+3*Assumptions!$B$6*F102+Assumptions!$B$9*G102+H102+I102</f>
        <v>196.9</v>
      </c>
      <c r="N102" s="9" t="n">
        <f aca="false">IF(AND(Assumptions!$B$17,ISNUMBER(J102)),Assumptions!$B$10*Assumptions!$B$13*J102,0)</f>
        <v>3</v>
      </c>
      <c r="O102" s="9" t="n">
        <f aca="false">IF(AND(Assumptions!$B$17,ISNUMBER(J102)),Assumptions!$B$11*Assumptions!$B$13*J102,0)</f>
        <v>6</v>
      </c>
      <c r="P102" s="9" t="n">
        <f aca="false">IF(AND(Assumptions!$B$17,ISNUMBER(J102)),Assumptions!$B$12*Assumptions!$B$13*J102,0)</f>
        <v>9</v>
      </c>
      <c r="Q102" s="9" t="n">
        <f aca="false">IF(Assumptions!$B$18,Assumptions!$B$14*K102,0)</f>
        <v>3.84</v>
      </c>
      <c r="R102" s="9" t="n">
        <f aca="false">IF(Assumptions!$B$18,Assumptions!$B$15*L102,0)</f>
        <v>18.08</v>
      </c>
      <c r="S102" s="9" t="n">
        <f aca="false">IF(Assumptions!$B$18,Assumptions!$B$16*M102,0)</f>
        <v>68.915</v>
      </c>
      <c r="T102" s="9" t="n">
        <f aca="false">K102+N102+Q102</f>
        <v>45.24</v>
      </c>
      <c r="U102" s="9" t="n">
        <f aca="false">L102+O102+R102</f>
        <v>114.48</v>
      </c>
      <c r="V102" s="9" t="n">
        <f aca="false">M102+P102+S102</f>
        <v>274.815</v>
      </c>
      <c r="W102" s="9" t="n">
        <v>25</v>
      </c>
      <c r="X102" s="9" t="n">
        <v>65</v>
      </c>
      <c r="Y102" s="9" t="n">
        <v>200</v>
      </c>
      <c r="Z102" s="9" t="n">
        <f aca="false">U102-X102</f>
        <v>49.48</v>
      </c>
      <c r="AA102" s="10" t="n">
        <f aca="false">IFERROR((U102-X102)/X102,"")</f>
        <v>0.761230769230769</v>
      </c>
      <c r="AB102" s="8" t="str">
        <f aca="false">IF(ISNUMBER(AA102),IF(ABS(AA102)&gt;Assumptions!$B$19,"REVIEW",""),"")</f>
        <v>REVIEW</v>
      </c>
    </row>
    <row r="103" customFormat="false" ht="15" hidden="false" customHeight="false" outlineLevel="0" collapsed="false">
      <c r="A103" s="8" t="s">
        <v>160</v>
      </c>
      <c r="B103" s="8"/>
      <c r="C103" s="9" t="n">
        <v>45</v>
      </c>
      <c r="D103" s="9" t="n">
        <v>140</v>
      </c>
      <c r="E103" s="9" t="n">
        <v>400</v>
      </c>
      <c r="F103" s="9" t="n">
        <v>30</v>
      </c>
      <c r="G103" s="9" t="n">
        <v>15</v>
      </c>
      <c r="H103" s="9" t="n">
        <v>2.2</v>
      </c>
      <c r="I103" s="9" t="n">
        <v>1.5</v>
      </c>
      <c r="J103" s="9" t="n">
        <v>4.5</v>
      </c>
      <c r="K103" s="9" t="n">
        <f aca="false">C103+3*Assumptions!$B$4*F103+Assumptions!$B$7*G103+H103+I103</f>
        <v>153.7</v>
      </c>
      <c r="L103" s="9" t="n">
        <f aca="false">D103+3*Assumptions!$B$5*F103+Assumptions!$B$8*G103+H103+I103</f>
        <v>335.7</v>
      </c>
      <c r="M103" s="9" t="n">
        <f aca="false">E103+3*Assumptions!$B$6*F103+Assumptions!$B$9*G103+H103+I103</f>
        <v>778.7</v>
      </c>
      <c r="N103" s="9" t="n">
        <f aca="false">IF(AND(Assumptions!$B$17,ISNUMBER(J103)),Assumptions!$B$10*Assumptions!$B$13*J103,0)</f>
        <v>6.75</v>
      </c>
      <c r="O103" s="9" t="n">
        <f aca="false">IF(AND(Assumptions!$B$17,ISNUMBER(J103)),Assumptions!$B$11*Assumptions!$B$13*J103,0)</f>
        <v>13.5</v>
      </c>
      <c r="P103" s="9" t="n">
        <f aca="false">IF(AND(Assumptions!$B$17,ISNUMBER(J103)),Assumptions!$B$12*Assumptions!$B$13*J103,0)</f>
        <v>20.25</v>
      </c>
      <c r="Q103" s="9" t="n">
        <f aca="false">IF(Assumptions!$B$18,Assumptions!$B$14*K103,0)</f>
        <v>15.37</v>
      </c>
      <c r="R103" s="9" t="n">
        <f aca="false">IF(Assumptions!$B$18,Assumptions!$B$15*L103,0)</f>
        <v>67.14</v>
      </c>
      <c r="S103" s="9" t="n">
        <f aca="false">IF(Assumptions!$B$18,Assumptions!$B$16*M103,0)</f>
        <v>272.545</v>
      </c>
      <c r="T103" s="9" t="n">
        <f aca="false">K103+N103+Q103</f>
        <v>175.82</v>
      </c>
      <c r="U103" s="9" t="n">
        <f aca="false">L103+O103+R103</f>
        <v>416.34</v>
      </c>
      <c r="V103" s="9" t="n">
        <f aca="false">M103+P103+S103</f>
        <v>1071.495</v>
      </c>
      <c r="W103" s="9" t="n">
        <v>70</v>
      </c>
      <c r="X103" s="9" t="n">
        <v>190</v>
      </c>
      <c r="Y103" s="9" t="n">
        <v>550</v>
      </c>
      <c r="Z103" s="9" t="n">
        <f aca="false">U103-X103</f>
        <v>226.34</v>
      </c>
      <c r="AA103" s="10" t="n">
        <f aca="false">IFERROR((U103-X103)/X103,"")</f>
        <v>1.19126315789474</v>
      </c>
      <c r="AB103" s="8" t="str">
        <f aca="false">IF(ISNUMBER(AA103),IF(ABS(AA103)&gt;Assumptions!$B$19,"REVIEW",""),"")</f>
        <v>REVIEW</v>
      </c>
    </row>
    <row r="104" customFormat="false" ht="15" hidden="false" customHeight="false" outlineLevel="0" collapsed="false">
      <c r="A104" s="8" t="s">
        <v>161</v>
      </c>
      <c r="B104" s="8"/>
      <c r="C104" s="9" t="n">
        <v>25</v>
      </c>
      <c r="D104" s="9" t="n">
        <v>60</v>
      </c>
      <c r="E104" s="9" t="n">
        <v>180</v>
      </c>
      <c r="F104" s="9" t="n">
        <v>12</v>
      </c>
      <c r="G104" s="9" t="n">
        <v>7</v>
      </c>
      <c r="H104" s="9" t="n">
        <v>3</v>
      </c>
      <c r="I104" s="9" t="n">
        <v>0.4</v>
      </c>
      <c r="J104" s="9" t="n">
        <v>4</v>
      </c>
      <c r="K104" s="9" t="n">
        <f aca="false">C104+3*Assumptions!$B$4*F104+Assumptions!$B$7*G104+H104+I104</f>
        <v>71.4</v>
      </c>
      <c r="L104" s="9" t="n">
        <f aca="false">D104+3*Assumptions!$B$5*F104+Assumptions!$B$8*G104+H104+I104</f>
        <v>142.2</v>
      </c>
      <c r="M104" s="9" t="n">
        <f aca="false">E104+3*Assumptions!$B$6*F104+Assumptions!$B$9*G104+H104+I104</f>
        <v>337.4</v>
      </c>
      <c r="N104" s="9" t="n">
        <f aca="false">IF(AND(Assumptions!$B$17,ISNUMBER(J104)),Assumptions!$B$10*Assumptions!$B$13*J104,0)</f>
        <v>6</v>
      </c>
      <c r="O104" s="9" t="n">
        <f aca="false">IF(AND(Assumptions!$B$17,ISNUMBER(J104)),Assumptions!$B$11*Assumptions!$B$13*J104,0)</f>
        <v>12</v>
      </c>
      <c r="P104" s="9" t="n">
        <f aca="false">IF(AND(Assumptions!$B$17,ISNUMBER(J104)),Assumptions!$B$12*Assumptions!$B$13*J104,0)</f>
        <v>18</v>
      </c>
      <c r="Q104" s="9" t="n">
        <f aca="false">IF(Assumptions!$B$18,Assumptions!$B$14*K104,0)</f>
        <v>7.14</v>
      </c>
      <c r="R104" s="9" t="n">
        <f aca="false">IF(Assumptions!$B$18,Assumptions!$B$15*L104,0)</f>
        <v>28.44</v>
      </c>
      <c r="S104" s="9" t="n">
        <f aca="false">IF(Assumptions!$B$18,Assumptions!$B$16*M104,0)</f>
        <v>118.09</v>
      </c>
      <c r="T104" s="9" t="n">
        <f aca="false">K104+N104+Q104</f>
        <v>84.54</v>
      </c>
      <c r="U104" s="9" t="n">
        <f aca="false">L104+O104+R104</f>
        <v>182.64</v>
      </c>
      <c r="V104" s="9" t="n">
        <f aca="false">M104+P104+S104</f>
        <v>473.49</v>
      </c>
      <c r="W104" s="9" t="n">
        <v>45</v>
      </c>
      <c r="X104" s="9" t="n">
        <v>110</v>
      </c>
      <c r="Y104" s="9" t="n">
        <v>320</v>
      </c>
      <c r="Z104" s="9" t="n">
        <f aca="false">U104-X104</f>
        <v>72.64</v>
      </c>
      <c r="AA104" s="10" t="n">
        <f aca="false">IFERROR((U104-X104)/X104,"")</f>
        <v>0.660363636363637</v>
      </c>
      <c r="AB104" s="8" t="str">
        <f aca="false">IF(ISNUMBER(AA104),IF(ABS(AA104)&gt;Assumptions!$B$19,"REVIEW",""),"")</f>
        <v>REVIEW</v>
      </c>
    </row>
    <row r="105" customFormat="false" ht="15" hidden="false" customHeight="false" outlineLevel="0" collapsed="false">
      <c r="A105" s="8" t="s">
        <v>162</v>
      </c>
      <c r="B105" s="8"/>
      <c r="C105" s="9" t="n">
        <v>20</v>
      </c>
      <c r="D105" s="9" t="n">
        <v>50</v>
      </c>
      <c r="E105" s="9" t="n">
        <v>150</v>
      </c>
      <c r="F105" s="9" t="n">
        <v>5</v>
      </c>
      <c r="G105" s="9" t="n">
        <v>5</v>
      </c>
      <c r="H105" s="9" t="n">
        <v>2.5</v>
      </c>
      <c r="I105" s="9" t="n">
        <v>0.5</v>
      </c>
      <c r="J105" s="9" t="n">
        <v>3.5</v>
      </c>
      <c r="K105" s="9" t="n">
        <f aca="false">C105+3*Assumptions!$B$4*F105+Assumptions!$B$7*G105+H105+I105</f>
        <v>43</v>
      </c>
      <c r="L105" s="9" t="n">
        <f aca="false">D105+3*Assumptions!$B$5*F105+Assumptions!$B$8*G105+H105+I105</f>
        <v>90</v>
      </c>
      <c r="M105" s="9" t="n">
        <f aca="false">E105+3*Assumptions!$B$6*F105+Assumptions!$B$9*G105+H105+I105</f>
        <v>225.5</v>
      </c>
      <c r="N105" s="9" t="n">
        <f aca="false">IF(AND(Assumptions!$B$17,ISNUMBER(J105)),Assumptions!$B$10*Assumptions!$B$13*J105,0)</f>
        <v>5.25</v>
      </c>
      <c r="O105" s="9" t="n">
        <f aca="false">IF(AND(Assumptions!$B$17,ISNUMBER(J105)),Assumptions!$B$11*Assumptions!$B$13*J105,0)</f>
        <v>10.5</v>
      </c>
      <c r="P105" s="9" t="n">
        <f aca="false">IF(AND(Assumptions!$B$17,ISNUMBER(J105)),Assumptions!$B$12*Assumptions!$B$13*J105,0)</f>
        <v>15.75</v>
      </c>
      <c r="Q105" s="9" t="n">
        <f aca="false">IF(Assumptions!$B$18,Assumptions!$B$14*K105,0)</f>
        <v>4.3</v>
      </c>
      <c r="R105" s="9" t="n">
        <f aca="false">IF(Assumptions!$B$18,Assumptions!$B$15*L105,0)</f>
        <v>18</v>
      </c>
      <c r="S105" s="9" t="n">
        <f aca="false">IF(Assumptions!$B$18,Assumptions!$B$16*M105,0)</f>
        <v>78.925</v>
      </c>
      <c r="T105" s="9" t="n">
        <f aca="false">K105+N105+Q105</f>
        <v>52.55</v>
      </c>
      <c r="U105" s="9" t="n">
        <f aca="false">L105+O105+R105</f>
        <v>118.5</v>
      </c>
      <c r="V105" s="9" t="n">
        <f aca="false">M105+P105+S105</f>
        <v>320.175</v>
      </c>
      <c r="W105" s="9" t="n">
        <v>30</v>
      </c>
      <c r="X105" s="9" t="n">
        <v>75</v>
      </c>
      <c r="Y105" s="9" t="n">
        <v>220</v>
      </c>
      <c r="Z105" s="9" t="n">
        <f aca="false">U105-X105</f>
        <v>43.5</v>
      </c>
      <c r="AA105" s="10" t="n">
        <f aca="false">IFERROR((U105-X105)/X105,"")</f>
        <v>0.58</v>
      </c>
      <c r="AB105" s="8" t="str">
        <f aca="false">IF(ISNUMBER(AA105),IF(ABS(AA105)&gt;Assumptions!$B$19,"REVIEW",""),"")</f>
        <v>REVIEW</v>
      </c>
    </row>
    <row r="106" customFormat="false" ht="15" hidden="false" customHeight="false" outlineLevel="0" collapsed="false">
      <c r="A106" s="8" t="s">
        <v>163</v>
      </c>
      <c r="B106" s="8" t="s">
        <v>164</v>
      </c>
      <c r="C106" s="9" t="n">
        <v>45</v>
      </c>
      <c r="D106" s="9" t="n">
        <v>100</v>
      </c>
      <c r="E106" s="9" t="n">
        <v>230</v>
      </c>
      <c r="F106" s="9" t="n">
        <v>18</v>
      </c>
      <c r="G106" s="9" t="n">
        <v>11</v>
      </c>
      <c r="H106" s="9" t="n">
        <v>2.5</v>
      </c>
      <c r="I106" s="9" t="n">
        <v>0.3</v>
      </c>
      <c r="J106" s="9"/>
      <c r="K106" s="9" t="n">
        <f aca="false">C106+3*Assumptions!$B$4*F106+Assumptions!$B$7*G106+H106+I106</f>
        <v>112.8</v>
      </c>
      <c r="L106" s="9" t="n">
        <f aca="false">D106+3*Assumptions!$B$5*F106+Assumptions!$B$8*G106+H106+I106</f>
        <v>222</v>
      </c>
      <c r="M106" s="9" t="n">
        <f aca="false">E106+3*Assumptions!$B$6*F106+Assumptions!$B$9*G106+H106+I106</f>
        <v>465.8</v>
      </c>
      <c r="N106" s="9" t="n">
        <f aca="false">IF(AND(Assumptions!$B$17,ISNUMBER(J106)),Assumptions!$B$10*Assumptions!$B$13*J106,0)</f>
        <v>0</v>
      </c>
      <c r="O106" s="9" t="n">
        <f aca="false">IF(AND(Assumptions!$B$17,ISNUMBER(J106)),Assumptions!$B$11*Assumptions!$B$13*J106,0)</f>
        <v>0</v>
      </c>
      <c r="P106" s="9" t="n">
        <f aca="false">IF(AND(Assumptions!$B$17,ISNUMBER(J106)),Assumptions!$B$12*Assumptions!$B$13*J106,0)</f>
        <v>0</v>
      </c>
      <c r="Q106" s="9" t="n">
        <f aca="false">IF(Assumptions!$B$18,Assumptions!$B$14*K106,0)</f>
        <v>11.28</v>
      </c>
      <c r="R106" s="9" t="n">
        <f aca="false">IF(Assumptions!$B$18,Assumptions!$B$15*L106,0)</f>
        <v>44.4</v>
      </c>
      <c r="S106" s="9" t="n">
        <f aca="false">IF(Assumptions!$B$18,Assumptions!$B$16*M106,0)</f>
        <v>163.03</v>
      </c>
      <c r="T106" s="9" t="n">
        <f aca="false">K106+N106+Q106</f>
        <v>124.08</v>
      </c>
      <c r="U106" s="9" t="n">
        <f aca="false">L106+O106+R106</f>
        <v>266.4</v>
      </c>
      <c r="V106" s="9" t="n">
        <f aca="false">M106+P106+S106</f>
        <v>628.83</v>
      </c>
      <c r="W106" s="9" t="n">
        <v>65</v>
      </c>
      <c r="X106" s="9" t="n">
        <v>165</v>
      </c>
      <c r="Y106" s="9" t="n">
        <v>520</v>
      </c>
      <c r="Z106" s="9" t="n">
        <f aca="false">U106-X106</f>
        <v>101.4</v>
      </c>
      <c r="AA106" s="10" t="n">
        <f aca="false">IFERROR((U106-X106)/X106,"")</f>
        <v>0.614545454545454</v>
      </c>
      <c r="AB106" s="8" t="str">
        <f aca="false">IF(ISNUMBER(AA106),IF(ABS(AA106)&gt;Assumptions!$B$19,"REVIEW",""),"")</f>
        <v>REVIEW</v>
      </c>
    </row>
    <row r="107" customFormat="false" ht="15" hidden="false" customHeight="false" outlineLevel="0" collapsed="false">
      <c r="A107" s="8" t="s">
        <v>165</v>
      </c>
      <c r="B107" s="8"/>
      <c r="C107" s="9" t="n">
        <v>60</v>
      </c>
      <c r="D107" s="9" t="n">
        <v>130</v>
      </c>
      <c r="E107" s="9" t="n">
        <v>280</v>
      </c>
      <c r="F107" s="9" t="n">
        <v>25</v>
      </c>
      <c r="G107" s="9" t="n">
        <v>15</v>
      </c>
      <c r="H107" s="9" t="n">
        <v>3.5</v>
      </c>
      <c r="I107" s="9" t="n">
        <v>1.5</v>
      </c>
      <c r="J107" s="9" t="n">
        <v>6</v>
      </c>
      <c r="K107" s="9" t="n">
        <f aca="false">C107+3*Assumptions!$B$4*F107+Assumptions!$B$7*G107+H107+I107</f>
        <v>155</v>
      </c>
      <c r="L107" s="9" t="n">
        <f aca="false">D107+3*Assumptions!$B$5*F107+Assumptions!$B$8*G107+H107+I107</f>
        <v>300</v>
      </c>
      <c r="M107" s="9" t="n">
        <f aca="false">E107+3*Assumptions!$B$6*F107+Assumptions!$B$9*G107+H107+I107</f>
        <v>607.5</v>
      </c>
      <c r="N107" s="9" t="n">
        <f aca="false">IF(AND(Assumptions!$B$17,ISNUMBER(J107)),Assumptions!$B$10*Assumptions!$B$13*J107,0)</f>
        <v>9</v>
      </c>
      <c r="O107" s="9" t="n">
        <f aca="false">IF(AND(Assumptions!$B$17,ISNUMBER(J107)),Assumptions!$B$11*Assumptions!$B$13*J107,0)</f>
        <v>18</v>
      </c>
      <c r="P107" s="9" t="n">
        <f aca="false">IF(AND(Assumptions!$B$17,ISNUMBER(J107)),Assumptions!$B$12*Assumptions!$B$13*J107,0)</f>
        <v>27</v>
      </c>
      <c r="Q107" s="9" t="n">
        <f aca="false">IF(Assumptions!$B$18,Assumptions!$B$14*K107,0)</f>
        <v>15.5</v>
      </c>
      <c r="R107" s="9" t="n">
        <f aca="false">IF(Assumptions!$B$18,Assumptions!$B$15*L107,0)</f>
        <v>60</v>
      </c>
      <c r="S107" s="9" t="n">
        <f aca="false">IF(Assumptions!$B$18,Assumptions!$B$16*M107,0)</f>
        <v>212.625</v>
      </c>
      <c r="T107" s="9" t="n">
        <f aca="false">K107+N107+Q107</f>
        <v>179.5</v>
      </c>
      <c r="U107" s="9" t="n">
        <f aca="false">L107+O107+R107</f>
        <v>378</v>
      </c>
      <c r="V107" s="9" t="n">
        <f aca="false">M107+P107+S107</f>
        <v>847.125</v>
      </c>
      <c r="W107" s="9" t="n">
        <v>95</v>
      </c>
      <c r="X107" s="9" t="n">
        <v>230</v>
      </c>
      <c r="Y107" s="9" t="n">
        <v>650</v>
      </c>
      <c r="Z107" s="9" t="n">
        <f aca="false">U107-X107</f>
        <v>148</v>
      </c>
      <c r="AA107" s="10" t="n">
        <f aca="false">IFERROR((U107-X107)/X107,"")</f>
        <v>0.643478260869565</v>
      </c>
      <c r="AB107" s="8" t="str">
        <f aca="false">IF(ISNUMBER(AA107),IF(ABS(AA107)&gt;Assumptions!$B$19,"REVIEW",""),"")</f>
        <v>REVIEW</v>
      </c>
    </row>
    <row r="108" customFormat="false" ht="15" hidden="false" customHeight="false" outlineLevel="0" collapsed="false">
      <c r="A108" s="8" t="s">
        <v>166</v>
      </c>
      <c r="B108" s="8"/>
      <c r="C108" s="9" t="n">
        <v>20</v>
      </c>
      <c r="D108" s="9" t="n">
        <v>55</v>
      </c>
      <c r="E108" s="9" t="n">
        <v>130</v>
      </c>
      <c r="F108" s="9" t="n">
        <v>6</v>
      </c>
      <c r="G108" s="9" t="n">
        <v>3</v>
      </c>
      <c r="H108" s="9" t="n">
        <v>4</v>
      </c>
      <c r="I108" s="9" t="n">
        <v>0.5</v>
      </c>
      <c r="J108" s="9" t="n">
        <v>1.5</v>
      </c>
      <c r="K108" s="9" t="n">
        <f aca="false">C108+3*Assumptions!$B$4*F108+Assumptions!$B$7*G108+H108+I108</f>
        <v>45.5</v>
      </c>
      <c r="L108" s="9" t="n">
        <f aca="false">D108+3*Assumptions!$B$5*F108+Assumptions!$B$8*G108+H108+I108</f>
        <v>97.9</v>
      </c>
      <c r="M108" s="9" t="n">
        <f aca="false">E108+3*Assumptions!$B$6*F108+Assumptions!$B$9*G108+H108+I108</f>
        <v>209.5</v>
      </c>
      <c r="N108" s="9" t="n">
        <f aca="false">IF(AND(Assumptions!$B$17,ISNUMBER(J108)),Assumptions!$B$10*Assumptions!$B$13*J108,0)</f>
        <v>2.25</v>
      </c>
      <c r="O108" s="9" t="n">
        <f aca="false">IF(AND(Assumptions!$B$17,ISNUMBER(J108)),Assumptions!$B$11*Assumptions!$B$13*J108,0)</f>
        <v>4.5</v>
      </c>
      <c r="P108" s="9" t="n">
        <f aca="false">IF(AND(Assumptions!$B$17,ISNUMBER(J108)),Assumptions!$B$12*Assumptions!$B$13*J108,0)</f>
        <v>6.75</v>
      </c>
      <c r="Q108" s="9" t="n">
        <f aca="false">IF(Assumptions!$B$18,Assumptions!$B$14*K108,0)</f>
        <v>4.55</v>
      </c>
      <c r="R108" s="9" t="n">
        <f aca="false">IF(Assumptions!$B$18,Assumptions!$B$15*L108,0)</f>
        <v>19.58</v>
      </c>
      <c r="S108" s="9" t="n">
        <f aca="false">IF(Assumptions!$B$18,Assumptions!$B$16*M108,0)</f>
        <v>73.325</v>
      </c>
      <c r="T108" s="9" t="n">
        <f aca="false">K108+N108+Q108</f>
        <v>52.3</v>
      </c>
      <c r="U108" s="9" t="n">
        <f aca="false">L108+O108+R108</f>
        <v>121.98</v>
      </c>
      <c r="V108" s="9" t="n">
        <f aca="false">M108+P108+S108</f>
        <v>289.575</v>
      </c>
      <c r="W108" s="9" t="n">
        <v>30</v>
      </c>
      <c r="X108" s="9" t="n">
        <v>70</v>
      </c>
      <c r="Y108" s="9" t="n">
        <v>200</v>
      </c>
      <c r="Z108" s="9" t="n">
        <f aca="false">U108-X108</f>
        <v>51.98</v>
      </c>
      <c r="AA108" s="10" t="n">
        <f aca="false">IFERROR((U108-X108)/X108,"")</f>
        <v>0.742571428571429</v>
      </c>
      <c r="AB108" s="8" t="str">
        <f aca="false">IF(ISNUMBER(AA108),IF(ABS(AA108)&gt;Assumptions!$B$19,"REVIEW",""),"")</f>
        <v>REVIEW</v>
      </c>
    </row>
    <row r="109" customFormat="false" ht="15" hidden="false" customHeight="false" outlineLevel="0" collapsed="false">
      <c r="A109" s="8" t="s">
        <v>167</v>
      </c>
      <c r="B109" s="8"/>
      <c r="C109" s="9" t="n">
        <v>25</v>
      </c>
      <c r="D109" s="9" t="n">
        <v>55</v>
      </c>
      <c r="E109" s="9" t="n">
        <v>180</v>
      </c>
      <c r="F109" s="9" t="n">
        <v>8</v>
      </c>
      <c r="G109" s="9" t="n">
        <v>8</v>
      </c>
      <c r="H109" s="9" t="n">
        <v>2.5</v>
      </c>
      <c r="I109" s="9" t="n">
        <v>0.5</v>
      </c>
      <c r="J109" s="9" t="n">
        <v>4.5</v>
      </c>
      <c r="K109" s="9" t="n">
        <f aca="false">C109+3*Assumptions!$B$4*F109+Assumptions!$B$7*G109+H109+I109</f>
        <v>60</v>
      </c>
      <c r="L109" s="9" t="n">
        <f aca="false">D109+3*Assumptions!$B$5*F109+Assumptions!$B$8*G109+H109+I109</f>
        <v>117.2</v>
      </c>
      <c r="M109" s="9" t="n">
        <f aca="false">E109+3*Assumptions!$B$6*F109+Assumptions!$B$9*G109+H109+I109</f>
        <v>299</v>
      </c>
      <c r="N109" s="9" t="n">
        <f aca="false">IF(AND(Assumptions!$B$17,ISNUMBER(J109)),Assumptions!$B$10*Assumptions!$B$13*J109,0)</f>
        <v>6.75</v>
      </c>
      <c r="O109" s="9" t="n">
        <f aca="false">IF(AND(Assumptions!$B$17,ISNUMBER(J109)),Assumptions!$B$11*Assumptions!$B$13*J109,0)</f>
        <v>13.5</v>
      </c>
      <c r="P109" s="9" t="n">
        <f aca="false">IF(AND(Assumptions!$B$17,ISNUMBER(J109)),Assumptions!$B$12*Assumptions!$B$13*J109,0)</f>
        <v>20.25</v>
      </c>
      <c r="Q109" s="9" t="n">
        <f aca="false">IF(Assumptions!$B$18,Assumptions!$B$14*K109,0)</f>
        <v>6</v>
      </c>
      <c r="R109" s="9" t="n">
        <f aca="false">IF(Assumptions!$B$18,Assumptions!$B$15*L109,0)</f>
        <v>23.44</v>
      </c>
      <c r="S109" s="9" t="n">
        <f aca="false">IF(Assumptions!$B$18,Assumptions!$B$16*M109,0)</f>
        <v>104.65</v>
      </c>
      <c r="T109" s="9" t="n">
        <f aca="false">K109+N109+Q109</f>
        <v>72.75</v>
      </c>
      <c r="U109" s="9" t="n">
        <f aca="false">L109+O109+R109</f>
        <v>154.14</v>
      </c>
      <c r="V109" s="9" t="n">
        <f aca="false">M109+P109+S109</f>
        <v>423.9</v>
      </c>
      <c r="W109" s="9" t="n">
        <v>30</v>
      </c>
      <c r="X109" s="9" t="n">
        <v>75</v>
      </c>
      <c r="Y109" s="9" t="n">
        <v>220</v>
      </c>
      <c r="Z109" s="9" t="n">
        <f aca="false">U109-X109</f>
        <v>79.14</v>
      </c>
      <c r="AA109" s="10" t="n">
        <f aca="false">IFERROR((U109-X109)/X109,"")</f>
        <v>1.0552</v>
      </c>
      <c r="AB109" s="8" t="str">
        <f aca="false">IF(ISNUMBER(AA109),IF(ABS(AA109)&gt;Assumptions!$B$19,"REVIEW",""),"")</f>
        <v>REVIEW</v>
      </c>
    </row>
    <row r="110" customFormat="false" ht="15" hidden="false" customHeight="false" outlineLevel="0" collapsed="false">
      <c r="A110" s="8" t="s">
        <v>168</v>
      </c>
      <c r="B110" s="8"/>
      <c r="C110" s="9" t="n">
        <v>30</v>
      </c>
      <c r="D110" s="9" t="n">
        <v>130</v>
      </c>
      <c r="E110" s="9" t="n">
        <v>220</v>
      </c>
      <c r="F110" s="9" t="n">
        <v>15</v>
      </c>
      <c r="G110" s="9" t="n">
        <v>8</v>
      </c>
      <c r="H110" s="9" t="n">
        <v>3</v>
      </c>
      <c r="I110" s="9" t="n">
        <v>1</v>
      </c>
      <c r="J110" s="9" t="n">
        <v>3</v>
      </c>
      <c r="K110" s="9" t="n">
        <f aca="false">C110+3*Assumptions!$B$4*F110+Assumptions!$B$7*G110+H110+I110</f>
        <v>87</v>
      </c>
      <c r="L110" s="9" t="n">
        <f aca="false">D110+3*Assumptions!$B$5*F110+Assumptions!$B$8*G110+H110+I110</f>
        <v>231</v>
      </c>
      <c r="M110" s="9" t="n">
        <f aca="false">E110+3*Assumptions!$B$6*F110+Assumptions!$B$9*G110+H110+I110</f>
        <v>413.5</v>
      </c>
      <c r="N110" s="9" t="n">
        <f aca="false">IF(AND(Assumptions!$B$17,ISNUMBER(J110)),Assumptions!$B$10*Assumptions!$B$13*J110,0)</f>
        <v>4.5</v>
      </c>
      <c r="O110" s="9" t="n">
        <f aca="false">IF(AND(Assumptions!$B$17,ISNUMBER(J110)),Assumptions!$B$11*Assumptions!$B$13*J110,0)</f>
        <v>9</v>
      </c>
      <c r="P110" s="9" t="n">
        <f aca="false">IF(AND(Assumptions!$B$17,ISNUMBER(J110)),Assumptions!$B$12*Assumptions!$B$13*J110,0)</f>
        <v>13.5</v>
      </c>
      <c r="Q110" s="9" t="n">
        <f aca="false">IF(Assumptions!$B$18,Assumptions!$B$14*K110,0)</f>
        <v>8.7</v>
      </c>
      <c r="R110" s="9" t="n">
        <f aca="false">IF(Assumptions!$B$18,Assumptions!$B$15*L110,0)</f>
        <v>46.2</v>
      </c>
      <c r="S110" s="9" t="n">
        <f aca="false">IF(Assumptions!$B$18,Assumptions!$B$16*M110,0)</f>
        <v>144.725</v>
      </c>
      <c r="T110" s="9" t="n">
        <f aca="false">K110+N110+Q110</f>
        <v>100.2</v>
      </c>
      <c r="U110" s="9" t="n">
        <f aca="false">L110+O110+R110</f>
        <v>286.2</v>
      </c>
      <c r="V110" s="9" t="n">
        <f aca="false">M110+P110+S110</f>
        <v>571.725</v>
      </c>
      <c r="W110" s="9" t="n">
        <v>45</v>
      </c>
      <c r="X110" s="9" t="n">
        <v>115</v>
      </c>
      <c r="Y110" s="9" t="n">
        <v>345</v>
      </c>
      <c r="Z110" s="9" t="n">
        <f aca="false">U110-X110</f>
        <v>171.2</v>
      </c>
      <c r="AA110" s="10" t="n">
        <f aca="false">IFERROR((U110-X110)/X110,"")</f>
        <v>1.48869565217391</v>
      </c>
      <c r="AB110" s="8" t="str">
        <f aca="false">IF(ISNUMBER(AA110),IF(ABS(AA110)&gt;Assumptions!$B$19,"REVIEW",""),"")</f>
        <v>REVIEW</v>
      </c>
    </row>
    <row r="111" customFormat="false" ht="15" hidden="false" customHeight="false" outlineLevel="0" collapsed="false">
      <c r="A111" s="8" t="s">
        <v>169</v>
      </c>
      <c r="B111" s="8" t="s">
        <v>60</v>
      </c>
      <c r="C111" s="9" t="n">
        <v>15</v>
      </c>
      <c r="D111" s="9" t="n">
        <v>70</v>
      </c>
      <c r="E111" s="9" t="n">
        <v>180</v>
      </c>
      <c r="F111" s="9" t="n">
        <v>10</v>
      </c>
      <c r="G111" s="9" t="n">
        <v>4</v>
      </c>
      <c r="H111" s="9" t="n">
        <v>2.5</v>
      </c>
      <c r="I111" s="9" t="n">
        <v>0.6</v>
      </c>
      <c r="J111" s="9"/>
      <c r="K111" s="9" t="n">
        <f aca="false">C111+3*Assumptions!$B$4*F111+Assumptions!$B$7*G111+H111+I111</f>
        <v>52.1</v>
      </c>
      <c r="L111" s="9" t="n">
        <f aca="false">D111+3*Assumptions!$B$5*F111+Assumptions!$B$8*G111+H111+I111</f>
        <v>135.1</v>
      </c>
      <c r="M111" s="9" t="n">
        <f aca="false">E111+3*Assumptions!$B$6*F111+Assumptions!$B$9*G111+H111+I111</f>
        <v>304.1</v>
      </c>
      <c r="N111" s="9" t="n">
        <f aca="false">IF(AND(Assumptions!$B$17,ISNUMBER(J111)),Assumptions!$B$10*Assumptions!$B$13*J111,0)</f>
        <v>0</v>
      </c>
      <c r="O111" s="9" t="n">
        <f aca="false">IF(AND(Assumptions!$B$17,ISNUMBER(J111)),Assumptions!$B$11*Assumptions!$B$13*J111,0)</f>
        <v>0</v>
      </c>
      <c r="P111" s="9" t="n">
        <f aca="false">IF(AND(Assumptions!$B$17,ISNUMBER(J111)),Assumptions!$B$12*Assumptions!$B$13*J111,0)</f>
        <v>0</v>
      </c>
      <c r="Q111" s="9" t="n">
        <f aca="false">IF(Assumptions!$B$18,Assumptions!$B$14*K111,0)</f>
        <v>5.21</v>
      </c>
      <c r="R111" s="9" t="n">
        <f aca="false">IF(Assumptions!$B$18,Assumptions!$B$15*L111,0)</f>
        <v>27.02</v>
      </c>
      <c r="S111" s="9" t="n">
        <f aca="false">IF(Assumptions!$B$18,Assumptions!$B$16*M111,0)</f>
        <v>106.435</v>
      </c>
      <c r="T111" s="9" t="n">
        <f aca="false">K111+N111+Q111</f>
        <v>57.31</v>
      </c>
      <c r="U111" s="9" t="n">
        <f aca="false">L111+O111+R111</f>
        <v>162.12</v>
      </c>
      <c r="V111" s="9" t="n">
        <f aca="false">M111+P111+S111</f>
        <v>410.535</v>
      </c>
      <c r="W111" s="9" t="n">
        <v>35</v>
      </c>
      <c r="X111" s="9" t="n">
        <v>85</v>
      </c>
      <c r="Y111" s="9" t="n">
        <v>265</v>
      </c>
      <c r="Z111" s="9" t="n">
        <f aca="false">U111-X111</f>
        <v>77.12</v>
      </c>
      <c r="AA111" s="10" t="n">
        <f aca="false">IFERROR((U111-X111)/X111,"")</f>
        <v>0.907294117647059</v>
      </c>
      <c r="AB111" s="8" t="str">
        <f aca="false">IF(ISNUMBER(AA111),IF(ABS(AA111)&gt;Assumptions!$B$19,"REVIEW",""),"")</f>
        <v>REVIEW</v>
      </c>
    </row>
    <row r="112" customFormat="false" ht="15" hidden="false" customHeight="false" outlineLevel="0" collapsed="false">
      <c r="A112" s="8" t="s">
        <v>170</v>
      </c>
      <c r="B112" s="8"/>
      <c r="C112" s="9" t="n">
        <v>15</v>
      </c>
      <c r="D112" s="9" t="n">
        <v>70</v>
      </c>
      <c r="E112" s="9" t="n">
        <v>250</v>
      </c>
      <c r="F112" s="9" t="n">
        <v>10</v>
      </c>
      <c r="G112" s="9" t="n">
        <v>5</v>
      </c>
      <c r="H112" s="9" t="n">
        <v>3</v>
      </c>
      <c r="I112" s="9" t="n">
        <v>1</v>
      </c>
      <c r="J112" s="9" t="n">
        <v>2</v>
      </c>
      <c r="K112" s="9" t="n">
        <f aca="false">C112+3*Assumptions!$B$4*F112+Assumptions!$B$7*G112+H112+I112</f>
        <v>54</v>
      </c>
      <c r="L112" s="9" t="n">
        <f aca="false">D112+3*Assumptions!$B$5*F112+Assumptions!$B$8*G112+H112+I112</f>
        <v>138</v>
      </c>
      <c r="M112" s="9" t="n">
        <f aca="false">E112+3*Assumptions!$B$6*F112+Assumptions!$B$9*G112+H112+I112</f>
        <v>379</v>
      </c>
      <c r="N112" s="9" t="n">
        <f aca="false">IF(AND(Assumptions!$B$17,ISNUMBER(J112)),Assumptions!$B$10*Assumptions!$B$13*J112,0)</f>
        <v>3</v>
      </c>
      <c r="O112" s="9" t="n">
        <f aca="false">IF(AND(Assumptions!$B$17,ISNUMBER(J112)),Assumptions!$B$11*Assumptions!$B$13*J112,0)</f>
        <v>6</v>
      </c>
      <c r="P112" s="9" t="n">
        <f aca="false">IF(AND(Assumptions!$B$17,ISNUMBER(J112)),Assumptions!$B$12*Assumptions!$B$13*J112,0)</f>
        <v>9</v>
      </c>
      <c r="Q112" s="9" t="n">
        <f aca="false">IF(Assumptions!$B$18,Assumptions!$B$14*K112,0)</f>
        <v>5.4</v>
      </c>
      <c r="R112" s="9" t="n">
        <f aca="false">IF(Assumptions!$B$18,Assumptions!$B$15*L112,0)</f>
        <v>27.6</v>
      </c>
      <c r="S112" s="9" t="n">
        <f aca="false">IF(Assumptions!$B$18,Assumptions!$B$16*M112,0)</f>
        <v>132.65</v>
      </c>
      <c r="T112" s="9" t="n">
        <f aca="false">K112+N112+Q112</f>
        <v>62.4</v>
      </c>
      <c r="U112" s="9" t="n">
        <f aca="false">L112+O112+R112</f>
        <v>171.6</v>
      </c>
      <c r="V112" s="9" t="n">
        <f aca="false">M112+P112+S112</f>
        <v>520.65</v>
      </c>
      <c r="W112" s="9" t="n">
        <v>35</v>
      </c>
      <c r="X112" s="9" t="n">
        <v>95</v>
      </c>
      <c r="Y112" s="9" t="n">
        <v>295</v>
      </c>
      <c r="Z112" s="9" t="n">
        <f aca="false">U112-X112</f>
        <v>76.6</v>
      </c>
      <c r="AA112" s="10" t="n">
        <f aca="false">IFERROR((U112-X112)/X112,"")</f>
        <v>0.806315789473684</v>
      </c>
      <c r="AB112" s="8" t="str">
        <f aca="false">IF(ISNUMBER(AA112),IF(ABS(AA112)&gt;Assumptions!$B$19,"REVIEW",""),"")</f>
        <v>REVIEW</v>
      </c>
    </row>
    <row r="113" customFormat="false" ht="15" hidden="false" customHeight="false" outlineLevel="0" collapsed="false">
      <c r="A113" s="8" t="s">
        <v>171</v>
      </c>
      <c r="B113" s="8"/>
      <c r="C113" s="9" t="n">
        <v>25</v>
      </c>
      <c r="D113" s="9" t="n">
        <v>70</v>
      </c>
      <c r="E113" s="9" t="n">
        <v>130</v>
      </c>
      <c r="F113" s="9" t="n">
        <v>5</v>
      </c>
      <c r="G113" s="9" t="n">
        <v>3</v>
      </c>
      <c r="H113" s="9" t="n">
        <v>1.5</v>
      </c>
      <c r="I113" s="9" t="n">
        <v>0.5</v>
      </c>
      <c r="J113" s="9" t="n">
        <v>1.5</v>
      </c>
      <c r="K113" s="9" t="n">
        <f aca="false">C113+3*Assumptions!$B$4*F113+Assumptions!$B$7*G113+H113+I113</f>
        <v>45</v>
      </c>
      <c r="L113" s="9" t="n">
        <f aca="false">D113+3*Assumptions!$B$5*F113+Assumptions!$B$8*G113+H113+I113</f>
        <v>105</v>
      </c>
      <c r="M113" s="9" t="n">
        <f aca="false">E113+3*Assumptions!$B$6*F113+Assumptions!$B$9*G113+H113+I113</f>
        <v>196.5</v>
      </c>
      <c r="N113" s="9" t="n">
        <f aca="false">IF(AND(Assumptions!$B$17,ISNUMBER(J113)),Assumptions!$B$10*Assumptions!$B$13*J113,0)</f>
        <v>2.25</v>
      </c>
      <c r="O113" s="9" t="n">
        <f aca="false">IF(AND(Assumptions!$B$17,ISNUMBER(J113)),Assumptions!$B$11*Assumptions!$B$13*J113,0)</f>
        <v>4.5</v>
      </c>
      <c r="P113" s="9" t="n">
        <f aca="false">IF(AND(Assumptions!$B$17,ISNUMBER(J113)),Assumptions!$B$12*Assumptions!$B$13*J113,0)</f>
        <v>6.75</v>
      </c>
      <c r="Q113" s="9" t="n">
        <f aca="false">IF(Assumptions!$B$18,Assumptions!$B$14*K113,0)</f>
        <v>4.5</v>
      </c>
      <c r="R113" s="9" t="n">
        <f aca="false">IF(Assumptions!$B$18,Assumptions!$B$15*L113,0)</f>
        <v>21</v>
      </c>
      <c r="S113" s="9" t="n">
        <f aca="false">IF(Assumptions!$B$18,Assumptions!$B$16*M113,0)</f>
        <v>68.775</v>
      </c>
      <c r="T113" s="9" t="n">
        <f aca="false">K113+N113+Q113</f>
        <v>51.75</v>
      </c>
      <c r="U113" s="9" t="n">
        <f aca="false">L113+O113+R113</f>
        <v>130.5</v>
      </c>
      <c r="V113" s="9" t="n">
        <f aca="false">M113+P113+S113</f>
        <v>272.025</v>
      </c>
      <c r="W113" s="9" t="n">
        <v>30</v>
      </c>
      <c r="X113" s="9" t="n">
        <v>70</v>
      </c>
      <c r="Y113" s="9" t="n">
        <v>200</v>
      </c>
      <c r="Z113" s="9" t="n">
        <f aca="false">U113-X113</f>
        <v>60.5</v>
      </c>
      <c r="AA113" s="10" t="n">
        <f aca="false">IFERROR((U113-X113)/X113,"")</f>
        <v>0.864285714285714</v>
      </c>
      <c r="AB113" s="8" t="str">
        <f aca="false">IF(ISNUMBER(AA113),IF(ABS(AA113)&gt;Assumptions!$B$19,"REVIEW",""),"")</f>
        <v>REVIEW</v>
      </c>
    </row>
    <row r="114" customFormat="false" ht="15" hidden="false" customHeight="false" outlineLevel="0" collapsed="false">
      <c r="A114" s="8" t="s">
        <v>172</v>
      </c>
      <c r="B114" s="8" t="s">
        <v>60</v>
      </c>
      <c r="C114" s="9" t="n">
        <v>20</v>
      </c>
      <c r="D114" s="9" t="n">
        <v>70</v>
      </c>
      <c r="E114" s="9" t="n">
        <v>150</v>
      </c>
      <c r="F114" s="9" t="n">
        <v>8</v>
      </c>
      <c r="G114" s="9" t="n">
        <v>4</v>
      </c>
      <c r="H114" s="9" t="n">
        <v>3</v>
      </c>
      <c r="I114" s="9" t="n">
        <v>0.3</v>
      </c>
      <c r="J114" s="9"/>
      <c r="K114" s="9" t="n">
        <f aca="false">C114+3*Assumptions!$B$4*F114+Assumptions!$B$7*G114+H114+I114</f>
        <v>51.3</v>
      </c>
      <c r="L114" s="9" t="n">
        <f aca="false">D114+3*Assumptions!$B$5*F114+Assumptions!$B$8*G114+H114+I114</f>
        <v>124.5</v>
      </c>
      <c r="M114" s="9" t="n">
        <f aca="false">E114+3*Assumptions!$B$6*F114+Assumptions!$B$9*G114+H114+I114</f>
        <v>253.3</v>
      </c>
      <c r="N114" s="9" t="n">
        <f aca="false">IF(AND(Assumptions!$B$17,ISNUMBER(J114)),Assumptions!$B$10*Assumptions!$B$13*J114,0)</f>
        <v>0</v>
      </c>
      <c r="O114" s="9" t="n">
        <f aca="false">IF(AND(Assumptions!$B$17,ISNUMBER(J114)),Assumptions!$B$11*Assumptions!$B$13*J114,0)</f>
        <v>0</v>
      </c>
      <c r="P114" s="9" t="n">
        <f aca="false">IF(AND(Assumptions!$B$17,ISNUMBER(J114)),Assumptions!$B$12*Assumptions!$B$13*J114,0)</f>
        <v>0</v>
      </c>
      <c r="Q114" s="9" t="n">
        <f aca="false">IF(Assumptions!$B$18,Assumptions!$B$14*K114,0)</f>
        <v>5.13</v>
      </c>
      <c r="R114" s="9" t="n">
        <f aca="false">IF(Assumptions!$B$18,Assumptions!$B$15*L114,0)</f>
        <v>24.9</v>
      </c>
      <c r="S114" s="9" t="n">
        <f aca="false">IF(Assumptions!$B$18,Assumptions!$B$16*M114,0)</f>
        <v>88.655</v>
      </c>
      <c r="T114" s="9" t="n">
        <f aca="false">K114+N114+Q114</f>
        <v>56.43</v>
      </c>
      <c r="U114" s="9" t="n">
        <f aca="false">L114+O114+R114</f>
        <v>149.4</v>
      </c>
      <c r="V114" s="9" t="n">
        <f aca="false">M114+P114+S114</f>
        <v>341.955</v>
      </c>
      <c r="W114" s="9" t="n">
        <v>35</v>
      </c>
      <c r="X114" s="9" t="n">
        <v>80</v>
      </c>
      <c r="Y114" s="9" t="n">
        <v>245</v>
      </c>
      <c r="Z114" s="9" t="n">
        <f aca="false">U114-X114</f>
        <v>69.4</v>
      </c>
      <c r="AA114" s="10" t="n">
        <f aca="false">IFERROR((U114-X114)/X114,"")</f>
        <v>0.8675</v>
      </c>
      <c r="AB114" s="8" t="str">
        <f aca="false">IF(ISNUMBER(AA114),IF(ABS(AA114)&gt;Assumptions!$B$19,"REVIEW",""),"")</f>
        <v>REVIEW</v>
      </c>
    </row>
    <row r="115" customFormat="false" ht="15" hidden="false" customHeight="false" outlineLevel="0" collapsed="false">
      <c r="A115" s="8" t="s">
        <v>173</v>
      </c>
      <c r="B115" s="8"/>
      <c r="C115" s="9" t="n">
        <v>12</v>
      </c>
      <c r="D115" s="9" t="n">
        <v>45</v>
      </c>
      <c r="E115" s="9" t="n">
        <v>220</v>
      </c>
      <c r="F115" s="9" t="n">
        <v>6</v>
      </c>
      <c r="G115" s="9" t="n">
        <v>4</v>
      </c>
      <c r="H115" s="9" t="n">
        <v>2.5</v>
      </c>
      <c r="I115" s="9" t="n">
        <v>0.4</v>
      </c>
      <c r="J115" s="9" t="n">
        <v>3.5</v>
      </c>
      <c r="K115" s="9" t="n">
        <f aca="false">C115+3*Assumptions!$B$4*F115+Assumptions!$B$7*G115+H115+I115</f>
        <v>36.9</v>
      </c>
      <c r="L115" s="9" t="n">
        <f aca="false">D115+3*Assumptions!$B$5*F115+Assumptions!$B$8*G115+H115+I115</f>
        <v>88.3</v>
      </c>
      <c r="M115" s="9" t="n">
        <f aca="false">E115+3*Assumptions!$B$6*F115+Assumptions!$B$9*G115+H115+I115</f>
        <v>301.9</v>
      </c>
      <c r="N115" s="9" t="n">
        <f aca="false">IF(AND(Assumptions!$B$17,ISNUMBER(J115)),Assumptions!$B$10*Assumptions!$B$13*J115,0)</f>
        <v>5.25</v>
      </c>
      <c r="O115" s="9" t="n">
        <f aca="false">IF(AND(Assumptions!$B$17,ISNUMBER(J115)),Assumptions!$B$11*Assumptions!$B$13*J115,0)</f>
        <v>10.5</v>
      </c>
      <c r="P115" s="9" t="n">
        <f aca="false">IF(AND(Assumptions!$B$17,ISNUMBER(J115)),Assumptions!$B$12*Assumptions!$B$13*J115,0)</f>
        <v>15.75</v>
      </c>
      <c r="Q115" s="9" t="n">
        <f aca="false">IF(Assumptions!$B$18,Assumptions!$B$14*K115,0)</f>
        <v>3.69</v>
      </c>
      <c r="R115" s="9" t="n">
        <f aca="false">IF(Assumptions!$B$18,Assumptions!$B$15*L115,0)</f>
        <v>17.66</v>
      </c>
      <c r="S115" s="9" t="n">
        <f aca="false">IF(Assumptions!$B$18,Assumptions!$B$16*M115,0)</f>
        <v>105.665</v>
      </c>
      <c r="T115" s="9" t="n">
        <f aca="false">K115+N115+Q115</f>
        <v>45.84</v>
      </c>
      <c r="U115" s="9" t="n">
        <f aca="false">L115+O115+R115</f>
        <v>116.46</v>
      </c>
      <c r="V115" s="9" t="n">
        <f aca="false">M115+P115+S115</f>
        <v>423.315</v>
      </c>
      <c r="W115" s="9" t="n">
        <v>30</v>
      </c>
      <c r="X115" s="9" t="n">
        <v>80</v>
      </c>
      <c r="Y115" s="9" t="n">
        <v>245</v>
      </c>
      <c r="Z115" s="9" t="n">
        <f aca="false">U115-X115</f>
        <v>36.46</v>
      </c>
      <c r="AA115" s="10" t="n">
        <f aca="false">IFERROR((U115-X115)/X115,"")</f>
        <v>0.45575</v>
      </c>
      <c r="AB115" s="8" t="str">
        <f aca="false">IF(ISNUMBER(AA115),IF(ABS(AA115)&gt;Assumptions!$B$19,"REVIEW",""),"")</f>
        <v>REVIEW</v>
      </c>
    </row>
    <row r="116" customFormat="false" ht="15" hidden="false" customHeight="false" outlineLevel="0" collapsed="false">
      <c r="A116" s="8" t="s">
        <v>174</v>
      </c>
      <c r="B116" s="8" t="s">
        <v>60</v>
      </c>
      <c r="C116" s="9" t="n">
        <v>35</v>
      </c>
      <c r="D116" s="9" t="n">
        <v>90</v>
      </c>
      <c r="E116" s="9" t="n">
        <v>220</v>
      </c>
      <c r="F116" s="9" t="n">
        <v>12</v>
      </c>
      <c r="G116" s="9" t="n">
        <v>6</v>
      </c>
      <c r="H116" s="9" t="n">
        <v>2.5</v>
      </c>
      <c r="I116" s="9" t="n">
        <v>0.5</v>
      </c>
      <c r="J116" s="9"/>
      <c r="K116" s="9" t="n">
        <f aca="false">C116+3*Assumptions!$B$4*F116+Assumptions!$B$7*G116+H116+I116</f>
        <v>80</v>
      </c>
      <c r="L116" s="9" t="n">
        <f aca="false">D116+3*Assumptions!$B$5*F116+Assumptions!$B$8*G116+H116+I116</f>
        <v>169.8</v>
      </c>
      <c r="M116" s="9" t="n">
        <f aca="false">E116+3*Assumptions!$B$6*F116+Assumptions!$B$9*G116+H116+I116</f>
        <v>373</v>
      </c>
      <c r="N116" s="9" t="n">
        <f aca="false">IF(AND(Assumptions!$B$17,ISNUMBER(J116)),Assumptions!$B$10*Assumptions!$B$13*J116,0)</f>
        <v>0</v>
      </c>
      <c r="O116" s="9" t="n">
        <f aca="false">IF(AND(Assumptions!$B$17,ISNUMBER(J116)),Assumptions!$B$11*Assumptions!$B$13*J116,0)</f>
        <v>0</v>
      </c>
      <c r="P116" s="9" t="n">
        <f aca="false">IF(AND(Assumptions!$B$17,ISNUMBER(J116)),Assumptions!$B$12*Assumptions!$B$13*J116,0)</f>
        <v>0</v>
      </c>
      <c r="Q116" s="9" t="n">
        <f aca="false">IF(Assumptions!$B$18,Assumptions!$B$14*K116,0)</f>
        <v>8</v>
      </c>
      <c r="R116" s="9" t="n">
        <f aca="false">IF(Assumptions!$B$18,Assumptions!$B$15*L116,0)</f>
        <v>33.96</v>
      </c>
      <c r="S116" s="9" t="n">
        <f aca="false">IF(Assumptions!$B$18,Assumptions!$B$16*M116,0)</f>
        <v>130.55</v>
      </c>
      <c r="T116" s="9" t="n">
        <f aca="false">K116+N116+Q116</f>
        <v>88</v>
      </c>
      <c r="U116" s="9" t="n">
        <f aca="false">L116+O116+R116</f>
        <v>203.76</v>
      </c>
      <c r="V116" s="9" t="n">
        <f aca="false">M116+P116+S116</f>
        <v>503.55</v>
      </c>
      <c r="W116" s="9" t="n">
        <v>45</v>
      </c>
      <c r="X116" s="9" t="n">
        <v>110</v>
      </c>
      <c r="Y116" s="9" t="n">
        <v>330</v>
      </c>
      <c r="Z116" s="9" t="n">
        <f aca="false">U116-X116</f>
        <v>93.76</v>
      </c>
      <c r="AA116" s="10" t="n">
        <f aca="false">IFERROR((U116-X116)/X116,"")</f>
        <v>0.852363636363637</v>
      </c>
      <c r="AB116" s="8" t="str">
        <f aca="false">IF(ISNUMBER(AA116),IF(ABS(AA116)&gt;Assumptions!$B$19,"REVIEW",""),"")</f>
        <v>REVIEW</v>
      </c>
    </row>
    <row r="117" customFormat="false" ht="15" hidden="false" customHeight="false" outlineLevel="0" collapsed="false">
      <c r="A117" s="8" t="s">
        <v>175</v>
      </c>
      <c r="B117" s="8"/>
      <c r="C117" s="9" t="n">
        <v>25</v>
      </c>
      <c r="D117" s="9" t="n">
        <v>75</v>
      </c>
      <c r="E117" s="9" t="n">
        <v>250</v>
      </c>
      <c r="F117" s="9" t="n">
        <v>12</v>
      </c>
      <c r="G117" s="9" t="n">
        <v>6</v>
      </c>
      <c r="H117" s="9" t="n">
        <v>2.5</v>
      </c>
      <c r="I117" s="9" t="n">
        <v>0.7</v>
      </c>
      <c r="J117" s="9" t="n">
        <v>2</v>
      </c>
      <c r="K117" s="9" t="n">
        <f aca="false">C117+3*Assumptions!$B$4*F117+Assumptions!$B$7*G117+H117+I117</f>
        <v>70.2</v>
      </c>
      <c r="L117" s="9" t="n">
        <f aca="false">D117+3*Assumptions!$B$5*F117+Assumptions!$B$8*G117+H117+I117</f>
        <v>155</v>
      </c>
      <c r="M117" s="9" t="n">
        <f aca="false">E117+3*Assumptions!$B$6*F117+Assumptions!$B$9*G117+H117+I117</f>
        <v>403.2</v>
      </c>
      <c r="N117" s="9" t="n">
        <f aca="false">IF(AND(Assumptions!$B$17,ISNUMBER(J117)),Assumptions!$B$10*Assumptions!$B$13*J117,0)</f>
        <v>3</v>
      </c>
      <c r="O117" s="9" t="n">
        <f aca="false">IF(AND(Assumptions!$B$17,ISNUMBER(J117)),Assumptions!$B$11*Assumptions!$B$13*J117,0)</f>
        <v>6</v>
      </c>
      <c r="P117" s="9" t="n">
        <f aca="false">IF(AND(Assumptions!$B$17,ISNUMBER(J117)),Assumptions!$B$12*Assumptions!$B$13*J117,0)</f>
        <v>9</v>
      </c>
      <c r="Q117" s="9" t="n">
        <f aca="false">IF(Assumptions!$B$18,Assumptions!$B$14*K117,0)</f>
        <v>7.02</v>
      </c>
      <c r="R117" s="9" t="n">
        <f aca="false">IF(Assumptions!$B$18,Assumptions!$B$15*L117,0)</f>
        <v>31</v>
      </c>
      <c r="S117" s="9" t="n">
        <f aca="false">IF(Assumptions!$B$18,Assumptions!$B$16*M117,0)</f>
        <v>141.12</v>
      </c>
      <c r="T117" s="9" t="n">
        <f aca="false">K117+N117+Q117</f>
        <v>80.22</v>
      </c>
      <c r="U117" s="9" t="n">
        <f aca="false">L117+O117+R117</f>
        <v>192</v>
      </c>
      <c r="V117" s="9" t="n">
        <f aca="false">M117+P117+S117</f>
        <v>553.32</v>
      </c>
      <c r="W117" s="9" t="n">
        <v>40</v>
      </c>
      <c r="X117" s="9" t="n">
        <v>105</v>
      </c>
      <c r="Y117" s="9" t="n">
        <v>330</v>
      </c>
      <c r="Z117" s="9" t="n">
        <f aca="false">U117-X117</f>
        <v>87</v>
      </c>
      <c r="AA117" s="10" t="n">
        <f aca="false">IFERROR((U117-X117)/X117,"")</f>
        <v>0.828571428571429</v>
      </c>
      <c r="AB117" s="8" t="str">
        <f aca="false">IF(ISNUMBER(AA117),IF(ABS(AA117)&gt;Assumptions!$B$19,"REVIEW",""),"")</f>
        <v>REVIEW</v>
      </c>
    </row>
    <row r="118" customFormat="false" ht="15" hidden="false" customHeight="false" outlineLevel="0" collapsed="false">
      <c r="A118" s="8" t="s">
        <v>176</v>
      </c>
      <c r="B118" s="8"/>
      <c r="C118" s="9" t="n">
        <v>65</v>
      </c>
      <c r="D118" s="9" t="n">
        <v>120</v>
      </c>
      <c r="E118" s="9" t="n">
        <v>280</v>
      </c>
      <c r="F118" s="9" t="n">
        <v>18</v>
      </c>
      <c r="G118" s="9" t="n">
        <v>12</v>
      </c>
      <c r="H118" s="9" t="n">
        <v>3</v>
      </c>
      <c r="I118" s="9" t="n">
        <v>1.5</v>
      </c>
      <c r="J118" s="9" t="n">
        <v>3.5</v>
      </c>
      <c r="K118" s="9" t="n">
        <f aca="false">C118+3*Assumptions!$B$4*F118+Assumptions!$B$7*G118+H118+I118</f>
        <v>135.5</v>
      </c>
      <c r="L118" s="9" t="n">
        <f aca="false">D118+3*Assumptions!$B$5*F118+Assumptions!$B$8*G118+H118+I118</f>
        <v>245.7</v>
      </c>
      <c r="M118" s="9" t="n">
        <f aca="false">E118+3*Assumptions!$B$6*F118+Assumptions!$B$9*G118+H118+I118</f>
        <v>521.5</v>
      </c>
      <c r="N118" s="9" t="n">
        <f aca="false">IF(AND(Assumptions!$B$17,ISNUMBER(J118)),Assumptions!$B$10*Assumptions!$B$13*J118,0)</f>
        <v>5.25</v>
      </c>
      <c r="O118" s="9" t="n">
        <f aca="false">IF(AND(Assumptions!$B$17,ISNUMBER(J118)),Assumptions!$B$11*Assumptions!$B$13*J118,0)</f>
        <v>10.5</v>
      </c>
      <c r="P118" s="9" t="n">
        <f aca="false">IF(AND(Assumptions!$B$17,ISNUMBER(J118)),Assumptions!$B$12*Assumptions!$B$13*J118,0)</f>
        <v>15.75</v>
      </c>
      <c r="Q118" s="9" t="n">
        <f aca="false">IF(Assumptions!$B$18,Assumptions!$B$14*K118,0)</f>
        <v>13.55</v>
      </c>
      <c r="R118" s="9" t="n">
        <f aca="false">IF(Assumptions!$B$18,Assumptions!$B$15*L118,0)</f>
        <v>49.14</v>
      </c>
      <c r="S118" s="9" t="n">
        <f aca="false">IF(Assumptions!$B$18,Assumptions!$B$16*M118,0)</f>
        <v>182.525</v>
      </c>
      <c r="T118" s="9" t="n">
        <f aca="false">K118+N118+Q118</f>
        <v>154.3</v>
      </c>
      <c r="U118" s="9" t="n">
        <f aca="false">L118+O118+R118</f>
        <v>305.34</v>
      </c>
      <c r="V118" s="9" t="n">
        <f aca="false">M118+P118+S118</f>
        <v>719.775</v>
      </c>
      <c r="W118" s="9" t="n">
        <v>65</v>
      </c>
      <c r="X118" s="9" t="n">
        <v>160</v>
      </c>
      <c r="Y118" s="9" t="n">
        <v>450</v>
      </c>
      <c r="Z118" s="9" t="n">
        <f aca="false">U118-X118</f>
        <v>145.34</v>
      </c>
      <c r="AA118" s="10" t="n">
        <f aca="false">IFERROR((U118-X118)/X118,"")</f>
        <v>0.908375</v>
      </c>
      <c r="AB118" s="8" t="str">
        <f aca="false">IF(ISNUMBER(AA118),IF(ABS(AA118)&gt;Assumptions!$B$19,"REVIEW",""),"")</f>
        <v>REVIEW</v>
      </c>
    </row>
    <row r="119" customFormat="false" ht="15" hidden="false" customHeight="false" outlineLevel="0" collapsed="false">
      <c r="A119" s="8" t="s">
        <v>177</v>
      </c>
      <c r="B119" s="8"/>
      <c r="C119" s="9" t="n">
        <v>45</v>
      </c>
      <c r="D119" s="9" t="n">
        <v>150</v>
      </c>
      <c r="E119" s="9" t="n">
        <v>300</v>
      </c>
      <c r="F119" s="9" t="n">
        <v>18</v>
      </c>
      <c r="G119" s="9" t="n">
        <v>8</v>
      </c>
      <c r="H119" s="9" t="n">
        <v>5.5</v>
      </c>
      <c r="I119" s="9" t="n">
        <v>1.5</v>
      </c>
      <c r="J119" s="9" t="n">
        <v>2.5</v>
      </c>
      <c r="K119" s="9" t="n">
        <f aca="false">C119+3*Assumptions!$B$4*F119+Assumptions!$B$7*G119+H119+I119</f>
        <v>114</v>
      </c>
      <c r="L119" s="9" t="n">
        <f aca="false">D119+3*Assumptions!$B$5*F119+Assumptions!$B$8*G119+H119+I119</f>
        <v>270.2</v>
      </c>
      <c r="M119" s="9" t="n">
        <f aca="false">E119+3*Assumptions!$B$6*F119+Assumptions!$B$9*G119+H119+I119</f>
        <v>528</v>
      </c>
      <c r="N119" s="9" t="n">
        <f aca="false">IF(AND(Assumptions!$B$17,ISNUMBER(J119)),Assumptions!$B$10*Assumptions!$B$13*J119,0)</f>
        <v>3.75</v>
      </c>
      <c r="O119" s="9" t="n">
        <f aca="false">IF(AND(Assumptions!$B$17,ISNUMBER(J119)),Assumptions!$B$11*Assumptions!$B$13*J119,0)</f>
        <v>7.5</v>
      </c>
      <c r="P119" s="9" t="n">
        <f aca="false">IF(AND(Assumptions!$B$17,ISNUMBER(J119)),Assumptions!$B$12*Assumptions!$B$13*J119,0)</f>
        <v>11.25</v>
      </c>
      <c r="Q119" s="9" t="n">
        <f aca="false">IF(Assumptions!$B$18,Assumptions!$B$14*K119,0)</f>
        <v>11.4</v>
      </c>
      <c r="R119" s="9" t="n">
        <f aca="false">IF(Assumptions!$B$18,Assumptions!$B$15*L119,0)</f>
        <v>54.04</v>
      </c>
      <c r="S119" s="9" t="n">
        <f aca="false">IF(Assumptions!$B$18,Assumptions!$B$16*M119,0)</f>
        <v>184.8</v>
      </c>
      <c r="T119" s="9" t="n">
        <f aca="false">K119+N119+Q119</f>
        <v>129.15</v>
      </c>
      <c r="U119" s="9" t="n">
        <f aca="false">L119+O119+R119</f>
        <v>331.74</v>
      </c>
      <c r="V119" s="9" t="n">
        <f aca="false">M119+P119+S119</f>
        <v>724.05</v>
      </c>
      <c r="W119" s="9" t="n">
        <v>55</v>
      </c>
      <c r="X119" s="9" t="n">
        <v>145</v>
      </c>
      <c r="Y119" s="9" t="n">
        <v>425</v>
      </c>
      <c r="Z119" s="9" t="n">
        <f aca="false">U119-X119</f>
        <v>186.74</v>
      </c>
      <c r="AA119" s="10" t="n">
        <f aca="false">IFERROR((U119-X119)/X119,"")</f>
        <v>1.28786206896552</v>
      </c>
      <c r="AB119" s="8" t="str">
        <f aca="false">IF(ISNUMBER(AA119),IF(ABS(AA119)&gt;Assumptions!$B$19,"REVIEW",""),"")</f>
        <v>REVIEW</v>
      </c>
    </row>
    <row r="120" customFormat="false" ht="15" hidden="false" customHeight="false" outlineLevel="0" collapsed="false">
      <c r="A120" s="8" t="s">
        <v>178</v>
      </c>
      <c r="B120" s="8"/>
      <c r="C120" s="9" t="n">
        <v>18</v>
      </c>
      <c r="D120" s="9" t="n">
        <v>45</v>
      </c>
      <c r="E120" s="9" t="n">
        <v>130</v>
      </c>
      <c r="F120" s="9" t="n">
        <v>5</v>
      </c>
      <c r="G120" s="9" t="n">
        <v>3</v>
      </c>
      <c r="H120" s="9" t="n">
        <v>1.5</v>
      </c>
      <c r="I120" s="9" t="n">
        <v>0.3</v>
      </c>
      <c r="J120" s="9" t="n">
        <v>2.5</v>
      </c>
      <c r="K120" s="9" t="n">
        <f aca="false">C120+3*Assumptions!$B$4*F120+Assumptions!$B$7*G120+H120+I120</f>
        <v>37.8</v>
      </c>
      <c r="L120" s="9" t="n">
        <f aca="false">D120+3*Assumptions!$B$5*F120+Assumptions!$B$8*G120+H120+I120</f>
        <v>79.8</v>
      </c>
      <c r="M120" s="9" t="n">
        <f aca="false">E120+3*Assumptions!$B$6*F120+Assumptions!$B$9*G120+H120+I120</f>
        <v>196.3</v>
      </c>
      <c r="N120" s="9" t="n">
        <f aca="false">IF(AND(Assumptions!$B$17,ISNUMBER(J120)),Assumptions!$B$10*Assumptions!$B$13*J120,0)</f>
        <v>3.75</v>
      </c>
      <c r="O120" s="9" t="n">
        <f aca="false">IF(AND(Assumptions!$B$17,ISNUMBER(J120)),Assumptions!$B$11*Assumptions!$B$13*J120,0)</f>
        <v>7.5</v>
      </c>
      <c r="P120" s="9" t="n">
        <f aca="false">IF(AND(Assumptions!$B$17,ISNUMBER(J120)),Assumptions!$B$12*Assumptions!$B$13*J120,0)</f>
        <v>11.25</v>
      </c>
      <c r="Q120" s="9" t="n">
        <f aca="false">IF(Assumptions!$B$18,Assumptions!$B$14*K120,0)</f>
        <v>3.78</v>
      </c>
      <c r="R120" s="9" t="n">
        <f aca="false">IF(Assumptions!$B$18,Assumptions!$B$15*L120,0)</f>
        <v>15.96</v>
      </c>
      <c r="S120" s="9" t="n">
        <f aca="false">IF(Assumptions!$B$18,Assumptions!$B$16*M120,0)</f>
        <v>68.705</v>
      </c>
      <c r="T120" s="9" t="n">
        <f aca="false">K120+N120+Q120</f>
        <v>45.33</v>
      </c>
      <c r="U120" s="9" t="n">
        <f aca="false">L120+O120+R120</f>
        <v>103.26</v>
      </c>
      <c r="V120" s="9" t="n">
        <f aca="false">M120+P120+S120</f>
        <v>276.255</v>
      </c>
      <c r="W120" s="9" t="n">
        <v>25</v>
      </c>
      <c r="X120" s="9" t="n">
        <v>60</v>
      </c>
      <c r="Y120" s="9" t="n">
        <v>200</v>
      </c>
      <c r="Z120" s="9" t="n">
        <f aca="false">U120-X120</f>
        <v>43.26</v>
      </c>
      <c r="AA120" s="10" t="n">
        <f aca="false">IFERROR((U120-X120)/X120,"")</f>
        <v>0.721</v>
      </c>
      <c r="AB120" s="8" t="str">
        <f aca="false">IF(ISNUMBER(AA120),IF(ABS(AA120)&gt;Assumptions!$B$19,"REVIEW",""),"")</f>
        <v>REVIEW</v>
      </c>
    </row>
    <row r="121" customFormat="false" ht="15" hidden="false" customHeight="false" outlineLevel="0" collapsed="false">
      <c r="A121" s="8" t="s">
        <v>179</v>
      </c>
      <c r="B121" s="8"/>
      <c r="C121" s="9" t="n">
        <v>60</v>
      </c>
      <c r="D121" s="9" t="n">
        <v>140</v>
      </c>
      <c r="E121" s="9" t="n">
        <v>300</v>
      </c>
      <c r="F121" s="9" t="n">
        <v>18</v>
      </c>
      <c r="G121" s="9" t="n">
        <v>8</v>
      </c>
      <c r="H121" s="9" t="n">
        <v>4</v>
      </c>
      <c r="I121" s="9" t="n">
        <v>1.5</v>
      </c>
      <c r="J121" s="9" t="n">
        <v>3.5</v>
      </c>
      <c r="K121" s="9" t="n">
        <f aca="false">C121+3*Assumptions!$B$4*F121+Assumptions!$B$7*G121+H121+I121</f>
        <v>127.5</v>
      </c>
      <c r="L121" s="9" t="n">
        <f aca="false">D121+3*Assumptions!$B$5*F121+Assumptions!$B$8*G121+H121+I121</f>
        <v>258.7</v>
      </c>
      <c r="M121" s="9" t="n">
        <f aca="false">E121+3*Assumptions!$B$6*F121+Assumptions!$B$9*G121+H121+I121</f>
        <v>526.5</v>
      </c>
      <c r="N121" s="9" t="n">
        <f aca="false">IF(AND(Assumptions!$B$17,ISNUMBER(J121)),Assumptions!$B$10*Assumptions!$B$13*J121,0)</f>
        <v>5.25</v>
      </c>
      <c r="O121" s="9" t="n">
        <f aca="false">IF(AND(Assumptions!$B$17,ISNUMBER(J121)),Assumptions!$B$11*Assumptions!$B$13*J121,0)</f>
        <v>10.5</v>
      </c>
      <c r="P121" s="9" t="n">
        <f aca="false">IF(AND(Assumptions!$B$17,ISNUMBER(J121)),Assumptions!$B$12*Assumptions!$B$13*J121,0)</f>
        <v>15.75</v>
      </c>
      <c r="Q121" s="9" t="n">
        <f aca="false">IF(Assumptions!$B$18,Assumptions!$B$14*K121,0)</f>
        <v>12.75</v>
      </c>
      <c r="R121" s="9" t="n">
        <f aca="false">IF(Assumptions!$B$18,Assumptions!$B$15*L121,0)</f>
        <v>51.74</v>
      </c>
      <c r="S121" s="9" t="n">
        <f aca="false">IF(Assumptions!$B$18,Assumptions!$B$16*M121,0)</f>
        <v>184.275</v>
      </c>
      <c r="T121" s="9" t="n">
        <f aca="false">K121+N121+Q121</f>
        <v>145.5</v>
      </c>
      <c r="U121" s="9" t="n">
        <f aca="false">L121+O121+R121</f>
        <v>320.94</v>
      </c>
      <c r="V121" s="9" t="n">
        <f aca="false">M121+P121+S121</f>
        <v>726.525</v>
      </c>
      <c r="W121" s="9" t="n">
        <v>60</v>
      </c>
      <c r="X121" s="9" t="n">
        <v>155</v>
      </c>
      <c r="Y121" s="9" t="n">
        <v>450</v>
      </c>
      <c r="Z121" s="9" t="n">
        <f aca="false">U121-X121</f>
        <v>165.94</v>
      </c>
      <c r="AA121" s="10" t="n">
        <f aca="false">IFERROR((U121-X121)/X121,"")</f>
        <v>1.07058064516129</v>
      </c>
      <c r="AB121" s="8" t="str">
        <f aca="false">IF(ISNUMBER(AA121),IF(ABS(AA121)&gt;Assumptions!$B$19,"REVIEW",""),"")</f>
        <v>REVIEW</v>
      </c>
    </row>
    <row r="122" customFormat="false" ht="15" hidden="false" customHeight="false" outlineLevel="0" collapsed="false">
      <c r="A122" s="8" t="s">
        <v>180</v>
      </c>
      <c r="B122" s="8"/>
      <c r="C122" s="9" t="n">
        <v>40</v>
      </c>
      <c r="D122" s="9" t="n">
        <v>90</v>
      </c>
      <c r="E122" s="9" t="n">
        <v>300</v>
      </c>
      <c r="F122" s="9" t="n">
        <v>15</v>
      </c>
      <c r="G122" s="9" t="n">
        <v>6</v>
      </c>
      <c r="H122" s="9" t="n">
        <v>2</v>
      </c>
      <c r="I122" s="9" t="n">
        <v>1.3</v>
      </c>
      <c r="J122" s="9" t="n">
        <v>3.5</v>
      </c>
      <c r="K122" s="9" t="n">
        <f aca="false">C122+3*Assumptions!$B$4*F122+Assumptions!$B$7*G122+H122+I122</f>
        <v>94.3</v>
      </c>
      <c r="L122" s="9" t="n">
        <f aca="false">D122+3*Assumptions!$B$5*F122+Assumptions!$B$8*G122+H122+I122</f>
        <v>186.3</v>
      </c>
      <c r="M122" s="9" t="n">
        <f aca="false">E122+3*Assumptions!$B$6*F122+Assumptions!$B$9*G122+H122+I122</f>
        <v>484.8</v>
      </c>
      <c r="N122" s="9" t="n">
        <f aca="false">IF(AND(Assumptions!$B$17,ISNUMBER(J122)),Assumptions!$B$10*Assumptions!$B$13*J122,0)</f>
        <v>5.25</v>
      </c>
      <c r="O122" s="9" t="n">
        <f aca="false">IF(AND(Assumptions!$B$17,ISNUMBER(J122)),Assumptions!$B$11*Assumptions!$B$13*J122,0)</f>
        <v>10.5</v>
      </c>
      <c r="P122" s="9" t="n">
        <f aca="false">IF(AND(Assumptions!$B$17,ISNUMBER(J122)),Assumptions!$B$12*Assumptions!$B$13*J122,0)</f>
        <v>15.75</v>
      </c>
      <c r="Q122" s="9" t="n">
        <f aca="false">IF(Assumptions!$B$18,Assumptions!$B$14*K122,0)</f>
        <v>9.43</v>
      </c>
      <c r="R122" s="9" t="n">
        <f aca="false">IF(Assumptions!$B$18,Assumptions!$B$15*L122,0)</f>
        <v>37.26</v>
      </c>
      <c r="S122" s="9" t="n">
        <f aca="false">IF(Assumptions!$B$18,Assumptions!$B$16*M122,0)</f>
        <v>169.68</v>
      </c>
      <c r="T122" s="9" t="n">
        <f aca="false">K122+N122+Q122</f>
        <v>108.98</v>
      </c>
      <c r="U122" s="9" t="n">
        <f aca="false">L122+O122+R122</f>
        <v>234.06</v>
      </c>
      <c r="V122" s="9" t="n">
        <f aca="false">M122+P122+S122</f>
        <v>670.23</v>
      </c>
      <c r="W122" s="9" t="n">
        <v>50</v>
      </c>
      <c r="X122" s="9" t="n">
        <v>130</v>
      </c>
      <c r="Y122" s="9" t="n">
        <v>395</v>
      </c>
      <c r="Z122" s="9" t="n">
        <f aca="false">U122-X122</f>
        <v>104.06</v>
      </c>
      <c r="AA122" s="10" t="n">
        <f aca="false">IFERROR((U122-X122)/X122,"")</f>
        <v>0.800461538461538</v>
      </c>
      <c r="AB122" s="8" t="str">
        <f aca="false">IF(ISNUMBER(AA122),IF(ABS(AA122)&gt;Assumptions!$B$19,"REVIEW",""),"")</f>
        <v>REVIEW</v>
      </c>
    </row>
    <row r="123" customFormat="false" ht="15" hidden="false" customHeight="false" outlineLevel="0" collapsed="false">
      <c r="A123" s="8" t="s">
        <v>181</v>
      </c>
      <c r="B123" s="8"/>
      <c r="C123" s="9" t="n">
        <v>40</v>
      </c>
      <c r="D123" s="9" t="n">
        <v>80</v>
      </c>
      <c r="E123" s="9" t="n">
        <v>220</v>
      </c>
      <c r="F123" s="9" t="n">
        <v>15</v>
      </c>
      <c r="G123" s="9" t="n">
        <v>12</v>
      </c>
      <c r="H123" s="9" t="n">
        <v>2.5</v>
      </c>
      <c r="I123" s="9" t="n">
        <v>1</v>
      </c>
      <c r="J123" s="9" t="n">
        <v>3</v>
      </c>
      <c r="K123" s="9" t="n">
        <f aca="false">C123+3*Assumptions!$B$4*F123+Assumptions!$B$7*G123+H123+I123</f>
        <v>100.5</v>
      </c>
      <c r="L123" s="9" t="n">
        <f aca="false">D123+3*Assumptions!$B$5*F123+Assumptions!$B$8*G123+H123+I123</f>
        <v>188.5</v>
      </c>
      <c r="M123" s="9" t="n">
        <f aca="false">E123+3*Assumptions!$B$6*F123+Assumptions!$B$9*G123+H123+I123</f>
        <v>429</v>
      </c>
      <c r="N123" s="9" t="n">
        <f aca="false">IF(AND(Assumptions!$B$17,ISNUMBER(J123)),Assumptions!$B$10*Assumptions!$B$13*J123,0)</f>
        <v>4.5</v>
      </c>
      <c r="O123" s="9" t="n">
        <f aca="false">IF(AND(Assumptions!$B$17,ISNUMBER(J123)),Assumptions!$B$11*Assumptions!$B$13*J123,0)</f>
        <v>9</v>
      </c>
      <c r="P123" s="9" t="n">
        <f aca="false">IF(AND(Assumptions!$B$17,ISNUMBER(J123)),Assumptions!$B$12*Assumptions!$B$13*J123,0)</f>
        <v>13.5</v>
      </c>
      <c r="Q123" s="9" t="n">
        <f aca="false">IF(Assumptions!$B$18,Assumptions!$B$14*K123,0)</f>
        <v>10.05</v>
      </c>
      <c r="R123" s="9" t="n">
        <f aca="false">IF(Assumptions!$B$18,Assumptions!$B$15*L123,0)</f>
        <v>37.7</v>
      </c>
      <c r="S123" s="9" t="n">
        <f aca="false">IF(Assumptions!$B$18,Assumptions!$B$16*M123,0)</f>
        <v>150.15</v>
      </c>
      <c r="T123" s="9" t="n">
        <f aca="false">K123+N123+Q123</f>
        <v>115.05</v>
      </c>
      <c r="U123" s="9" t="n">
        <f aca="false">L123+O123+R123</f>
        <v>235.2</v>
      </c>
      <c r="V123" s="9" t="n">
        <f aca="false">M123+P123+S123</f>
        <v>592.65</v>
      </c>
      <c r="W123" s="9" t="n">
        <v>50</v>
      </c>
      <c r="X123" s="9" t="n">
        <v>120</v>
      </c>
      <c r="Y123" s="9" t="n">
        <v>330</v>
      </c>
      <c r="Z123" s="9" t="n">
        <f aca="false">U123-X123</f>
        <v>115.2</v>
      </c>
      <c r="AA123" s="10" t="n">
        <f aca="false">IFERROR((U123-X123)/X123,"")</f>
        <v>0.96</v>
      </c>
      <c r="AB123" s="8" t="str">
        <f aca="false">IF(ISNUMBER(AA123),IF(ABS(AA123)&gt;Assumptions!$B$19,"REVIEW",""),"")</f>
        <v>REVIEW</v>
      </c>
    </row>
    <row r="124" customFormat="false" ht="15" hidden="false" customHeight="false" outlineLevel="0" collapsed="false">
      <c r="A124" s="8" t="s">
        <v>182</v>
      </c>
      <c r="B124" s="8"/>
      <c r="C124" s="9" t="n">
        <v>20</v>
      </c>
      <c r="D124" s="9" t="n">
        <v>50</v>
      </c>
      <c r="E124" s="9" t="n">
        <v>150</v>
      </c>
      <c r="F124" s="9" t="n">
        <v>8</v>
      </c>
      <c r="G124" s="9" t="n">
        <v>5</v>
      </c>
      <c r="H124" s="9" t="n">
        <v>3</v>
      </c>
      <c r="I124" s="9" t="n">
        <v>0.6</v>
      </c>
      <c r="J124" s="9" t="n">
        <v>4</v>
      </c>
      <c r="K124" s="9" t="n">
        <f aca="false">C124+3*Assumptions!$B$4*F124+Assumptions!$B$7*G124+H124+I124</f>
        <v>52.6</v>
      </c>
      <c r="L124" s="9" t="n">
        <f aca="false">D124+3*Assumptions!$B$5*F124+Assumptions!$B$8*G124+H124+I124</f>
        <v>106.8</v>
      </c>
      <c r="M124" s="9" t="n">
        <f aca="false">E124+3*Assumptions!$B$6*F124+Assumptions!$B$9*G124+H124+I124</f>
        <v>257.6</v>
      </c>
      <c r="N124" s="9" t="n">
        <f aca="false">IF(AND(Assumptions!$B$17,ISNUMBER(J124)),Assumptions!$B$10*Assumptions!$B$13*J124,0)</f>
        <v>6</v>
      </c>
      <c r="O124" s="9" t="n">
        <f aca="false">IF(AND(Assumptions!$B$17,ISNUMBER(J124)),Assumptions!$B$11*Assumptions!$B$13*J124,0)</f>
        <v>12</v>
      </c>
      <c r="P124" s="9" t="n">
        <f aca="false">IF(AND(Assumptions!$B$17,ISNUMBER(J124)),Assumptions!$B$12*Assumptions!$B$13*J124,0)</f>
        <v>18</v>
      </c>
      <c r="Q124" s="9" t="n">
        <f aca="false">IF(Assumptions!$B$18,Assumptions!$B$14*K124,0)</f>
        <v>5.26</v>
      </c>
      <c r="R124" s="9" t="n">
        <f aca="false">IF(Assumptions!$B$18,Assumptions!$B$15*L124,0)</f>
        <v>21.36</v>
      </c>
      <c r="S124" s="9" t="n">
        <f aca="false">IF(Assumptions!$B$18,Assumptions!$B$16*M124,0)</f>
        <v>90.16</v>
      </c>
      <c r="T124" s="9" t="n">
        <f aca="false">K124+N124+Q124</f>
        <v>63.86</v>
      </c>
      <c r="U124" s="9" t="n">
        <f aca="false">L124+O124+R124</f>
        <v>140.16</v>
      </c>
      <c r="V124" s="9" t="n">
        <f aca="false">M124+P124+S124</f>
        <v>365.76</v>
      </c>
      <c r="W124" s="9" t="n">
        <v>30</v>
      </c>
      <c r="X124" s="9" t="n">
        <v>75</v>
      </c>
      <c r="Y124" s="9" t="n">
        <v>220</v>
      </c>
      <c r="Z124" s="9" t="n">
        <f aca="false">U124-X124</f>
        <v>65.16</v>
      </c>
      <c r="AA124" s="10" t="n">
        <f aca="false">IFERROR((U124-X124)/X124,"")</f>
        <v>0.8688</v>
      </c>
      <c r="AB124" s="8" t="str">
        <f aca="false">IF(ISNUMBER(AA124),IF(ABS(AA124)&gt;Assumptions!$B$19,"REVIEW",""),"")</f>
        <v>REVIEW</v>
      </c>
    </row>
    <row r="125" customFormat="false" ht="15" hidden="false" customHeight="false" outlineLevel="0" collapsed="false">
      <c r="A125" s="8" t="s">
        <v>183</v>
      </c>
      <c r="B125" s="8"/>
      <c r="C125" s="9" t="n">
        <v>18</v>
      </c>
      <c r="D125" s="9" t="n">
        <v>50</v>
      </c>
      <c r="E125" s="9" t="n">
        <v>120</v>
      </c>
      <c r="F125" s="9" t="n">
        <v>6</v>
      </c>
      <c r="G125" s="9" t="n">
        <v>3</v>
      </c>
      <c r="H125" s="9" t="n">
        <v>3.5</v>
      </c>
      <c r="I125" s="9" t="n">
        <v>0.5</v>
      </c>
      <c r="J125" s="9" t="n">
        <v>1.5</v>
      </c>
      <c r="K125" s="9" t="n">
        <f aca="false">C125+3*Assumptions!$B$4*F125+Assumptions!$B$7*G125+H125+I125</f>
        <v>43</v>
      </c>
      <c r="L125" s="9" t="n">
        <f aca="false">D125+3*Assumptions!$B$5*F125+Assumptions!$B$8*G125+H125+I125</f>
        <v>92.4</v>
      </c>
      <c r="M125" s="9" t="n">
        <f aca="false">E125+3*Assumptions!$B$6*F125+Assumptions!$B$9*G125+H125+I125</f>
        <v>199</v>
      </c>
      <c r="N125" s="9" t="n">
        <f aca="false">IF(AND(Assumptions!$B$17,ISNUMBER(J125)),Assumptions!$B$10*Assumptions!$B$13*J125,0)</f>
        <v>2.25</v>
      </c>
      <c r="O125" s="9" t="n">
        <f aca="false">IF(AND(Assumptions!$B$17,ISNUMBER(J125)),Assumptions!$B$11*Assumptions!$B$13*J125,0)</f>
        <v>4.5</v>
      </c>
      <c r="P125" s="9" t="n">
        <f aca="false">IF(AND(Assumptions!$B$17,ISNUMBER(J125)),Assumptions!$B$12*Assumptions!$B$13*J125,0)</f>
        <v>6.75</v>
      </c>
      <c r="Q125" s="9" t="n">
        <f aca="false">IF(Assumptions!$B$18,Assumptions!$B$14*K125,0)</f>
        <v>4.3</v>
      </c>
      <c r="R125" s="9" t="n">
        <f aca="false">IF(Assumptions!$B$18,Assumptions!$B$15*L125,0)</f>
        <v>18.48</v>
      </c>
      <c r="S125" s="9" t="n">
        <f aca="false">IF(Assumptions!$B$18,Assumptions!$B$16*M125,0)</f>
        <v>69.65</v>
      </c>
      <c r="T125" s="9" t="n">
        <f aca="false">K125+N125+Q125</f>
        <v>49.55</v>
      </c>
      <c r="U125" s="9" t="n">
        <f aca="false">L125+O125+R125</f>
        <v>115.38</v>
      </c>
      <c r="V125" s="9" t="n">
        <f aca="false">M125+P125+S125</f>
        <v>275.4</v>
      </c>
      <c r="W125" s="9" t="n">
        <v>30</v>
      </c>
      <c r="X125" s="9" t="n">
        <v>75</v>
      </c>
      <c r="Y125" s="9" t="n">
        <v>220</v>
      </c>
      <c r="Z125" s="9" t="n">
        <f aca="false">U125-X125</f>
        <v>40.38</v>
      </c>
      <c r="AA125" s="10" t="n">
        <f aca="false">IFERROR((U125-X125)/X125,"")</f>
        <v>0.5384</v>
      </c>
      <c r="AB125" s="8" t="str">
        <f aca="false">IF(ISNUMBER(AA125),IF(ABS(AA125)&gt;Assumptions!$B$19,"REVIEW",""),"")</f>
        <v>REVIEW</v>
      </c>
    </row>
    <row r="126" customFormat="false" ht="15" hidden="false" customHeight="false" outlineLevel="0" collapsed="false">
      <c r="A126" s="8" t="s">
        <v>184</v>
      </c>
      <c r="B126" s="8" t="s">
        <v>60</v>
      </c>
      <c r="C126" s="9" t="n">
        <v>80</v>
      </c>
      <c r="D126" s="9" t="n">
        <v>150</v>
      </c>
      <c r="E126" s="9" t="n">
        <v>350</v>
      </c>
      <c r="F126" s="9" t="n">
        <v>30</v>
      </c>
      <c r="G126" s="9" t="n">
        <v>10</v>
      </c>
      <c r="H126" s="9" t="n">
        <v>5</v>
      </c>
      <c r="I126" s="9" t="n">
        <v>1</v>
      </c>
      <c r="J126" s="9"/>
      <c r="K126" s="9" t="n">
        <f aca="false">C126+3*Assumptions!$B$4*F126+Assumptions!$B$7*G126+H126+I126</f>
        <v>186</v>
      </c>
      <c r="L126" s="9" t="n">
        <f aca="false">D126+3*Assumptions!$B$5*F126+Assumptions!$B$8*G126+H126+I126</f>
        <v>338</v>
      </c>
      <c r="M126" s="9" t="n">
        <f aca="false">E126+3*Assumptions!$B$6*F126+Assumptions!$B$9*G126+H126+I126</f>
        <v>711</v>
      </c>
      <c r="N126" s="9" t="n">
        <f aca="false">IF(AND(Assumptions!$B$17,ISNUMBER(J126)),Assumptions!$B$10*Assumptions!$B$13*J126,0)</f>
        <v>0</v>
      </c>
      <c r="O126" s="9" t="n">
        <f aca="false">IF(AND(Assumptions!$B$17,ISNUMBER(J126)),Assumptions!$B$11*Assumptions!$B$13*J126,0)</f>
        <v>0</v>
      </c>
      <c r="P126" s="9" t="n">
        <f aca="false">IF(AND(Assumptions!$B$17,ISNUMBER(J126)),Assumptions!$B$12*Assumptions!$B$13*J126,0)</f>
        <v>0</v>
      </c>
      <c r="Q126" s="9" t="n">
        <f aca="false">IF(Assumptions!$B$18,Assumptions!$B$14*K126,0)</f>
        <v>18.6</v>
      </c>
      <c r="R126" s="9" t="n">
        <f aca="false">IF(Assumptions!$B$18,Assumptions!$B$15*L126,0)</f>
        <v>67.6</v>
      </c>
      <c r="S126" s="9" t="n">
        <f aca="false">IF(Assumptions!$B$18,Assumptions!$B$16*M126,0)</f>
        <v>248.85</v>
      </c>
      <c r="T126" s="9" t="n">
        <f aca="false">K126+N126+Q126</f>
        <v>204.6</v>
      </c>
      <c r="U126" s="9" t="n">
        <f aca="false">L126+O126+R126</f>
        <v>405.6</v>
      </c>
      <c r="V126" s="9" t="n">
        <f aca="false">M126+P126+S126</f>
        <v>959.85</v>
      </c>
      <c r="W126" s="9" t="n">
        <v>85</v>
      </c>
      <c r="X126" s="9" t="n">
        <v>205</v>
      </c>
      <c r="Y126" s="9" t="n">
        <v>595</v>
      </c>
      <c r="Z126" s="9" t="n">
        <f aca="false">U126-X126</f>
        <v>200.6</v>
      </c>
      <c r="AA126" s="10" t="n">
        <f aca="false">IFERROR((U126-X126)/X126,"")</f>
        <v>0.978536585365854</v>
      </c>
      <c r="AB126" s="8" t="str">
        <f aca="false">IF(ISNUMBER(AA126),IF(ABS(AA126)&gt;Assumptions!$B$19,"REVIEW",""),"")</f>
        <v>REVIEW</v>
      </c>
    </row>
    <row r="127" customFormat="false" ht="15" hidden="false" customHeight="false" outlineLevel="0" collapsed="false">
      <c r="A127" s="8" t="s">
        <v>185</v>
      </c>
      <c r="B127" s="8"/>
      <c r="C127" s="9" t="n">
        <v>28</v>
      </c>
      <c r="D127" s="9" t="n">
        <v>70</v>
      </c>
      <c r="E127" s="9" t="n">
        <v>190</v>
      </c>
      <c r="F127" s="9" t="n">
        <v>12</v>
      </c>
      <c r="G127" s="9" t="n">
        <v>5</v>
      </c>
      <c r="H127" s="9" t="n">
        <v>2.5</v>
      </c>
      <c r="I127" s="9" t="n">
        <v>1</v>
      </c>
      <c r="J127" s="9" t="n">
        <v>2</v>
      </c>
      <c r="K127" s="9" t="n">
        <f aca="false">C127+3*Assumptions!$B$4*F127+Assumptions!$B$7*G127+H127+I127</f>
        <v>72.5</v>
      </c>
      <c r="L127" s="9" t="n">
        <f aca="false">D127+3*Assumptions!$B$5*F127+Assumptions!$B$8*G127+H127+I127</f>
        <v>148.3</v>
      </c>
      <c r="M127" s="9" t="n">
        <f aca="false">E127+3*Assumptions!$B$6*F127+Assumptions!$B$9*G127+H127+I127</f>
        <v>339.5</v>
      </c>
      <c r="N127" s="9" t="n">
        <f aca="false">IF(AND(Assumptions!$B$17,ISNUMBER(J127)),Assumptions!$B$10*Assumptions!$B$13*J127,0)</f>
        <v>3</v>
      </c>
      <c r="O127" s="9" t="n">
        <f aca="false">IF(AND(Assumptions!$B$17,ISNUMBER(J127)),Assumptions!$B$11*Assumptions!$B$13*J127,0)</f>
        <v>6</v>
      </c>
      <c r="P127" s="9" t="n">
        <f aca="false">IF(AND(Assumptions!$B$17,ISNUMBER(J127)),Assumptions!$B$12*Assumptions!$B$13*J127,0)</f>
        <v>9</v>
      </c>
      <c r="Q127" s="9" t="n">
        <f aca="false">IF(Assumptions!$B$18,Assumptions!$B$14*K127,0)</f>
        <v>7.25</v>
      </c>
      <c r="R127" s="9" t="n">
        <f aca="false">IF(Assumptions!$B$18,Assumptions!$B$15*L127,0)</f>
        <v>29.66</v>
      </c>
      <c r="S127" s="9" t="n">
        <f aca="false">IF(Assumptions!$B$18,Assumptions!$B$16*M127,0)</f>
        <v>118.825</v>
      </c>
      <c r="T127" s="9" t="n">
        <f aca="false">K127+N127+Q127</f>
        <v>82.75</v>
      </c>
      <c r="U127" s="9" t="n">
        <f aca="false">L127+O127+R127</f>
        <v>183.96</v>
      </c>
      <c r="V127" s="9" t="n">
        <f aca="false">M127+P127+S127</f>
        <v>467.325</v>
      </c>
      <c r="W127" s="9" t="n">
        <v>40</v>
      </c>
      <c r="X127" s="9" t="n">
        <v>100</v>
      </c>
      <c r="Y127" s="9" t="n">
        <v>305</v>
      </c>
      <c r="Z127" s="9" t="n">
        <f aca="false">U127-X127</f>
        <v>83.96</v>
      </c>
      <c r="AA127" s="10" t="n">
        <f aca="false">IFERROR((U127-X127)/X127,"")</f>
        <v>0.8396</v>
      </c>
      <c r="AB127" s="8" t="str">
        <f aca="false">IF(ISNUMBER(AA127),IF(ABS(AA127)&gt;Assumptions!$B$19,"REVIEW",""),"")</f>
        <v>REVIEW</v>
      </c>
    </row>
    <row r="128" customFormat="false" ht="15" hidden="false" customHeight="false" outlineLevel="0" collapsed="false">
      <c r="A128" s="8" t="s">
        <v>186</v>
      </c>
      <c r="B128" s="8"/>
      <c r="C128" s="9" t="n">
        <v>60</v>
      </c>
      <c r="D128" s="9" t="n">
        <v>120</v>
      </c>
      <c r="E128" s="9" t="n">
        <v>300</v>
      </c>
      <c r="F128" s="9" t="n">
        <v>18</v>
      </c>
      <c r="G128" s="9" t="n">
        <v>25</v>
      </c>
      <c r="H128" s="9" t="n">
        <v>3.5</v>
      </c>
      <c r="I128" s="9" t="n">
        <v>1</v>
      </c>
      <c r="J128" s="9" t="n">
        <v>4</v>
      </c>
      <c r="K128" s="9" t="n">
        <f aca="false">C128+3*Assumptions!$B$4*F128+Assumptions!$B$7*G128+H128+I128</f>
        <v>143.5</v>
      </c>
      <c r="L128" s="9" t="n">
        <f aca="false">D128+3*Assumptions!$B$5*F128+Assumptions!$B$8*G128+H128+I128</f>
        <v>271.7</v>
      </c>
      <c r="M128" s="9" t="n">
        <f aca="false">E128+3*Assumptions!$B$6*F128+Assumptions!$B$9*G128+H128+I128</f>
        <v>593.5</v>
      </c>
      <c r="N128" s="9" t="n">
        <f aca="false">IF(AND(Assumptions!$B$17,ISNUMBER(J128)),Assumptions!$B$10*Assumptions!$B$13*J128,0)</f>
        <v>6</v>
      </c>
      <c r="O128" s="9" t="n">
        <f aca="false">IF(AND(Assumptions!$B$17,ISNUMBER(J128)),Assumptions!$B$11*Assumptions!$B$13*J128,0)</f>
        <v>12</v>
      </c>
      <c r="P128" s="9" t="n">
        <f aca="false">IF(AND(Assumptions!$B$17,ISNUMBER(J128)),Assumptions!$B$12*Assumptions!$B$13*J128,0)</f>
        <v>18</v>
      </c>
      <c r="Q128" s="9" t="n">
        <f aca="false">IF(Assumptions!$B$18,Assumptions!$B$14*K128,0)</f>
        <v>14.35</v>
      </c>
      <c r="R128" s="9" t="n">
        <f aca="false">IF(Assumptions!$B$18,Assumptions!$B$15*L128,0)</f>
        <v>54.34</v>
      </c>
      <c r="S128" s="9" t="n">
        <f aca="false">IF(Assumptions!$B$18,Assumptions!$B$16*M128,0)</f>
        <v>207.725</v>
      </c>
      <c r="T128" s="9" t="n">
        <f aca="false">K128+N128+Q128</f>
        <v>163.85</v>
      </c>
      <c r="U128" s="9" t="n">
        <f aca="false">L128+O128+R128</f>
        <v>338.04</v>
      </c>
      <c r="V128" s="9" t="n">
        <f aca="false">M128+P128+S128</f>
        <v>819.225</v>
      </c>
      <c r="W128" s="9" t="n">
        <v>65</v>
      </c>
      <c r="X128" s="9" t="n">
        <v>155</v>
      </c>
      <c r="Y128" s="9" t="n">
        <v>420</v>
      </c>
      <c r="Z128" s="9" t="n">
        <f aca="false">U128-X128</f>
        <v>183.04</v>
      </c>
      <c r="AA128" s="10" t="n">
        <f aca="false">IFERROR((U128-X128)/X128,"")</f>
        <v>1.18090322580645</v>
      </c>
      <c r="AB128" s="8" t="str">
        <f aca="false">IF(ISNUMBER(AA128),IF(ABS(AA128)&gt;Assumptions!$B$19,"REVIEW",""),"")</f>
        <v>REVIEW</v>
      </c>
    </row>
    <row r="129" customFormat="false" ht="15" hidden="false" customHeight="false" outlineLevel="0" collapsed="false">
      <c r="A129" s="8" t="s">
        <v>187</v>
      </c>
      <c r="B129" s="8"/>
      <c r="C129" s="9" t="n">
        <v>20</v>
      </c>
      <c r="D129" s="9" t="n">
        <v>55</v>
      </c>
      <c r="E129" s="9" t="n">
        <v>150</v>
      </c>
      <c r="F129" s="9" t="n">
        <v>10</v>
      </c>
      <c r="G129" s="9" t="n">
        <v>4</v>
      </c>
      <c r="H129" s="9" t="n">
        <v>2.5</v>
      </c>
      <c r="I129" s="9" t="n">
        <v>1</v>
      </c>
      <c r="J129" s="9" t="n">
        <v>2.5</v>
      </c>
      <c r="K129" s="9" t="n">
        <f aca="false">C129+3*Assumptions!$B$4*F129+Assumptions!$B$7*G129+H129+I129</f>
        <v>57.5</v>
      </c>
      <c r="L129" s="9" t="n">
        <f aca="false">D129+3*Assumptions!$B$5*F129+Assumptions!$B$8*G129+H129+I129</f>
        <v>120.5</v>
      </c>
      <c r="M129" s="9" t="n">
        <f aca="false">E129+3*Assumptions!$B$6*F129+Assumptions!$B$9*G129+H129+I129</f>
        <v>274.5</v>
      </c>
      <c r="N129" s="9" t="n">
        <f aca="false">IF(AND(Assumptions!$B$17,ISNUMBER(J129)),Assumptions!$B$10*Assumptions!$B$13*J129,0)</f>
        <v>3.75</v>
      </c>
      <c r="O129" s="9" t="n">
        <f aca="false">IF(AND(Assumptions!$B$17,ISNUMBER(J129)),Assumptions!$B$11*Assumptions!$B$13*J129,0)</f>
        <v>7.5</v>
      </c>
      <c r="P129" s="9" t="n">
        <f aca="false">IF(AND(Assumptions!$B$17,ISNUMBER(J129)),Assumptions!$B$12*Assumptions!$B$13*J129,0)</f>
        <v>11.25</v>
      </c>
      <c r="Q129" s="9" t="n">
        <f aca="false">IF(Assumptions!$B$18,Assumptions!$B$14*K129,0)</f>
        <v>5.75</v>
      </c>
      <c r="R129" s="9" t="n">
        <f aca="false">IF(Assumptions!$B$18,Assumptions!$B$15*L129,0)</f>
        <v>24.1</v>
      </c>
      <c r="S129" s="9" t="n">
        <f aca="false">IF(Assumptions!$B$18,Assumptions!$B$16*M129,0)</f>
        <v>96.075</v>
      </c>
      <c r="T129" s="9" t="n">
        <f aca="false">K129+N129+Q129</f>
        <v>67</v>
      </c>
      <c r="U129" s="9" t="n">
        <f aca="false">L129+O129+R129</f>
        <v>152.1</v>
      </c>
      <c r="V129" s="9" t="n">
        <f aca="false">M129+P129+S129</f>
        <v>381.825</v>
      </c>
      <c r="W129" s="9" t="n">
        <v>35</v>
      </c>
      <c r="X129" s="9" t="n">
        <v>85</v>
      </c>
      <c r="Y129" s="9" t="n">
        <v>260</v>
      </c>
      <c r="Z129" s="9" t="n">
        <f aca="false">U129-X129</f>
        <v>67.1</v>
      </c>
      <c r="AA129" s="10" t="n">
        <f aca="false">IFERROR((U129-X129)/X129,"")</f>
        <v>0.789411764705882</v>
      </c>
      <c r="AB129" s="8" t="str">
        <f aca="false">IF(ISNUMBER(AA129),IF(ABS(AA129)&gt;Assumptions!$B$19,"REVIEW",""),"")</f>
        <v>REVIEW</v>
      </c>
    </row>
    <row r="130" customFormat="false" ht="15" hidden="false" customHeight="false" outlineLevel="0" collapsed="false">
      <c r="A130" s="8" t="s">
        <v>188</v>
      </c>
      <c r="B130" s="8"/>
      <c r="C130" s="9" t="n">
        <v>30</v>
      </c>
      <c r="D130" s="9" t="n">
        <v>90</v>
      </c>
      <c r="E130" s="9" t="n">
        <v>350</v>
      </c>
      <c r="F130" s="9" t="n">
        <v>15</v>
      </c>
      <c r="G130" s="9" t="n">
        <v>8</v>
      </c>
      <c r="H130" s="9" t="n">
        <v>3</v>
      </c>
      <c r="I130" s="9" t="n">
        <v>0.5</v>
      </c>
      <c r="J130" s="9" t="n">
        <v>3</v>
      </c>
      <c r="K130" s="9" t="n">
        <f aca="false">C130+3*Assumptions!$B$4*F130+Assumptions!$B$7*G130+H130+I130</f>
        <v>86.5</v>
      </c>
      <c r="L130" s="9" t="n">
        <f aca="false">D130+3*Assumptions!$B$5*F130+Assumptions!$B$8*G130+H130+I130</f>
        <v>190.5</v>
      </c>
      <c r="M130" s="9" t="n">
        <f aca="false">E130+3*Assumptions!$B$6*F130+Assumptions!$B$9*G130+H130+I130</f>
        <v>543</v>
      </c>
      <c r="N130" s="9" t="n">
        <f aca="false">IF(AND(Assumptions!$B$17,ISNUMBER(J130)),Assumptions!$B$10*Assumptions!$B$13*J130,0)</f>
        <v>4.5</v>
      </c>
      <c r="O130" s="9" t="n">
        <f aca="false">IF(AND(Assumptions!$B$17,ISNUMBER(J130)),Assumptions!$B$11*Assumptions!$B$13*J130,0)</f>
        <v>9</v>
      </c>
      <c r="P130" s="9" t="n">
        <f aca="false">IF(AND(Assumptions!$B$17,ISNUMBER(J130)),Assumptions!$B$12*Assumptions!$B$13*J130,0)</f>
        <v>13.5</v>
      </c>
      <c r="Q130" s="9" t="n">
        <f aca="false">IF(Assumptions!$B$18,Assumptions!$B$14*K130,0)</f>
        <v>8.65</v>
      </c>
      <c r="R130" s="9" t="n">
        <f aca="false">IF(Assumptions!$B$18,Assumptions!$B$15*L130,0)</f>
        <v>38.1</v>
      </c>
      <c r="S130" s="9" t="n">
        <f aca="false">IF(Assumptions!$B$18,Assumptions!$B$16*M130,0)</f>
        <v>190.05</v>
      </c>
      <c r="T130" s="9" t="n">
        <f aca="false">K130+N130+Q130</f>
        <v>99.65</v>
      </c>
      <c r="U130" s="9" t="n">
        <f aca="false">L130+O130+R130</f>
        <v>237.6</v>
      </c>
      <c r="V130" s="9" t="n">
        <f aca="false">M130+P130+S130</f>
        <v>746.55</v>
      </c>
      <c r="W130" s="9" t="n">
        <v>50</v>
      </c>
      <c r="X130" s="9" t="n">
        <v>130</v>
      </c>
      <c r="Y130" s="9" t="n">
        <v>405</v>
      </c>
      <c r="Z130" s="9" t="n">
        <f aca="false">U130-X130</f>
        <v>107.6</v>
      </c>
      <c r="AA130" s="10" t="n">
        <f aca="false">IFERROR((U130-X130)/X130,"")</f>
        <v>0.827692307692308</v>
      </c>
      <c r="AB130" s="8" t="str">
        <f aca="false">IF(ISNUMBER(AA130),IF(ABS(AA130)&gt;Assumptions!$B$19,"REVIEW",""),"")</f>
        <v>REVIEW</v>
      </c>
    </row>
    <row r="131" customFormat="false" ht="15" hidden="false" customHeight="false" outlineLevel="0" collapsed="false">
      <c r="A131" s="8" t="s">
        <v>189</v>
      </c>
      <c r="B131" s="8"/>
      <c r="C131" s="9" t="n">
        <v>18</v>
      </c>
      <c r="D131" s="9" t="n">
        <v>55</v>
      </c>
      <c r="E131" s="9" t="n">
        <v>120</v>
      </c>
      <c r="F131" s="9" t="n">
        <v>5</v>
      </c>
      <c r="G131" s="9" t="n">
        <v>3</v>
      </c>
      <c r="H131" s="9" t="n">
        <v>2</v>
      </c>
      <c r="I131" s="9" t="n">
        <v>0.3</v>
      </c>
      <c r="J131" s="9" t="n">
        <v>4</v>
      </c>
      <c r="K131" s="9" t="n">
        <f aca="false">C131+3*Assumptions!$B$4*F131+Assumptions!$B$7*G131+H131+I131</f>
        <v>38.3</v>
      </c>
      <c r="L131" s="9" t="n">
        <f aca="false">D131+3*Assumptions!$B$5*F131+Assumptions!$B$8*G131+H131+I131</f>
        <v>90.3</v>
      </c>
      <c r="M131" s="9" t="n">
        <f aca="false">E131+3*Assumptions!$B$6*F131+Assumptions!$B$9*G131+H131+I131</f>
        <v>186.8</v>
      </c>
      <c r="N131" s="9" t="n">
        <f aca="false">IF(AND(Assumptions!$B$17,ISNUMBER(J131)),Assumptions!$B$10*Assumptions!$B$13*J131,0)</f>
        <v>6</v>
      </c>
      <c r="O131" s="9" t="n">
        <f aca="false">IF(AND(Assumptions!$B$17,ISNUMBER(J131)),Assumptions!$B$11*Assumptions!$B$13*J131,0)</f>
        <v>12</v>
      </c>
      <c r="P131" s="9" t="n">
        <f aca="false">IF(AND(Assumptions!$B$17,ISNUMBER(J131)),Assumptions!$B$12*Assumptions!$B$13*J131,0)</f>
        <v>18</v>
      </c>
      <c r="Q131" s="9" t="n">
        <f aca="false">IF(Assumptions!$B$18,Assumptions!$B$14*K131,0)</f>
        <v>3.83</v>
      </c>
      <c r="R131" s="9" t="n">
        <f aca="false">IF(Assumptions!$B$18,Assumptions!$B$15*L131,0)</f>
        <v>18.06</v>
      </c>
      <c r="S131" s="9" t="n">
        <f aca="false">IF(Assumptions!$B$18,Assumptions!$B$16*M131,0)</f>
        <v>65.38</v>
      </c>
      <c r="T131" s="9" t="n">
        <f aca="false">K131+N131+Q131</f>
        <v>48.13</v>
      </c>
      <c r="U131" s="9" t="n">
        <f aca="false">L131+O131+R131</f>
        <v>120.36</v>
      </c>
      <c r="V131" s="9" t="n">
        <f aca="false">M131+P131+S131</f>
        <v>270.18</v>
      </c>
      <c r="W131" s="9" t="n">
        <v>20</v>
      </c>
      <c r="X131" s="9" t="n">
        <v>55</v>
      </c>
      <c r="Y131" s="9" t="n">
        <v>180</v>
      </c>
      <c r="Z131" s="9" t="n">
        <f aca="false">U131-X131</f>
        <v>65.36</v>
      </c>
      <c r="AA131" s="10" t="n">
        <f aca="false">IFERROR((U131-X131)/X131,"")</f>
        <v>1.18836363636364</v>
      </c>
      <c r="AB131" s="8" t="str">
        <f aca="false">IF(ISNUMBER(AA131),IF(ABS(AA131)&gt;Assumptions!$B$19,"REVIEW",""),"")</f>
        <v>REVIEW</v>
      </c>
    </row>
    <row r="132" customFormat="false" ht="15" hidden="false" customHeight="false" outlineLevel="0" collapsed="false">
      <c r="A132" s="8" t="s">
        <v>190</v>
      </c>
      <c r="B132" s="8"/>
      <c r="C132" s="9" t="n">
        <v>45</v>
      </c>
      <c r="D132" s="9" t="n">
        <v>120</v>
      </c>
      <c r="E132" s="9" t="n">
        <v>300</v>
      </c>
      <c r="F132" s="9" t="n">
        <v>25</v>
      </c>
      <c r="G132" s="9" t="n">
        <v>30</v>
      </c>
      <c r="H132" s="9" t="n">
        <v>5</v>
      </c>
      <c r="I132" s="9" t="n">
        <v>2</v>
      </c>
      <c r="J132" s="9" t="n">
        <v>7</v>
      </c>
      <c r="K132" s="9" t="n">
        <f aca="false">C132+3*Assumptions!$B$4*F132+Assumptions!$B$7*G132+H132+I132</f>
        <v>157</v>
      </c>
      <c r="L132" s="9" t="n">
        <f aca="false">D132+3*Assumptions!$B$5*F132+Assumptions!$B$8*G132+H132+I132</f>
        <v>322</v>
      </c>
      <c r="M132" s="9" t="n">
        <f aca="false">E132+3*Assumptions!$B$6*F132+Assumptions!$B$9*G132+H132+I132</f>
        <v>689.5</v>
      </c>
      <c r="N132" s="9" t="n">
        <f aca="false">IF(AND(Assumptions!$B$17,ISNUMBER(J132)),Assumptions!$B$10*Assumptions!$B$13*J132,0)</f>
        <v>10.5</v>
      </c>
      <c r="O132" s="9" t="n">
        <f aca="false">IF(AND(Assumptions!$B$17,ISNUMBER(J132)),Assumptions!$B$11*Assumptions!$B$13*J132,0)</f>
        <v>21</v>
      </c>
      <c r="P132" s="9" t="n">
        <f aca="false">IF(AND(Assumptions!$B$17,ISNUMBER(J132)),Assumptions!$B$12*Assumptions!$B$13*J132,0)</f>
        <v>31.5</v>
      </c>
      <c r="Q132" s="9" t="n">
        <f aca="false">IF(Assumptions!$B$18,Assumptions!$B$14*K132,0)</f>
        <v>15.7</v>
      </c>
      <c r="R132" s="9" t="n">
        <f aca="false">IF(Assumptions!$B$18,Assumptions!$B$15*L132,0)</f>
        <v>64.4</v>
      </c>
      <c r="S132" s="9" t="n">
        <f aca="false">IF(Assumptions!$B$18,Assumptions!$B$16*M132,0)</f>
        <v>241.325</v>
      </c>
      <c r="T132" s="9" t="n">
        <f aca="false">K132+N132+Q132</f>
        <v>183.2</v>
      </c>
      <c r="U132" s="9" t="n">
        <f aca="false">L132+O132+R132</f>
        <v>407.4</v>
      </c>
      <c r="V132" s="9" t="n">
        <f aca="false">M132+P132+S132</f>
        <v>962.325</v>
      </c>
      <c r="W132" s="9" t="n">
        <v>90</v>
      </c>
      <c r="X132" s="9" t="n">
        <v>230</v>
      </c>
      <c r="Y132" s="9" t="n">
        <v>650</v>
      </c>
      <c r="Z132" s="9" t="n">
        <f aca="false">U132-X132</f>
        <v>177.4</v>
      </c>
      <c r="AA132" s="10" t="n">
        <f aca="false">IFERROR((U132-X132)/X132,"")</f>
        <v>0.771304347826087</v>
      </c>
      <c r="AB132" s="8" t="str">
        <f aca="false">IF(ISNUMBER(AA132),IF(ABS(AA132)&gt;Assumptions!$B$19,"REVIEW",""),"")</f>
        <v>REVIEW</v>
      </c>
    </row>
    <row r="133" customFormat="false" ht="15" hidden="false" customHeight="false" outlineLevel="0" collapsed="false">
      <c r="A133" s="8" t="s">
        <v>191</v>
      </c>
      <c r="B133" s="8"/>
      <c r="C133" s="9" t="n">
        <v>45</v>
      </c>
      <c r="D133" s="9" t="n">
        <v>90</v>
      </c>
      <c r="E133" s="9" t="n">
        <v>220</v>
      </c>
      <c r="F133" s="9" t="n">
        <v>15</v>
      </c>
      <c r="G133" s="9" t="n">
        <v>6</v>
      </c>
      <c r="H133" s="9" t="n">
        <v>3</v>
      </c>
      <c r="I133" s="9" t="n">
        <v>1</v>
      </c>
      <c r="J133" s="9" t="n">
        <v>3.5</v>
      </c>
      <c r="K133" s="9" t="n">
        <f aca="false">C133+3*Assumptions!$B$4*F133+Assumptions!$B$7*G133+H133+I133</f>
        <v>100</v>
      </c>
      <c r="L133" s="9" t="n">
        <f aca="false">D133+3*Assumptions!$B$5*F133+Assumptions!$B$8*G133+H133+I133</f>
        <v>187</v>
      </c>
      <c r="M133" s="9" t="n">
        <f aca="false">E133+3*Assumptions!$B$6*F133+Assumptions!$B$9*G133+H133+I133</f>
        <v>405.5</v>
      </c>
      <c r="N133" s="9" t="n">
        <f aca="false">IF(AND(Assumptions!$B$17,ISNUMBER(J133)),Assumptions!$B$10*Assumptions!$B$13*J133,0)</f>
        <v>5.25</v>
      </c>
      <c r="O133" s="9" t="n">
        <f aca="false">IF(AND(Assumptions!$B$17,ISNUMBER(J133)),Assumptions!$B$11*Assumptions!$B$13*J133,0)</f>
        <v>10.5</v>
      </c>
      <c r="P133" s="9" t="n">
        <f aca="false">IF(AND(Assumptions!$B$17,ISNUMBER(J133)),Assumptions!$B$12*Assumptions!$B$13*J133,0)</f>
        <v>15.75</v>
      </c>
      <c r="Q133" s="9" t="n">
        <f aca="false">IF(Assumptions!$B$18,Assumptions!$B$14*K133,0)</f>
        <v>10</v>
      </c>
      <c r="R133" s="9" t="n">
        <f aca="false">IF(Assumptions!$B$18,Assumptions!$B$15*L133,0)</f>
        <v>37.4</v>
      </c>
      <c r="S133" s="9" t="n">
        <f aca="false">IF(Assumptions!$B$18,Assumptions!$B$16*M133,0)</f>
        <v>141.925</v>
      </c>
      <c r="T133" s="9" t="n">
        <f aca="false">K133+N133+Q133</f>
        <v>115.25</v>
      </c>
      <c r="U133" s="9" t="n">
        <f aca="false">L133+O133+R133</f>
        <v>234.9</v>
      </c>
      <c r="V133" s="9" t="n">
        <f aca="false">M133+P133+S133</f>
        <v>563.175</v>
      </c>
      <c r="W133" s="9" t="n">
        <v>50</v>
      </c>
      <c r="X133" s="9" t="n">
        <v>125</v>
      </c>
      <c r="Y133" s="9" t="n">
        <v>365</v>
      </c>
      <c r="Z133" s="9" t="n">
        <f aca="false">U133-X133</f>
        <v>109.9</v>
      </c>
      <c r="AA133" s="10" t="n">
        <f aca="false">IFERROR((U133-X133)/X133,"")</f>
        <v>0.8792</v>
      </c>
      <c r="AB133" s="8" t="str">
        <f aca="false">IF(ISNUMBER(AA133),IF(ABS(AA133)&gt;Assumptions!$B$19,"REVIEW",""),"")</f>
        <v>REVIEW</v>
      </c>
    </row>
    <row r="134" customFormat="false" ht="15" hidden="false" customHeight="false" outlineLevel="0" collapsed="false">
      <c r="A134" s="8" t="s">
        <v>192</v>
      </c>
      <c r="B134" s="8"/>
      <c r="C134" s="9" t="n">
        <v>18</v>
      </c>
      <c r="D134" s="9" t="n">
        <v>70</v>
      </c>
      <c r="E134" s="9" t="n">
        <v>180</v>
      </c>
      <c r="F134" s="9" t="n">
        <v>8</v>
      </c>
      <c r="G134" s="9" t="n">
        <v>6</v>
      </c>
      <c r="H134" s="9" t="n">
        <v>2.5</v>
      </c>
      <c r="I134" s="9" t="n">
        <v>0.6</v>
      </c>
      <c r="J134" s="9" t="n">
        <v>2</v>
      </c>
      <c r="K134" s="9" t="n">
        <f aca="false">C134+3*Assumptions!$B$4*F134+Assumptions!$B$7*G134+H134+I134</f>
        <v>51.1</v>
      </c>
      <c r="L134" s="9" t="n">
        <f aca="false">D134+3*Assumptions!$B$5*F134+Assumptions!$B$8*G134+H134+I134</f>
        <v>128.3</v>
      </c>
      <c r="M134" s="9" t="n">
        <f aca="false">E134+3*Assumptions!$B$6*F134+Assumptions!$B$9*G134+H134+I134</f>
        <v>291.1</v>
      </c>
      <c r="N134" s="9" t="n">
        <f aca="false">IF(AND(Assumptions!$B$17,ISNUMBER(J134)),Assumptions!$B$10*Assumptions!$B$13*J134,0)</f>
        <v>3</v>
      </c>
      <c r="O134" s="9" t="n">
        <f aca="false">IF(AND(Assumptions!$B$17,ISNUMBER(J134)),Assumptions!$B$11*Assumptions!$B$13*J134,0)</f>
        <v>6</v>
      </c>
      <c r="P134" s="9" t="n">
        <f aca="false">IF(AND(Assumptions!$B$17,ISNUMBER(J134)),Assumptions!$B$12*Assumptions!$B$13*J134,0)</f>
        <v>9</v>
      </c>
      <c r="Q134" s="9" t="n">
        <f aca="false">IF(Assumptions!$B$18,Assumptions!$B$14*K134,0)</f>
        <v>5.11</v>
      </c>
      <c r="R134" s="9" t="n">
        <f aca="false">IF(Assumptions!$B$18,Assumptions!$B$15*L134,0)</f>
        <v>25.66</v>
      </c>
      <c r="S134" s="9" t="n">
        <f aca="false">IF(Assumptions!$B$18,Assumptions!$B$16*M134,0)</f>
        <v>101.885</v>
      </c>
      <c r="T134" s="9" t="n">
        <f aca="false">K134+N134+Q134</f>
        <v>59.21</v>
      </c>
      <c r="U134" s="9" t="n">
        <f aca="false">L134+O134+R134</f>
        <v>159.96</v>
      </c>
      <c r="V134" s="9" t="n">
        <f aca="false">M134+P134+S134</f>
        <v>401.985</v>
      </c>
      <c r="W134" s="9" t="n">
        <v>35</v>
      </c>
      <c r="X134" s="9" t="n">
        <v>85</v>
      </c>
      <c r="Y134" s="9" t="n">
        <v>255</v>
      </c>
      <c r="Z134" s="9" t="n">
        <f aca="false">U134-X134</f>
        <v>74.96</v>
      </c>
      <c r="AA134" s="10" t="n">
        <f aca="false">IFERROR((U134-X134)/X134,"")</f>
        <v>0.881882352941177</v>
      </c>
      <c r="AB134" s="8" t="str">
        <f aca="false">IF(ISNUMBER(AA134),IF(ABS(AA134)&gt;Assumptions!$B$19,"REVIEW",""),"")</f>
        <v>REVIEW</v>
      </c>
    </row>
    <row r="135" customFormat="false" ht="15" hidden="false" customHeight="false" outlineLevel="0" collapsed="false">
      <c r="A135" s="8" t="s">
        <v>193</v>
      </c>
      <c r="B135" s="8"/>
      <c r="C135" s="9" t="n">
        <v>35</v>
      </c>
      <c r="D135" s="9" t="n">
        <v>80</v>
      </c>
      <c r="E135" s="9" t="n">
        <v>160</v>
      </c>
      <c r="F135" s="9" t="n">
        <v>15</v>
      </c>
      <c r="G135" s="9" t="n">
        <v>10</v>
      </c>
      <c r="H135" s="9" t="n">
        <v>2.5</v>
      </c>
      <c r="I135" s="9" t="n">
        <v>0.8</v>
      </c>
      <c r="J135" s="9" t="n">
        <v>3</v>
      </c>
      <c r="K135" s="9" t="n">
        <f aca="false">C135+3*Assumptions!$B$4*F135+Assumptions!$B$7*G135+H135+I135</f>
        <v>93.3</v>
      </c>
      <c r="L135" s="9" t="n">
        <f aca="false">D135+3*Assumptions!$B$5*F135+Assumptions!$B$8*G135+H135+I135</f>
        <v>184.3</v>
      </c>
      <c r="M135" s="9" t="n">
        <f aca="false">E135+3*Assumptions!$B$6*F135+Assumptions!$B$9*G135+H135+I135</f>
        <v>360.8</v>
      </c>
      <c r="N135" s="9" t="n">
        <f aca="false">IF(AND(Assumptions!$B$17,ISNUMBER(J135)),Assumptions!$B$10*Assumptions!$B$13*J135,0)</f>
        <v>4.5</v>
      </c>
      <c r="O135" s="9" t="n">
        <f aca="false">IF(AND(Assumptions!$B$17,ISNUMBER(J135)),Assumptions!$B$11*Assumptions!$B$13*J135,0)</f>
        <v>9</v>
      </c>
      <c r="P135" s="9" t="n">
        <f aca="false">IF(AND(Assumptions!$B$17,ISNUMBER(J135)),Assumptions!$B$12*Assumptions!$B$13*J135,0)</f>
        <v>13.5</v>
      </c>
      <c r="Q135" s="9" t="n">
        <f aca="false">IF(Assumptions!$B$18,Assumptions!$B$14*K135,0)</f>
        <v>9.33</v>
      </c>
      <c r="R135" s="9" t="n">
        <f aca="false">IF(Assumptions!$B$18,Assumptions!$B$15*L135,0)</f>
        <v>36.86</v>
      </c>
      <c r="S135" s="9" t="n">
        <f aca="false">IF(Assumptions!$B$18,Assumptions!$B$16*M135,0)</f>
        <v>126.28</v>
      </c>
      <c r="T135" s="9" t="n">
        <f aca="false">K135+N135+Q135</f>
        <v>107.13</v>
      </c>
      <c r="U135" s="9" t="n">
        <f aca="false">L135+O135+R135</f>
        <v>230.16</v>
      </c>
      <c r="V135" s="9" t="n">
        <f aca="false">M135+P135+S135</f>
        <v>500.58</v>
      </c>
      <c r="W135" s="9" t="n">
        <v>45</v>
      </c>
      <c r="X135" s="9" t="n">
        <v>110</v>
      </c>
      <c r="Y135" s="9" t="n">
        <v>320</v>
      </c>
      <c r="Z135" s="9" t="n">
        <f aca="false">U135-X135</f>
        <v>120.16</v>
      </c>
      <c r="AA135" s="10" t="n">
        <f aca="false">IFERROR((U135-X135)/X135,"")</f>
        <v>1.09236363636364</v>
      </c>
      <c r="AB135" s="8" t="str">
        <f aca="false">IF(ISNUMBER(AA135),IF(ABS(AA135)&gt;Assumptions!$B$19,"REVIEW",""),"")</f>
        <v>REVIEW</v>
      </c>
    </row>
    <row r="136" customFormat="false" ht="15" hidden="false" customHeight="false" outlineLevel="0" collapsed="false">
      <c r="A136" s="8" t="s">
        <v>194</v>
      </c>
      <c r="B136" s="8"/>
      <c r="C136" s="9" t="n">
        <v>65</v>
      </c>
      <c r="D136" s="9" t="n">
        <v>120</v>
      </c>
      <c r="E136" s="9" t="n">
        <v>280</v>
      </c>
      <c r="F136" s="9" t="n">
        <v>18</v>
      </c>
      <c r="G136" s="9" t="n">
        <v>20</v>
      </c>
      <c r="H136" s="9" t="n">
        <v>0.9</v>
      </c>
      <c r="I136" s="9" t="n">
        <v>1.2</v>
      </c>
      <c r="J136" s="9" t="n">
        <v>2.5</v>
      </c>
      <c r="K136" s="9" t="n">
        <f aca="false">C136+3*Assumptions!$B$4*F136+Assumptions!$B$7*G136+H136+I136</f>
        <v>141.1</v>
      </c>
      <c r="L136" s="9" t="n">
        <f aca="false">D136+3*Assumptions!$B$5*F136+Assumptions!$B$8*G136+H136+I136</f>
        <v>259.3</v>
      </c>
      <c r="M136" s="9" t="n">
        <f aca="false">E136+3*Assumptions!$B$6*F136+Assumptions!$B$9*G136+H136+I136</f>
        <v>551.1</v>
      </c>
      <c r="N136" s="9" t="n">
        <f aca="false">IF(AND(Assumptions!$B$17,ISNUMBER(J136)),Assumptions!$B$10*Assumptions!$B$13*J136,0)</f>
        <v>3.75</v>
      </c>
      <c r="O136" s="9" t="n">
        <f aca="false">IF(AND(Assumptions!$B$17,ISNUMBER(J136)),Assumptions!$B$11*Assumptions!$B$13*J136,0)</f>
        <v>7.5</v>
      </c>
      <c r="P136" s="9" t="n">
        <f aca="false">IF(AND(Assumptions!$B$17,ISNUMBER(J136)),Assumptions!$B$12*Assumptions!$B$13*J136,0)</f>
        <v>11.25</v>
      </c>
      <c r="Q136" s="9" t="n">
        <f aca="false">IF(Assumptions!$B$18,Assumptions!$B$14*K136,0)</f>
        <v>14.11</v>
      </c>
      <c r="R136" s="9" t="n">
        <f aca="false">IF(Assumptions!$B$18,Assumptions!$B$15*L136,0)</f>
        <v>51.86</v>
      </c>
      <c r="S136" s="9" t="n">
        <f aca="false">IF(Assumptions!$B$18,Assumptions!$B$16*M136,0)</f>
        <v>192.885</v>
      </c>
      <c r="T136" s="9" t="n">
        <f aca="false">K136+N136+Q136</f>
        <v>158.96</v>
      </c>
      <c r="U136" s="9" t="n">
        <f aca="false">L136+O136+R136</f>
        <v>318.66</v>
      </c>
      <c r="V136" s="9" t="n">
        <f aca="false">M136+P136+S136</f>
        <v>755.235</v>
      </c>
      <c r="W136" s="9" t="n">
        <v>65</v>
      </c>
      <c r="X136" s="9" t="n">
        <v>160</v>
      </c>
      <c r="Y136" s="9" t="n">
        <v>440</v>
      </c>
      <c r="Z136" s="9" t="n">
        <f aca="false">U136-X136</f>
        <v>158.66</v>
      </c>
      <c r="AA136" s="10" t="n">
        <f aca="false">IFERROR((U136-X136)/X136,"")</f>
        <v>0.991625</v>
      </c>
      <c r="AB136" s="8" t="str">
        <f aca="false">IF(ISNUMBER(AA136),IF(ABS(AA136)&gt;Assumptions!$B$19,"REVIEW",""),"")</f>
        <v>REVIEW</v>
      </c>
    </row>
    <row r="137" customFormat="false" ht="15" hidden="false" customHeight="false" outlineLevel="0" collapsed="false">
      <c r="A137" s="8" t="s">
        <v>195</v>
      </c>
      <c r="B137" s="8"/>
      <c r="C137" s="9" t="n">
        <v>55</v>
      </c>
      <c r="D137" s="9" t="n">
        <v>120</v>
      </c>
      <c r="E137" s="9" t="n">
        <v>280</v>
      </c>
      <c r="F137" s="9" t="n">
        <v>22</v>
      </c>
      <c r="G137" s="9" t="n">
        <v>9</v>
      </c>
      <c r="H137" s="9" t="n">
        <v>2.8</v>
      </c>
      <c r="I137" s="9" t="n">
        <v>1.8</v>
      </c>
      <c r="J137" s="9" t="n">
        <v>4.5</v>
      </c>
      <c r="K137" s="9" t="n">
        <f aca="false">C137+3*Assumptions!$B$4*F137+Assumptions!$B$7*G137+H137+I137</f>
        <v>134.6</v>
      </c>
      <c r="L137" s="9" t="n">
        <f aca="false">D137+3*Assumptions!$B$5*F137+Assumptions!$B$8*G137+H137+I137</f>
        <v>261.4</v>
      </c>
      <c r="M137" s="9" t="n">
        <f aca="false">E137+3*Assumptions!$B$6*F137+Assumptions!$B$9*G137+H137+I137</f>
        <v>551.6</v>
      </c>
      <c r="N137" s="9" t="n">
        <f aca="false">IF(AND(Assumptions!$B$17,ISNUMBER(J137)),Assumptions!$B$10*Assumptions!$B$13*J137,0)</f>
        <v>6.75</v>
      </c>
      <c r="O137" s="9" t="n">
        <f aca="false">IF(AND(Assumptions!$B$17,ISNUMBER(J137)),Assumptions!$B$11*Assumptions!$B$13*J137,0)</f>
        <v>13.5</v>
      </c>
      <c r="P137" s="9" t="n">
        <f aca="false">IF(AND(Assumptions!$B$17,ISNUMBER(J137)),Assumptions!$B$12*Assumptions!$B$13*J137,0)</f>
        <v>20.25</v>
      </c>
      <c r="Q137" s="9" t="n">
        <f aca="false">IF(Assumptions!$B$18,Assumptions!$B$14*K137,0)</f>
        <v>13.46</v>
      </c>
      <c r="R137" s="9" t="n">
        <f aca="false">IF(Assumptions!$B$18,Assumptions!$B$15*L137,0)</f>
        <v>52.28</v>
      </c>
      <c r="S137" s="9" t="n">
        <f aca="false">IF(Assumptions!$B$18,Assumptions!$B$16*M137,0)</f>
        <v>193.06</v>
      </c>
      <c r="T137" s="9" t="n">
        <f aca="false">K137+N137+Q137</f>
        <v>154.81</v>
      </c>
      <c r="U137" s="9" t="n">
        <f aca="false">L137+O137+R137</f>
        <v>327.18</v>
      </c>
      <c r="V137" s="9" t="n">
        <f aca="false">M137+P137+S137</f>
        <v>764.91</v>
      </c>
      <c r="W137" s="9" t="n">
        <v>65</v>
      </c>
      <c r="X137" s="9" t="n">
        <v>160</v>
      </c>
      <c r="Y137" s="9" t="n">
        <v>465</v>
      </c>
      <c r="Z137" s="9" t="n">
        <f aca="false">U137-X137</f>
        <v>167.18</v>
      </c>
      <c r="AA137" s="10" t="n">
        <f aca="false">IFERROR((U137-X137)/X137,"")</f>
        <v>1.044875</v>
      </c>
      <c r="AB137" s="8" t="str">
        <f aca="false">IF(ISNUMBER(AA137),IF(ABS(AA137)&gt;Assumptions!$B$19,"REVIEW",""),"")</f>
        <v>REVIEW</v>
      </c>
    </row>
    <row r="138" customFormat="false" ht="15" hidden="false" customHeight="false" outlineLevel="0" collapsed="false">
      <c r="A138" s="8" t="s">
        <v>196</v>
      </c>
      <c r="B138" s="8"/>
      <c r="C138" s="9" t="n">
        <v>20</v>
      </c>
      <c r="D138" s="9" t="n">
        <v>70</v>
      </c>
      <c r="E138" s="9" t="n">
        <v>200</v>
      </c>
      <c r="F138" s="9" t="n">
        <v>10</v>
      </c>
      <c r="G138" s="9" t="n">
        <v>4</v>
      </c>
      <c r="H138" s="9" t="n">
        <v>2</v>
      </c>
      <c r="I138" s="9" t="n">
        <v>0.6</v>
      </c>
      <c r="J138" s="9" t="n">
        <v>1.5</v>
      </c>
      <c r="K138" s="9" t="n">
        <f aca="false">C138+3*Assumptions!$B$4*F138+Assumptions!$B$7*G138+H138+I138</f>
        <v>56.6</v>
      </c>
      <c r="L138" s="9" t="n">
        <f aca="false">D138+3*Assumptions!$B$5*F138+Assumptions!$B$8*G138+H138+I138</f>
        <v>134.6</v>
      </c>
      <c r="M138" s="9" t="n">
        <f aca="false">E138+3*Assumptions!$B$6*F138+Assumptions!$B$9*G138+H138+I138</f>
        <v>323.6</v>
      </c>
      <c r="N138" s="9" t="n">
        <f aca="false">IF(AND(Assumptions!$B$17,ISNUMBER(J138)),Assumptions!$B$10*Assumptions!$B$13*J138,0)</f>
        <v>2.25</v>
      </c>
      <c r="O138" s="9" t="n">
        <f aca="false">IF(AND(Assumptions!$B$17,ISNUMBER(J138)),Assumptions!$B$11*Assumptions!$B$13*J138,0)</f>
        <v>4.5</v>
      </c>
      <c r="P138" s="9" t="n">
        <f aca="false">IF(AND(Assumptions!$B$17,ISNUMBER(J138)),Assumptions!$B$12*Assumptions!$B$13*J138,0)</f>
        <v>6.75</v>
      </c>
      <c r="Q138" s="9" t="n">
        <f aca="false">IF(Assumptions!$B$18,Assumptions!$B$14*K138,0)</f>
        <v>5.66</v>
      </c>
      <c r="R138" s="9" t="n">
        <f aca="false">IF(Assumptions!$B$18,Assumptions!$B$15*L138,0)</f>
        <v>26.92</v>
      </c>
      <c r="S138" s="9" t="n">
        <f aca="false">IF(Assumptions!$B$18,Assumptions!$B$16*M138,0)</f>
        <v>113.26</v>
      </c>
      <c r="T138" s="9" t="n">
        <f aca="false">K138+N138+Q138</f>
        <v>64.51</v>
      </c>
      <c r="U138" s="9" t="n">
        <f aca="false">L138+O138+R138</f>
        <v>166.02</v>
      </c>
      <c r="V138" s="9" t="n">
        <f aca="false">M138+P138+S138</f>
        <v>443.61</v>
      </c>
      <c r="W138" s="9" t="n">
        <v>35</v>
      </c>
      <c r="X138" s="9" t="n">
        <v>90</v>
      </c>
      <c r="Y138" s="9" t="n">
        <v>280</v>
      </c>
      <c r="Z138" s="9" t="n">
        <f aca="false">U138-X138</f>
        <v>76.02</v>
      </c>
      <c r="AA138" s="10" t="n">
        <f aca="false">IFERROR((U138-X138)/X138,"")</f>
        <v>0.844666666666667</v>
      </c>
      <c r="AB138" s="8" t="str">
        <f aca="false">IF(ISNUMBER(AA138),IF(ABS(AA138)&gt;Assumptions!$B$19,"REVIEW",""),"")</f>
        <v>REVIEW</v>
      </c>
    </row>
    <row r="139" customFormat="false" ht="15" hidden="false" customHeight="false" outlineLevel="0" collapsed="false">
      <c r="A139" s="8" t="s">
        <v>197</v>
      </c>
      <c r="B139" s="8"/>
      <c r="C139" s="9" t="n">
        <v>80</v>
      </c>
      <c r="D139" s="9" t="n">
        <v>165</v>
      </c>
      <c r="E139" s="9" t="n">
        <v>400</v>
      </c>
      <c r="F139" s="9" t="n">
        <v>30</v>
      </c>
      <c r="G139" s="9" t="n">
        <v>25</v>
      </c>
      <c r="H139" s="9" t="n">
        <v>4</v>
      </c>
      <c r="I139" s="9" t="n">
        <v>1.5</v>
      </c>
      <c r="J139" s="9" t="n">
        <v>7</v>
      </c>
      <c r="K139" s="9" t="n">
        <f aca="false">C139+3*Assumptions!$B$4*F139+Assumptions!$B$7*G139+H139+I139</f>
        <v>200.5</v>
      </c>
      <c r="L139" s="9" t="n">
        <f aca="false">D139+3*Assumptions!$B$5*F139+Assumptions!$B$8*G139+H139+I139</f>
        <v>382.5</v>
      </c>
      <c r="M139" s="9" t="n">
        <f aca="false">E139+3*Assumptions!$B$6*F139+Assumptions!$B$9*G139+H139+I139</f>
        <v>820.5</v>
      </c>
      <c r="N139" s="9" t="n">
        <f aca="false">IF(AND(Assumptions!$B$17,ISNUMBER(J139)),Assumptions!$B$10*Assumptions!$B$13*J139,0)</f>
        <v>10.5</v>
      </c>
      <c r="O139" s="9" t="n">
        <f aca="false">IF(AND(Assumptions!$B$17,ISNUMBER(J139)),Assumptions!$B$11*Assumptions!$B$13*J139,0)</f>
        <v>21</v>
      </c>
      <c r="P139" s="9" t="n">
        <f aca="false">IF(AND(Assumptions!$B$17,ISNUMBER(J139)),Assumptions!$B$12*Assumptions!$B$13*J139,0)</f>
        <v>31.5</v>
      </c>
      <c r="Q139" s="9" t="n">
        <f aca="false">IF(Assumptions!$B$18,Assumptions!$B$14*K139,0)</f>
        <v>20.05</v>
      </c>
      <c r="R139" s="9" t="n">
        <f aca="false">IF(Assumptions!$B$18,Assumptions!$B$15*L139,0)</f>
        <v>76.5</v>
      </c>
      <c r="S139" s="9" t="n">
        <f aca="false">IF(Assumptions!$B$18,Assumptions!$B$16*M139,0)</f>
        <v>287.175</v>
      </c>
      <c r="T139" s="9" t="n">
        <f aca="false">K139+N139+Q139</f>
        <v>231.05</v>
      </c>
      <c r="U139" s="9" t="n">
        <f aca="false">L139+O139+R139</f>
        <v>480</v>
      </c>
      <c r="V139" s="9" t="n">
        <f aca="false">M139+P139+S139</f>
        <v>1139.175</v>
      </c>
      <c r="W139" s="9" t="n">
        <v>110</v>
      </c>
      <c r="X139" s="9" t="n">
        <v>290</v>
      </c>
      <c r="Y139" s="9" t="n">
        <v>830</v>
      </c>
      <c r="Z139" s="9" t="n">
        <f aca="false">U139-X139</f>
        <v>190</v>
      </c>
      <c r="AA139" s="10" t="n">
        <f aca="false">IFERROR((U139-X139)/X139,"")</f>
        <v>0.655172413793103</v>
      </c>
      <c r="AB139" s="8" t="str">
        <f aca="false">IF(ISNUMBER(AA139),IF(ABS(AA139)&gt;Assumptions!$B$19,"REVIEW",""),"")</f>
        <v>REVIEW</v>
      </c>
    </row>
    <row r="140" customFormat="false" ht="15" hidden="false" customHeight="false" outlineLevel="0" collapsed="false">
      <c r="A140" s="8" t="s">
        <v>198</v>
      </c>
      <c r="B140" s="8"/>
      <c r="C140" s="9" t="n">
        <v>100</v>
      </c>
      <c r="D140" s="9" t="n">
        <v>200</v>
      </c>
      <c r="E140" s="9" t="n">
        <v>450</v>
      </c>
      <c r="F140" s="9" t="n">
        <v>30</v>
      </c>
      <c r="G140" s="9" t="n">
        <v>25</v>
      </c>
      <c r="H140" s="9" t="n">
        <v>4.5</v>
      </c>
      <c r="I140" s="9" t="n">
        <v>1.5</v>
      </c>
      <c r="J140" s="9" t="n">
        <v>7</v>
      </c>
      <c r="K140" s="9" t="n">
        <f aca="false">C140+3*Assumptions!$B$4*F140+Assumptions!$B$7*G140+H140+I140</f>
        <v>221</v>
      </c>
      <c r="L140" s="9" t="n">
        <f aca="false">D140+3*Assumptions!$B$5*F140+Assumptions!$B$8*G140+H140+I140</f>
        <v>418</v>
      </c>
      <c r="M140" s="9" t="n">
        <f aca="false">E140+3*Assumptions!$B$6*F140+Assumptions!$B$9*G140+H140+I140</f>
        <v>871</v>
      </c>
      <c r="N140" s="9" t="n">
        <f aca="false">IF(AND(Assumptions!$B$17,ISNUMBER(J140)),Assumptions!$B$10*Assumptions!$B$13*J140,0)</f>
        <v>10.5</v>
      </c>
      <c r="O140" s="9" t="n">
        <f aca="false">IF(AND(Assumptions!$B$17,ISNUMBER(J140)),Assumptions!$B$11*Assumptions!$B$13*J140,0)</f>
        <v>21</v>
      </c>
      <c r="P140" s="9" t="n">
        <f aca="false">IF(AND(Assumptions!$B$17,ISNUMBER(J140)),Assumptions!$B$12*Assumptions!$B$13*J140,0)</f>
        <v>31.5</v>
      </c>
      <c r="Q140" s="9" t="n">
        <f aca="false">IF(Assumptions!$B$18,Assumptions!$B$14*K140,0)</f>
        <v>22.1</v>
      </c>
      <c r="R140" s="9" t="n">
        <f aca="false">IF(Assumptions!$B$18,Assumptions!$B$15*L140,0)</f>
        <v>83.6</v>
      </c>
      <c r="S140" s="9" t="n">
        <f aca="false">IF(Assumptions!$B$18,Assumptions!$B$16*M140,0)</f>
        <v>304.85</v>
      </c>
      <c r="T140" s="9" t="n">
        <f aca="false">K140+N140+Q140</f>
        <v>253.6</v>
      </c>
      <c r="U140" s="9" t="n">
        <f aca="false">L140+O140+R140</f>
        <v>522.6</v>
      </c>
      <c r="V140" s="9" t="n">
        <f aca="false">M140+P140+S140</f>
        <v>1207.35</v>
      </c>
      <c r="W140" s="9" t="n">
        <v>110</v>
      </c>
      <c r="X140" s="9" t="n">
        <v>280</v>
      </c>
      <c r="Y140" s="9" t="n">
        <v>750</v>
      </c>
      <c r="Z140" s="9" t="n">
        <f aca="false">U140-X140</f>
        <v>242.6</v>
      </c>
      <c r="AA140" s="10" t="n">
        <f aca="false">IFERROR((U140-X140)/X140,"")</f>
        <v>0.866428571428572</v>
      </c>
      <c r="AB140" s="8" t="str">
        <f aca="false">IF(ISNUMBER(AA140),IF(ABS(AA140)&gt;Assumptions!$B$19,"REVIEW",""),"")</f>
        <v>REVIEW</v>
      </c>
    </row>
    <row r="141" customFormat="false" ht="15" hidden="false" customHeight="false" outlineLevel="0" collapsed="false">
      <c r="A141" s="8" t="s">
        <v>199</v>
      </c>
      <c r="B141" s="8"/>
      <c r="C141" s="9" t="n">
        <v>70</v>
      </c>
      <c r="D141" s="9" t="n">
        <v>180</v>
      </c>
      <c r="E141" s="9" t="n">
        <v>350</v>
      </c>
      <c r="F141" s="9" t="n">
        <v>25</v>
      </c>
      <c r="G141" s="9" t="n">
        <v>12</v>
      </c>
      <c r="H141" s="9" t="n">
        <v>2</v>
      </c>
      <c r="I141" s="9" t="n">
        <v>1.5</v>
      </c>
      <c r="J141" s="9" t="n">
        <v>3.5</v>
      </c>
      <c r="K141" s="9" t="n">
        <f aca="false">C141+3*Assumptions!$B$4*F141+Assumptions!$B$7*G141+H141+I141</f>
        <v>160.5</v>
      </c>
      <c r="L141" s="9" t="n">
        <f aca="false">D141+3*Assumptions!$B$5*F141+Assumptions!$B$8*G141+H141+I141</f>
        <v>342.5</v>
      </c>
      <c r="M141" s="9" t="n">
        <f aca="false">E141+3*Assumptions!$B$6*F141+Assumptions!$B$9*G141+H141+I141</f>
        <v>664</v>
      </c>
      <c r="N141" s="9" t="n">
        <f aca="false">IF(AND(Assumptions!$B$17,ISNUMBER(J141)),Assumptions!$B$10*Assumptions!$B$13*J141,0)</f>
        <v>5.25</v>
      </c>
      <c r="O141" s="9" t="n">
        <f aca="false">IF(AND(Assumptions!$B$17,ISNUMBER(J141)),Assumptions!$B$11*Assumptions!$B$13*J141,0)</f>
        <v>10.5</v>
      </c>
      <c r="P141" s="9" t="n">
        <f aca="false">IF(AND(Assumptions!$B$17,ISNUMBER(J141)),Assumptions!$B$12*Assumptions!$B$13*J141,0)</f>
        <v>15.75</v>
      </c>
      <c r="Q141" s="9" t="n">
        <f aca="false">IF(Assumptions!$B$18,Assumptions!$B$14*K141,0)</f>
        <v>16.05</v>
      </c>
      <c r="R141" s="9" t="n">
        <f aca="false">IF(Assumptions!$B$18,Assumptions!$B$15*L141,0)</f>
        <v>68.5</v>
      </c>
      <c r="S141" s="9" t="n">
        <f aca="false">IF(Assumptions!$B$18,Assumptions!$B$16*M141,0)</f>
        <v>232.4</v>
      </c>
      <c r="T141" s="9" t="n">
        <f aca="false">K141+N141+Q141</f>
        <v>181.8</v>
      </c>
      <c r="U141" s="9" t="n">
        <f aca="false">L141+O141+R141</f>
        <v>421.5</v>
      </c>
      <c r="V141" s="9" t="n">
        <f aca="false">M141+P141+S141</f>
        <v>912.15</v>
      </c>
      <c r="W141" s="9" t="n">
        <v>75</v>
      </c>
      <c r="X141" s="9" t="n">
        <v>185</v>
      </c>
      <c r="Y141" s="9" t="n">
        <v>545</v>
      </c>
      <c r="Z141" s="9" t="n">
        <f aca="false">U141-X141</f>
        <v>236.5</v>
      </c>
      <c r="AA141" s="10" t="n">
        <f aca="false">IFERROR((U141-X141)/X141,"")</f>
        <v>1.27837837837838</v>
      </c>
      <c r="AB141" s="8" t="str">
        <f aca="false">IF(ISNUMBER(AA141),IF(ABS(AA141)&gt;Assumptions!$B$19,"REVIEW",""),"")</f>
        <v>REVIEW</v>
      </c>
    </row>
    <row r="142" customFormat="false" ht="15" hidden="false" customHeight="false" outlineLevel="0" collapsed="false">
      <c r="A142" s="8" t="s">
        <v>200</v>
      </c>
      <c r="B142" s="8"/>
      <c r="C142" s="9" t="n">
        <v>30</v>
      </c>
      <c r="D142" s="9" t="n">
        <v>90</v>
      </c>
      <c r="E142" s="9" t="n">
        <v>220</v>
      </c>
      <c r="F142" s="9" t="n">
        <v>10</v>
      </c>
      <c r="G142" s="9" t="n">
        <v>7</v>
      </c>
      <c r="H142" s="9" t="n">
        <v>2.9</v>
      </c>
      <c r="I142" s="9" t="n">
        <v>0.5</v>
      </c>
      <c r="J142" s="9" t="n">
        <v>1.6</v>
      </c>
      <c r="K142" s="9" t="n">
        <f aca="false">C142+3*Assumptions!$B$4*F142+Assumptions!$B$7*G142+H142+I142</f>
        <v>70.4</v>
      </c>
      <c r="L142" s="9" t="n">
        <f aca="false">D142+3*Assumptions!$B$5*F142+Assumptions!$B$8*G142+H142+I142</f>
        <v>161.4</v>
      </c>
      <c r="M142" s="9" t="n">
        <f aca="false">E142+3*Assumptions!$B$6*F142+Assumptions!$B$9*G142+H142+I142</f>
        <v>356.4</v>
      </c>
      <c r="N142" s="9" t="n">
        <f aca="false">IF(AND(Assumptions!$B$17,ISNUMBER(J142)),Assumptions!$B$10*Assumptions!$B$13*J142,0)</f>
        <v>2.4</v>
      </c>
      <c r="O142" s="9" t="n">
        <f aca="false">IF(AND(Assumptions!$B$17,ISNUMBER(J142)),Assumptions!$B$11*Assumptions!$B$13*J142,0)</f>
        <v>4.8</v>
      </c>
      <c r="P142" s="9" t="n">
        <f aca="false">IF(AND(Assumptions!$B$17,ISNUMBER(J142)),Assumptions!$B$12*Assumptions!$B$13*J142,0)</f>
        <v>7.2</v>
      </c>
      <c r="Q142" s="9" t="n">
        <f aca="false">IF(Assumptions!$B$18,Assumptions!$B$14*K142,0)</f>
        <v>7.04</v>
      </c>
      <c r="R142" s="9" t="n">
        <f aca="false">IF(Assumptions!$B$18,Assumptions!$B$15*L142,0)</f>
        <v>32.28</v>
      </c>
      <c r="S142" s="9" t="n">
        <f aca="false">IF(Assumptions!$B$18,Assumptions!$B$16*M142,0)</f>
        <v>124.74</v>
      </c>
      <c r="T142" s="9" t="n">
        <f aca="false">K142+N142+Q142</f>
        <v>79.84</v>
      </c>
      <c r="U142" s="9" t="n">
        <f aca="false">L142+O142+R142</f>
        <v>198.48</v>
      </c>
      <c r="V142" s="9" t="n">
        <f aca="false">M142+P142+S142</f>
        <v>488.34</v>
      </c>
      <c r="W142" s="9" t="n">
        <v>40</v>
      </c>
      <c r="X142" s="9" t="n">
        <v>105</v>
      </c>
      <c r="Y142" s="9" t="n">
        <v>305</v>
      </c>
      <c r="Z142" s="9" t="n">
        <f aca="false">U142-X142</f>
        <v>93.48</v>
      </c>
      <c r="AA142" s="10" t="n">
        <f aca="false">IFERROR((U142-X142)/X142,"")</f>
        <v>0.890285714285715</v>
      </c>
      <c r="AB142" s="8" t="str">
        <f aca="false">IF(ISNUMBER(AA142),IF(ABS(AA142)&gt;Assumptions!$B$19,"REVIEW",""),"")</f>
        <v>REVIEW</v>
      </c>
    </row>
    <row r="143" customFormat="false" ht="15" hidden="false" customHeight="false" outlineLevel="0" collapsed="false">
      <c r="A143" s="8" t="s">
        <v>201</v>
      </c>
      <c r="B143" s="8"/>
      <c r="C143" s="9" t="n">
        <v>95</v>
      </c>
      <c r="D143" s="9" t="n">
        <v>180</v>
      </c>
      <c r="E143" s="9" t="n">
        <v>320</v>
      </c>
      <c r="F143" s="9" t="n">
        <v>35</v>
      </c>
      <c r="G143" s="9" t="n">
        <v>15</v>
      </c>
      <c r="H143" s="9" t="n">
        <v>3.5</v>
      </c>
      <c r="I143" s="9" t="n">
        <v>2.5</v>
      </c>
      <c r="J143" s="9" t="n">
        <v>6</v>
      </c>
      <c r="K143" s="9" t="n">
        <f aca="false">C143+3*Assumptions!$B$4*F143+Assumptions!$B$7*G143+H143+I143</f>
        <v>221</v>
      </c>
      <c r="L143" s="9" t="n">
        <f aca="false">D143+3*Assumptions!$B$5*F143+Assumptions!$B$8*G143+H143+I143</f>
        <v>405</v>
      </c>
      <c r="M143" s="9" t="n">
        <f aca="false">E143+3*Assumptions!$B$6*F143+Assumptions!$B$9*G143+H143+I143</f>
        <v>753.5</v>
      </c>
      <c r="N143" s="9" t="n">
        <f aca="false">IF(AND(Assumptions!$B$17,ISNUMBER(J143)),Assumptions!$B$10*Assumptions!$B$13*J143,0)</f>
        <v>9</v>
      </c>
      <c r="O143" s="9" t="n">
        <f aca="false">IF(AND(Assumptions!$B$17,ISNUMBER(J143)),Assumptions!$B$11*Assumptions!$B$13*J143,0)</f>
        <v>18</v>
      </c>
      <c r="P143" s="9" t="n">
        <f aca="false">IF(AND(Assumptions!$B$17,ISNUMBER(J143)),Assumptions!$B$12*Assumptions!$B$13*J143,0)</f>
        <v>27</v>
      </c>
      <c r="Q143" s="9" t="n">
        <f aca="false">IF(Assumptions!$B$18,Assumptions!$B$14*K143,0)</f>
        <v>22.1</v>
      </c>
      <c r="R143" s="9" t="n">
        <f aca="false">IF(Assumptions!$B$18,Assumptions!$B$15*L143,0)</f>
        <v>81</v>
      </c>
      <c r="S143" s="9" t="n">
        <f aca="false">IF(Assumptions!$B$18,Assumptions!$B$16*M143,0)</f>
        <v>263.725</v>
      </c>
      <c r="T143" s="9" t="n">
        <f aca="false">K143+N143+Q143</f>
        <v>252.1</v>
      </c>
      <c r="U143" s="9" t="n">
        <f aca="false">L143+O143+R143</f>
        <v>504</v>
      </c>
      <c r="V143" s="9" t="n">
        <f aca="false">M143+P143+S143</f>
        <v>1044.225</v>
      </c>
      <c r="W143" s="9" t="n">
        <v>95</v>
      </c>
      <c r="X143" s="9" t="n">
        <v>230</v>
      </c>
      <c r="Y143" s="9" t="n">
        <v>645</v>
      </c>
      <c r="Z143" s="9" t="n">
        <f aca="false">U143-X143</f>
        <v>274</v>
      </c>
      <c r="AA143" s="10" t="n">
        <f aca="false">IFERROR((U143-X143)/X143,"")</f>
        <v>1.19130434782609</v>
      </c>
      <c r="AB143" s="8" t="str">
        <f aca="false">IF(ISNUMBER(AA143),IF(ABS(AA143)&gt;Assumptions!$B$19,"REVIEW",""),"")</f>
        <v>REVIEW</v>
      </c>
    </row>
    <row r="144" customFormat="false" ht="15" hidden="false" customHeight="false" outlineLevel="0" collapsed="false">
      <c r="A144" s="8" t="s">
        <v>202</v>
      </c>
      <c r="B144" s="8"/>
      <c r="C144" s="9" t="n">
        <v>55</v>
      </c>
      <c r="D144" s="9" t="n">
        <v>130</v>
      </c>
      <c r="E144" s="9" t="n">
        <v>320</v>
      </c>
      <c r="F144" s="9" t="n">
        <v>22</v>
      </c>
      <c r="G144" s="9" t="n">
        <v>10</v>
      </c>
      <c r="H144" s="9" t="n">
        <v>4</v>
      </c>
      <c r="I144" s="9" t="n">
        <v>1</v>
      </c>
      <c r="J144" s="9" t="n">
        <v>5</v>
      </c>
      <c r="K144" s="9" t="n">
        <f aca="false">C144+3*Assumptions!$B$4*F144+Assumptions!$B$7*G144+H144+I144</f>
        <v>136</v>
      </c>
      <c r="L144" s="9" t="n">
        <f aca="false">D144+3*Assumptions!$B$5*F144+Assumptions!$B$8*G144+H144+I144</f>
        <v>273.8</v>
      </c>
      <c r="M144" s="9" t="n">
        <f aca="false">E144+3*Assumptions!$B$6*F144+Assumptions!$B$9*G144+H144+I144</f>
        <v>596</v>
      </c>
      <c r="N144" s="9" t="n">
        <f aca="false">IF(AND(Assumptions!$B$17,ISNUMBER(J144)),Assumptions!$B$10*Assumptions!$B$13*J144,0)</f>
        <v>7.5</v>
      </c>
      <c r="O144" s="9" t="n">
        <f aca="false">IF(AND(Assumptions!$B$17,ISNUMBER(J144)),Assumptions!$B$11*Assumptions!$B$13*J144,0)</f>
        <v>15</v>
      </c>
      <c r="P144" s="9" t="n">
        <f aca="false">IF(AND(Assumptions!$B$17,ISNUMBER(J144)),Assumptions!$B$12*Assumptions!$B$13*J144,0)</f>
        <v>22.5</v>
      </c>
      <c r="Q144" s="9" t="n">
        <f aca="false">IF(Assumptions!$B$18,Assumptions!$B$14*K144,0)</f>
        <v>13.6</v>
      </c>
      <c r="R144" s="9" t="n">
        <f aca="false">IF(Assumptions!$B$18,Assumptions!$B$15*L144,0)</f>
        <v>54.76</v>
      </c>
      <c r="S144" s="9" t="n">
        <f aca="false">IF(Assumptions!$B$18,Assumptions!$B$16*M144,0)</f>
        <v>208.6</v>
      </c>
      <c r="T144" s="9" t="n">
        <f aca="false">K144+N144+Q144</f>
        <v>157.1</v>
      </c>
      <c r="U144" s="9" t="n">
        <f aca="false">L144+O144+R144</f>
        <v>343.56</v>
      </c>
      <c r="V144" s="9" t="n">
        <f aca="false">M144+P144+S144</f>
        <v>827.1</v>
      </c>
      <c r="W144" s="9" t="n">
        <v>55</v>
      </c>
      <c r="X144" s="9" t="n">
        <v>140</v>
      </c>
      <c r="Y144" s="9" t="n">
        <v>400</v>
      </c>
      <c r="Z144" s="9" t="n">
        <f aca="false">U144-X144</f>
        <v>203.56</v>
      </c>
      <c r="AA144" s="10" t="n">
        <f aca="false">IFERROR((U144-X144)/X144,"")</f>
        <v>1.454</v>
      </c>
      <c r="AB144" s="8" t="str">
        <f aca="false">IF(ISNUMBER(AA144),IF(ABS(AA144)&gt;Assumptions!$B$19,"REVIEW",""),"")</f>
        <v>REVIEW</v>
      </c>
    </row>
    <row r="145" customFormat="false" ht="15" hidden="false" customHeight="false" outlineLevel="0" collapsed="false">
      <c r="A145" s="8" t="s">
        <v>203</v>
      </c>
      <c r="B145" s="8"/>
      <c r="C145" s="9" t="n">
        <v>70</v>
      </c>
      <c r="D145" s="9" t="n">
        <v>130</v>
      </c>
      <c r="E145" s="9" t="n">
        <v>300</v>
      </c>
      <c r="F145" s="9" t="n">
        <v>20</v>
      </c>
      <c r="G145" s="9" t="n">
        <v>25</v>
      </c>
      <c r="H145" s="9" t="n">
        <v>1.6</v>
      </c>
      <c r="I145" s="9" t="n">
        <v>1</v>
      </c>
      <c r="J145" s="9" t="n">
        <v>2.5</v>
      </c>
      <c r="K145" s="9" t="n">
        <f aca="false">C145+3*Assumptions!$B$4*F145+Assumptions!$B$7*G145+H145+I145</f>
        <v>157.6</v>
      </c>
      <c r="L145" s="9" t="n">
        <f aca="false">D145+3*Assumptions!$B$5*F145+Assumptions!$B$8*G145+H145+I145</f>
        <v>290.6</v>
      </c>
      <c r="M145" s="9" t="n">
        <f aca="false">E145+3*Assumptions!$B$6*F145+Assumptions!$B$9*G145+H145+I145</f>
        <v>612.6</v>
      </c>
      <c r="N145" s="9" t="n">
        <f aca="false">IF(AND(Assumptions!$B$17,ISNUMBER(J145)),Assumptions!$B$10*Assumptions!$B$13*J145,0)</f>
        <v>3.75</v>
      </c>
      <c r="O145" s="9" t="n">
        <f aca="false">IF(AND(Assumptions!$B$17,ISNUMBER(J145)),Assumptions!$B$11*Assumptions!$B$13*J145,0)</f>
        <v>7.5</v>
      </c>
      <c r="P145" s="9" t="n">
        <f aca="false">IF(AND(Assumptions!$B$17,ISNUMBER(J145)),Assumptions!$B$12*Assumptions!$B$13*J145,0)</f>
        <v>11.25</v>
      </c>
      <c r="Q145" s="9" t="n">
        <f aca="false">IF(Assumptions!$B$18,Assumptions!$B$14*K145,0)</f>
        <v>15.76</v>
      </c>
      <c r="R145" s="9" t="n">
        <f aca="false">IF(Assumptions!$B$18,Assumptions!$B$15*L145,0)</f>
        <v>58.12</v>
      </c>
      <c r="S145" s="9" t="n">
        <f aca="false">IF(Assumptions!$B$18,Assumptions!$B$16*M145,0)</f>
        <v>214.41</v>
      </c>
      <c r="T145" s="9" t="n">
        <f aca="false">K145+N145+Q145</f>
        <v>177.11</v>
      </c>
      <c r="U145" s="9" t="n">
        <f aca="false">L145+O145+R145</f>
        <v>356.22</v>
      </c>
      <c r="V145" s="9" t="n">
        <f aca="false">M145+P145+S145</f>
        <v>838.26</v>
      </c>
      <c r="W145" s="9" t="n">
        <v>70</v>
      </c>
      <c r="X145" s="9" t="n">
        <v>170</v>
      </c>
      <c r="Y145" s="9" t="n">
        <v>470</v>
      </c>
      <c r="Z145" s="9" t="n">
        <f aca="false">U145-X145</f>
        <v>186.22</v>
      </c>
      <c r="AA145" s="10" t="n">
        <f aca="false">IFERROR((U145-X145)/X145,"")</f>
        <v>1.09541176470588</v>
      </c>
      <c r="AB145" s="8" t="str">
        <f aca="false">IF(ISNUMBER(AA145),IF(ABS(AA145)&gt;Assumptions!$B$19,"REVIEW",""),"")</f>
        <v>REVIEW</v>
      </c>
    </row>
    <row r="146" customFormat="false" ht="15" hidden="false" customHeight="false" outlineLevel="0" collapsed="false">
      <c r="A146" s="8" t="s">
        <v>204</v>
      </c>
      <c r="B146" s="8"/>
      <c r="C146" s="9" t="n">
        <v>45</v>
      </c>
      <c r="D146" s="9" t="n">
        <v>90</v>
      </c>
      <c r="E146" s="9" t="n">
        <v>150</v>
      </c>
      <c r="F146" s="9" t="n">
        <v>15</v>
      </c>
      <c r="G146" s="9" t="n">
        <v>5</v>
      </c>
      <c r="H146" s="9" t="n">
        <v>4</v>
      </c>
      <c r="I146" s="9" t="n">
        <v>1.5</v>
      </c>
      <c r="J146" s="9" t="n">
        <v>4</v>
      </c>
      <c r="K146" s="9" t="n">
        <f aca="false">C146+3*Assumptions!$B$4*F146+Assumptions!$B$7*G146+H146+I146</f>
        <v>100.5</v>
      </c>
      <c r="L146" s="9" t="n">
        <f aca="false">D146+3*Assumptions!$B$5*F146+Assumptions!$B$8*G146+H146+I146</f>
        <v>186.5</v>
      </c>
      <c r="M146" s="9" t="n">
        <f aca="false">E146+3*Assumptions!$B$6*F146+Assumptions!$B$9*G146+H146+I146</f>
        <v>333</v>
      </c>
      <c r="N146" s="9" t="n">
        <f aca="false">IF(AND(Assumptions!$B$17,ISNUMBER(J146)),Assumptions!$B$10*Assumptions!$B$13*J146,0)</f>
        <v>6</v>
      </c>
      <c r="O146" s="9" t="n">
        <f aca="false">IF(AND(Assumptions!$B$17,ISNUMBER(J146)),Assumptions!$B$11*Assumptions!$B$13*J146,0)</f>
        <v>12</v>
      </c>
      <c r="P146" s="9" t="n">
        <f aca="false">IF(AND(Assumptions!$B$17,ISNUMBER(J146)),Assumptions!$B$12*Assumptions!$B$13*J146,0)</f>
        <v>18</v>
      </c>
      <c r="Q146" s="9" t="n">
        <f aca="false">IF(Assumptions!$B$18,Assumptions!$B$14*K146,0)</f>
        <v>10.05</v>
      </c>
      <c r="R146" s="9" t="n">
        <f aca="false">IF(Assumptions!$B$18,Assumptions!$B$15*L146,0)</f>
        <v>37.3</v>
      </c>
      <c r="S146" s="9" t="n">
        <f aca="false">IF(Assumptions!$B$18,Assumptions!$B$16*M146,0)</f>
        <v>116.55</v>
      </c>
      <c r="T146" s="9" t="n">
        <f aca="false">K146+N146+Q146</f>
        <v>116.55</v>
      </c>
      <c r="U146" s="9" t="n">
        <f aca="false">L146+O146+R146</f>
        <v>235.8</v>
      </c>
      <c r="V146" s="9" t="n">
        <f aca="false">M146+P146+S146</f>
        <v>467.55</v>
      </c>
      <c r="W146" s="9" t="n">
        <v>50</v>
      </c>
      <c r="X146" s="9" t="n">
        <v>120</v>
      </c>
      <c r="Y146" s="9" t="n">
        <v>335</v>
      </c>
      <c r="Z146" s="9" t="n">
        <f aca="false">U146-X146</f>
        <v>115.8</v>
      </c>
      <c r="AA146" s="10" t="n">
        <f aca="false">IFERROR((U146-X146)/X146,"")</f>
        <v>0.965</v>
      </c>
      <c r="AB146" s="8" t="str">
        <f aca="false">IF(ISNUMBER(AA146),IF(ABS(AA146)&gt;Assumptions!$B$19,"REVIEW",""),"")</f>
        <v>REVIEW</v>
      </c>
    </row>
    <row r="147" customFormat="false" ht="15" hidden="false" customHeight="false" outlineLevel="0" collapsed="false">
      <c r="A147" s="8" t="s">
        <v>205</v>
      </c>
      <c r="B147" s="8"/>
      <c r="C147" s="9" t="n">
        <v>60</v>
      </c>
      <c r="D147" s="9" t="n">
        <v>160</v>
      </c>
      <c r="E147" s="9" t="n">
        <v>300</v>
      </c>
      <c r="F147" s="9" t="n">
        <v>30</v>
      </c>
      <c r="G147" s="9" t="n">
        <v>8</v>
      </c>
      <c r="H147" s="9" t="n">
        <v>3.5</v>
      </c>
      <c r="I147" s="9" t="n">
        <v>1.5</v>
      </c>
      <c r="J147" s="9" t="n">
        <v>4.5</v>
      </c>
      <c r="K147" s="9" t="n">
        <f aca="false">C147+3*Assumptions!$B$4*F147+Assumptions!$B$7*G147+H147+I147</f>
        <v>163</v>
      </c>
      <c r="L147" s="9" t="n">
        <f aca="false">D147+3*Assumptions!$B$5*F147+Assumptions!$B$8*G147+H147+I147</f>
        <v>343</v>
      </c>
      <c r="M147" s="9" t="n">
        <f aca="false">E147+3*Assumptions!$B$6*F147+Assumptions!$B$9*G147+H147+I147</f>
        <v>652</v>
      </c>
      <c r="N147" s="9" t="n">
        <f aca="false">IF(AND(Assumptions!$B$17,ISNUMBER(J147)),Assumptions!$B$10*Assumptions!$B$13*J147,0)</f>
        <v>6.75</v>
      </c>
      <c r="O147" s="9" t="n">
        <f aca="false">IF(AND(Assumptions!$B$17,ISNUMBER(J147)),Assumptions!$B$11*Assumptions!$B$13*J147,0)</f>
        <v>13.5</v>
      </c>
      <c r="P147" s="9" t="n">
        <f aca="false">IF(AND(Assumptions!$B$17,ISNUMBER(J147)),Assumptions!$B$12*Assumptions!$B$13*J147,0)</f>
        <v>20.25</v>
      </c>
      <c r="Q147" s="9" t="n">
        <f aca="false">IF(Assumptions!$B$18,Assumptions!$B$14*K147,0)</f>
        <v>16.3</v>
      </c>
      <c r="R147" s="9" t="n">
        <f aca="false">IF(Assumptions!$B$18,Assumptions!$B$15*L147,0)</f>
        <v>68.6</v>
      </c>
      <c r="S147" s="9" t="n">
        <f aca="false">IF(Assumptions!$B$18,Assumptions!$B$16*M147,0)</f>
        <v>228.2</v>
      </c>
      <c r="T147" s="9" t="n">
        <f aca="false">K147+N147+Q147</f>
        <v>186.05</v>
      </c>
      <c r="U147" s="9" t="n">
        <f aca="false">L147+O147+R147</f>
        <v>425.1</v>
      </c>
      <c r="V147" s="9" t="n">
        <f aca="false">M147+P147+S147</f>
        <v>900.45</v>
      </c>
      <c r="W147" s="9" t="n">
        <v>75</v>
      </c>
      <c r="X147" s="9" t="n">
        <v>185</v>
      </c>
      <c r="Y147" s="9" t="n">
        <v>545</v>
      </c>
      <c r="Z147" s="9" t="n">
        <f aca="false">U147-X147</f>
        <v>240.1</v>
      </c>
      <c r="AA147" s="10" t="n">
        <f aca="false">IFERROR((U147-X147)/X147,"")</f>
        <v>1.29783783783784</v>
      </c>
      <c r="AB147" s="8" t="str">
        <f aca="false">IF(ISNUMBER(AA147),IF(ABS(AA147)&gt;Assumptions!$B$19,"REVIEW",""),"")</f>
        <v>REVIEW</v>
      </c>
    </row>
    <row r="148" customFormat="false" ht="15" hidden="false" customHeight="false" outlineLevel="0" collapsed="false">
      <c r="A148" s="8" t="s">
        <v>206</v>
      </c>
      <c r="B148" s="8" t="s">
        <v>60</v>
      </c>
      <c r="C148" s="9" t="n">
        <v>25</v>
      </c>
      <c r="D148" s="9" t="n">
        <v>90</v>
      </c>
      <c r="E148" s="9" t="n">
        <v>280</v>
      </c>
      <c r="F148" s="9" t="n">
        <v>15</v>
      </c>
      <c r="G148" s="9" t="n">
        <v>5</v>
      </c>
      <c r="H148" s="9" t="n">
        <v>3</v>
      </c>
      <c r="I148" s="9" t="n">
        <v>1</v>
      </c>
      <c r="J148" s="9"/>
      <c r="K148" s="9" t="n">
        <f aca="false">C148+3*Assumptions!$B$4*F148+Assumptions!$B$7*G148+H148+I148</f>
        <v>79</v>
      </c>
      <c r="L148" s="9" t="n">
        <f aca="false">D148+3*Assumptions!$B$5*F148+Assumptions!$B$8*G148+H148+I148</f>
        <v>185</v>
      </c>
      <c r="M148" s="9" t="n">
        <f aca="false">E148+3*Assumptions!$B$6*F148+Assumptions!$B$9*G148+H148+I148</f>
        <v>461.5</v>
      </c>
      <c r="N148" s="9" t="n">
        <f aca="false">IF(AND(Assumptions!$B$17,ISNUMBER(J148)),Assumptions!$B$10*Assumptions!$B$13*J148,0)</f>
        <v>0</v>
      </c>
      <c r="O148" s="9" t="n">
        <f aca="false">IF(AND(Assumptions!$B$17,ISNUMBER(J148)),Assumptions!$B$11*Assumptions!$B$13*J148,0)</f>
        <v>0</v>
      </c>
      <c r="P148" s="9" t="n">
        <f aca="false">IF(AND(Assumptions!$B$17,ISNUMBER(J148)),Assumptions!$B$12*Assumptions!$B$13*J148,0)</f>
        <v>0</v>
      </c>
      <c r="Q148" s="9" t="n">
        <f aca="false">IF(Assumptions!$B$18,Assumptions!$B$14*K148,0)</f>
        <v>7.9</v>
      </c>
      <c r="R148" s="9" t="n">
        <f aca="false">IF(Assumptions!$B$18,Assumptions!$B$15*L148,0)</f>
        <v>37</v>
      </c>
      <c r="S148" s="9" t="n">
        <f aca="false">IF(Assumptions!$B$18,Assumptions!$B$16*M148,0)</f>
        <v>161.525</v>
      </c>
      <c r="T148" s="9" t="n">
        <f aca="false">K148+N148+Q148</f>
        <v>86.9</v>
      </c>
      <c r="U148" s="9" t="n">
        <f aca="false">L148+O148+R148</f>
        <v>222</v>
      </c>
      <c r="V148" s="9" t="n">
        <f aca="false">M148+P148+S148</f>
        <v>623.025</v>
      </c>
      <c r="W148" s="9" t="n">
        <v>45</v>
      </c>
      <c r="X148" s="9" t="n">
        <v>115</v>
      </c>
      <c r="Y148" s="9" t="n">
        <v>365</v>
      </c>
      <c r="Z148" s="9" t="n">
        <f aca="false">U148-X148</f>
        <v>107</v>
      </c>
      <c r="AA148" s="10" t="n">
        <f aca="false">IFERROR((U148-X148)/X148,"")</f>
        <v>0.930434782608696</v>
      </c>
      <c r="AB148" s="8" t="str">
        <f aca="false">IF(ISNUMBER(AA148),IF(ABS(AA148)&gt;Assumptions!$B$19,"REVIEW",""),"")</f>
        <v>REVIEW</v>
      </c>
    </row>
    <row r="149" customFormat="false" ht="15" hidden="false" customHeight="false" outlineLevel="0" collapsed="false">
      <c r="A149" s="8" t="s">
        <v>207</v>
      </c>
      <c r="B149" s="8"/>
      <c r="C149" s="9" t="n">
        <v>15</v>
      </c>
      <c r="D149" s="9" t="n">
        <v>70</v>
      </c>
      <c r="E149" s="9" t="n">
        <v>130</v>
      </c>
      <c r="F149" s="9" t="n">
        <v>8</v>
      </c>
      <c r="G149" s="9" t="n">
        <v>4</v>
      </c>
      <c r="H149" s="9" t="n">
        <v>2.5</v>
      </c>
      <c r="I149" s="9" t="n">
        <v>1</v>
      </c>
      <c r="J149" s="9" t="n">
        <v>2</v>
      </c>
      <c r="K149" s="9" t="n">
        <f aca="false">C149+3*Assumptions!$B$4*F149+Assumptions!$B$7*G149+H149+I149</f>
        <v>46.5</v>
      </c>
      <c r="L149" s="9" t="n">
        <f aca="false">D149+3*Assumptions!$B$5*F149+Assumptions!$B$8*G149+H149+I149</f>
        <v>124.7</v>
      </c>
      <c r="M149" s="9" t="n">
        <f aca="false">E149+3*Assumptions!$B$6*F149+Assumptions!$B$9*G149+H149+I149</f>
        <v>233.5</v>
      </c>
      <c r="N149" s="9" t="n">
        <f aca="false">IF(AND(Assumptions!$B$17,ISNUMBER(J149)),Assumptions!$B$10*Assumptions!$B$13*J149,0)</f>
        <v>3</v>
      </c>
      <c r="O149" s="9" t="n">
        <f aca="false">IF(AND(Assumptions!$B$17,ISNUMBER(J149)),Assumptions!$B$11*Assumptions!$B$13*J149,0)</f>
        <v>6</v>
      </c>
      <c r="P149" s="9" t="n">
        <f aca="false">IF(AND(Assumptions!$B$17,ISNUMBER(J149)),Assumptions!$B$12*Assumptions!$B$13*J149,0)</f>
        <v>9</v>
      </c>
      <c r="Q149" s="9" t="n">
        <f aca="false">IF(Assumptions!$B$18,Assumptions!$B$14*K149,0)</f>
        <v>4.65</v>
      </c>
      <c r="R149" s="9" t="n">
        <f aca="false">IF(Assumptions!$B$18,Assumptions!$B$15*L149,0)</f>
        <v>24.94</v>
      </c>
      <c r="S149" s="9" t="n">
        <f aca="false">IF(Assumptions!$B$18,Assumptions!$B$16*M149,0)</f>
        <v>81.725</v>
      </c>
      <c r="T149" s="9" t="n">
        <f aca="false">K149+N149+Q149</f>
        <v>54.15</v>
      </c>
      <c r="U149" s="9" t="n">
        <f aca="false">L149+O149+R149</f>
        <v>155.64</v>
      </c>
      <c r="V149" s="9" t="n">
        <f aca="false">M149+P149+S149</f>
        <v>324.225</v>
      </c>
      <c r="W149" s="9" t="n">
        <v>30</v>
      </c>
      <c r="X149" s="9" t="n">
        <v>75</v>
      </c>
      <c r="Y149" s="9" t="n">
        <v>225</v>
      </c>
      <c r="Z149" s="9" t="n">
        <f aca="false">U149-X149</f>
        <v>80.64</v>
      </c>
      <c r="AA149" s="10" t="n">
        <f aca="false">IFERROR((U149-X149)/X149,"")</f>
        <v>1.0752</v>
      </c>
      <c r="AB149" s="8" t="str">
        <f aca="false">IF(ISNUMBER(AA149),IF(ABS(AA149)&gt;Assumptions!$B$19,"REVIEW",""),"")</f>
        <v>REVIEW</v>
      </c>
    </row>
    <row r="150" customFormat="false" ht="15" hidden="false" customHeight="false" outlineLevel="0" collapsed="false">
      <c r="A150" s="8" t="s">
        <v>208</v>
      </c>
      <c r="B150" s="8"/>
      <c r="C150" s="9" t="n">
        <v>35</v>
      </c>
      <c r="D150" s="9" t="n">
        <v>90</v>
      </c>
      <c r="E150" s="9" t="n">
        <v>280</v>
      </c>
      <c r="F150" s="9" t="n">
        <v>18</v>
      </c>
      <c r="G150" s="9" t="n">
        <v>6</v>
      </c>
      <c r="H150" s="9" t="n">
        <v>4</v>
      </c>
      <c r="I150" s="9" t="n">
        <v>0.6</v>
      </c>
      <c r="J150" s="9" t="n">
        <v>9</v>
      </c>
      <c r="K150" s="9" t="n">
        <f aca="false">C150+3*Assumptions!$B$4*F150+Assumptions!$B$7*G150+H150+I150</f>
        <v>99.6</v>
      </c>
      <c r="L150" s="9" t="n">
        <f aca="false">D150+3*Assumptions!$B$5*F150+Assumptions!$B$8*G150+H150+I150</f>
        <v>203.8</v>
      </c>
      <c r="M150" s="9" t="n">
        <f aca="false">E150+3*Assumptions!$B$6*F150+Assumptions!$B$9*G150+H150+I150</f>
        <v>497.6</v>
      </c>
      <c r="N150" s="9" t="n">
        <f aca="false">IF(AND(Assumptions!$B$17,ISNUMBER(J150)),Assumptions!$B$10*Assumptions!$B$13*J150,0)</f>
        <v>13.5</v>
      </c>
      <c r="O150" s="9" t="n">
        <f aca="false">IF(AND(Assumptions!$B$17,ISNUMBER(J150)),Assumptions!$B$11*Assumptions!$B$13*J150,0)</f>
        <v>27</v>
      </c>
      <c r="P150" s="9" t="n">
        <f aca="false">IF(AND(Assumptions!$B$17,ISNUMBER(J150)),Assumptions!$B$12*Assumptions!$B$13*J150,0)</f>
        <v>40.5</v>
      </c>
      <c r="Q150" s="9" t="n">
        <f aca="false">IF(Assumptions!$B$18,Assumptions!$B$14*K150,0)</f>
        <v>9.96</v>
      </c>
      <c r="R150" s="9" t="n">
        <f aca="false">IF(Assumptions!$B$18,Assumptions!$B$15*L150,0)</f>
        <v>40.76</v>
      </c>
      <c r="S150" s="9" t="n">
        <f aca="false">IF(Assumptions!$B$18,Assumptions!$B$16*M150,0)</f>
        <v>174.16</v>
      </c>
      <c r="T150" s="9" t="n">
        <f aca="false">K150+N150+Q150</f>
        <v>123.06</v>
      </c>
      <c r="U150" s="9" t="n">
        <f aca="false">L150+O150+R150</f>
        <v>271.56</v>
      </c>
      <c r="V150" s="9" t="n">
        <f aca="false">M150+P150+S150</f>
        <v>712.26</v>
      </c>
      <c r="W150" s="9" t="n">
        <v>50</v>
      </c>
      <c r="X150" s="9" t="n">
        <v>135</v>
      </c>
      <c r="Y150" s="9" t="n">
        <v>405</v>
      </c>
      <c r="Z150" s="9" t="n">
        <f aca="false">U150-X150</f>
        <v>136.56</v>
      </c>
      <c r="AA150" s="10" t="n">
        <f aca="false">IFERROR((U150-X150)/X150,"")</f>
        <v>1.01155555555556</v>
      </c>
      <c r="AB150" s="8" t="str">
        <f aca="false">IF(ISNUMBER(AA150),IF(ABS(AA150)&gt;Assumptions!$B$19,"REVIEW",""),"")</f>
        <v>REVIEW</v>
      </c>
    </row>
    <row r="151" customFormat="false" ht="15" hidden="false" customHeight="false" outlineLevel="0" collapsed="false">
      <c r="A151" s="8" t="s">
        <v>209</v>
      </c>
      <c r="B151" s="8"/>
      <c r="C151" s="9" t="n">
        <v>20</v>
      </c>
      <c r="D151" s="9" t="n">
        <v>70</v>
      </c>
      <c r="E151" s="9" t="n">
        <v>200</v>
      </c>
      <c r="F151" s="9" t="n">
        <v>8</v>
      </c>
      <c r="G151" s="9" t="n">
        <v>5</v>
      </c>
      <c r="H151" s="9" t="n">
        <v>3</v>
      </c>
      <c r="I151" s="9" t="n">
        <v>0.5</v>
      </c>
      <c r="J151" s="9" t="n">
        <v>2</v>
      </c>
      <c r="K151" s="9" t="n">
        <f aca="false">C151+3*Assumptions!$B$4*F151+Assumptions!$B$7*G151+H151+I151</f>
        <v>52.5</v>
      </c>
      <c r="L151" s="9" t="n">
        <f aca="false">D151+3*Assumptions!$B$5*F151+Assumptions!$B$8*G151+H151+I151</f>
        <v>126.7</v>
      </c>
      <c r="M151" s="9" t="n">
        <f aca="false">E151+3*Assumptions!$B$6*F151+Assumptions!$B$9*G151+H151+I151</f>
        <v>307.5</v>
      </c>
      <c r="N151" s="9" t="n">
        <f aca="false">IF(AND(Assumptions!$B$17,ISNUMBER(J151)),Assumptions!$B$10*Assumptions!$B$13*J151,0)</f>
        <v>3</v>
      </c>
      <c r="O151" s="9" t="n">
        <f aca="false">IF(AND(Assumptions!$B$17,ISNUMBER(J151)),Assumptions!$B$11*Assumptions!$B$13*J151,0)</f>
        <v>6</v>
      </c>
      <c r="P151" s="9" t="n">
        <f aca="false">IF(AND(Assumptions!$B$17,ISNUMBER(J151)),Assumptions!$B$12*Assumptions!$B$13*J151,0)</f>
        <v>9</v>
      </c>
      <c r="Q151" s="9" t="n">
        <f aca="false">IF(Assumptions!$B$18,Assumptions!$B$14*K151,0)</f>
        <v>5.25</v>
      </c>
      <c r="R151" s="9" t="n">
        <f aca="false">IF(Assumptions!$B$18,Assumptions!$B$15*L151,0)</f>
        <v>25.34</v>
      </c>
      <c r="S151" s="9" t="n">
        <f aca="false">IF(Assumptions!$B$18,Assumptions!$B$16*M151,0)</f>
        <v>107.625</v>
      </c>
      <c r="T151" s="9" t="n">
        <f aca="false">K151+N151+Q151</f>
        <v>60.75</v>
      </c>
      <c r="U151" s="9" t="n">
        <f aca="false">L151+O151+R151</f>
        <v>158.04</v>
      </c>
      <c r="V151" s="9" t="n">
        <f aca="false">M151+P151+S151</f>
        <v>424.125</v>
      </c>
      <c r="W151" s="9" t="n">
        <v>35</v>
      </c>
      <c r="X151" s="9" t="n">
        <v>85</v>
      </c>
      <c r="Y151" s="9" t="n">
        <v>265</v>
      </c>
      <c r="Z151" s="9" t="n">
        <f aca="false">U151-X151</f>
        <v>73.04</v>
      </c>
      <c r="AA151" s="10" t="n">
        <f aca="false">IFERROR((U151-X151)/X151,"")</f>
        <v>0.859294117647059</v>
      </c>
      <c r="AB151" s="8" t="str">
        <f aca="false">IF(ISNUMBER(AA151),IF(ABS(AA151)&gt;Assumptions!$B$19,"REVIEW",""),"")</f>
        <v>REVIEW</v>
      </c>
    </row>
    <row r="152" customFormat="false" ht="15" hidden="false" customHeight="false" outlineLevel="0" collapsed="false">
      <c r="A152" s="8" t="s">
        <v>210</v>
      </c>
      <c r="B152" s="8"/>
      <c r="C152" s="9" t="n">
        <v>25</v>
      </c>
      <c r="D152" s="9" t="n">
        <v>90</v>
      </c>
      <c r="E152" s="9" t="n">
        <v>180</v>
      </c>
      <c r="F152" s="9" t="n">
        <v>12</v>
      </c>
      <c r="G152" s="9" t="n">
        <v>6</v>
      </c>
      <c r="H152" s="9" t="n">
        <v>1.5</v>
      </c>
      <c r="I152" s="9" t="n">
        <v>0.8</v>
      </c>
      <c r="J152" s="9" t="n">
        <v>2</v>
      </c>
      <c r="K152" s="9" t="n">
        <f aca="false">C152+3*Assumptions!$B$4*F152+Assumptions!$B$7*G152+H152+I152</f>
        <v>69.3</v>
      </c>
      <c r="L152" s="9" t="n">
        <f aca="false">D152+3*Assumptions!$B$5*F152+Assumptions!$B$8*G152+H152+I152</f>
        <v>169.1</v>
      </c>
      <c r="M152" s="9" t="n">
        <f aca="false">E152+3*Assumptions!$B$6*F152+Assumptions!$B$9*G152+H152+I152</f>
        <v>332.3</v>
      </c>
      <c r="N152" s="9" t="n">
        <f aca="false">IF(AND(Assumptions!$B$17,ISNUMBER(J152)),Assumptions!$B$10*Assumptions!$B$13*J152,0)</f>
        <v>3</v>
      </c>
      <c r="O152" s="9" t="n">
        <f aca="false">IF(AND(Assumptions!$B$17,ISNUMBER(J152)),Assumptions!$B$11*Assumptions!$B$13*J152,0)</f>
        <v>6</v>
      </c>
      <c r="P152" s="9" t="n">
        <f aca="false">IF(AND(Assumptions!$B$17,ISNUMBER(J152)),Assumptions!$B$12*Assumptions!$B$13*J152,0)</f>
        <v>9</v>
      </c>
      <c r="Q152" s="9" t="n">
        <f aca="false">IF(Assumptions!$B$18,Assumptions!$B$14*K152,0)</f>
        <v>6.93</v>
      </c>
      <c r="R152" s="9" t="n">
        <f aca="false">IF(Assumptions!$B$18,Assumptions!$B$15*L152,0)</f>
        <v>33.82</v>
      </c>
      <c r="S152" s="9" t="n">
        <f aca="false">IF(Assumptions!$B$18,Assumptions!$B$16*M152,0)</f>
        <v>116.305</v>
      </c>
      <c r="T152" s="9" t="n">
        <f aca="false">K152+N152+Q152</f>
        <v>79.23</v>
      </c>
      <c r="U152" s="9" t="n">
        <f aca="false">L152+O152+R152</f>
        <v>208.92</v>
      </c>
      <c r="V152" s="9" t="n">
        <f aca="false">M152+P152+S152</f>
        <v>457.605</v>
      </c>
      <c r="W152" s="9" t="n">
        <v>40</v>
      </c>
      <c r="X152" s="9" t="n">
        <v>100</v>
      </c>
      <c r="Y152" s="9" t="n">
        <v>295</v>
      </c>
      <c r="Z152" s="9" t="n">
        <f aca="false">U152-X152</f>
        <v>108.92</v>
      </c>
      <c r="AA152" s="10" t="n">
        <f aca="false">IFERROR((U152-X152)/X152,"")</f>
        <v>1.0892</v>
      </c>
      <c r="AB152" s="8" t="str">
        <f aca="false">IF(ISNUMBER(AA152),IF(ABS(AA152)&gt;Assumptions!$B$19,"REVIEW",""),"")</f>
        <v>REVIEW</v>
      </c>
    </row>
    <row r="153" customFormat="false" ht="15" hidden="false" customHeight="false" outlineLevel="0" collapsed="false">
      <c r="A153" s="8" t="s">
        <v>211</v>
      </c>
      <c r="B153" s="8"/>
      <c r="C153" s="9" t="n">
        <v>110</v>
      </c>
      <c r="D153" s="9" t="n">
        <v>200</v>
      </c>
      <c r="E153" s="9" t="n">
        <v>500</v>
      </c>
      <c r="F153" s="9" t="n">
        <v>30</v>
      </c>
      <c r="G153" s="9" t="n">
        <v>30</v>
      </c>
      <c r="H153" s="9" t="n">
        <v>3.5</v>
      </c>
      <c r="I153" s="9" t="n">
        <v>2.5</v>
      </c>
      <c r="J153" s="9" t="n">
        <v>7.5</v>
      </c>
      <c r="K153" s="9" t="n">
        <f aca="false">C153+3*Assumptions!$B$4*F153+Assumptions!$B$7*G153+H153+I153</f>
        <v>236</v>
      </c>
      <c r="L153" s="9" t="n">
        <f aca="false">D153+3*Assumptions!$B$5*F153+Assumptions!$B$8*G153+H153+I153</f>
        <v>428</v>
      </c>
      <c r="M153" s="9" t="n">
        <f aca="false">E153+3*Assumptions!$B$6*F153+Assumptions!$B$9*G153+H153+I153</f>
        <v>941</v>
      </c>
      <c r="N153" s="9" t="n">
        <f aca="false">IF(AND(Assumptions!$B$17,ISNUMBER(J153)),Assumptions!$B$10*Assumptions!$B$13*J153,0)</f>
        <v>11.25</v>
      </c>
      <c r="O153" s="9" t="n">
        <f aca="false">IF(AND(Assumptions!$B$17,ISNUMBER(J153)),Assumptions!$B$11*Assumptions!$B$13*J153,0)</f>
        <v>22.5</v>
      </c>
      <c r="P153" s="9" t="n">
        <f aca="false">IF(AND(Assumptions!$B$17,ISNUMBER(J153)),Assumptions!$B$12*Assumptions!$B$13*J153,0)</f>
        <v>33.75</v>
      </c>
      <c r="Q153" s="9" t="n">
        <f aca="false">IF(Assumptions!$B$18,Assumptions!$B$14*K153,0)</f>
        <v>23.6</v>
      </c>
      <c r="R153" s="9" t="n">
        <f aca="false">IF(Assumptions!$B$18,Assumptions!$B$15*L153,0)</f>
        <v>85.6</v>
      </c>
      <c r="S153" s="9" t="n">
        <f aca="false">IF(Assumptions!$B$18,Assumptions!$B$16*M153,0)</f>
        <v>329.35</v>
      </c>
      <c r="T153" s="9" t="n">
        <f aca="false">K153+N153+Q153</f>
        <v>270.85</v>
      </c>
      <c r="U153" s="9" t="n">
        <f aca="false">L153+O153+R153</f>
        <v>536.1</v>
      </c>
      <c r="V153" s="9" t="n">
        <f aca="false">M153+P153+S153</f>
        <v>1304.1</v>
      </c>
      <c r="W153" s="9" t="n">
        <v>90</v>
      </c>
      <c r="X153" s="9" t="n">
        <v>220</v>
      </c>
      <c r="Y153" s="9" t="n">
        <v>600</v>
      </c>
      <c r="Z153" s="9" t="n">
        <f aca="false">U153-X153</f>
        <v>316.1</v>
      </c>
      <c r="AA153" s="10" t="n">
        <f aca="false">IFERROR((U153-X153)/X153,"")</f>
        <v>1.43681818181818</v>
      </c>
      <c r="AB153" s="8" t="str">
        <f aca="false">IF(ISNUMBER(AA153),IF(ABS(AA153)&gt;Assumptions!$B$19,"REVIEW",""),"")</f>
        <v>REVIEW</v>
      </c>
    </row>
    <row r="154" customFormat="false" ht="15" hidden="false" customHeight="false" outlineLevel="0" collapsed="false">
      <c r="A154" s="8" t="s">
        <v>212</v>
      </c>
      <c r="B154" s="8" t="s">
        <v>60</v>
      </c>
      <c r="C154" s="9" t="n">
        <v>30</v>
      </c>
      <c r="D154" s="9" t="n">
        <v>70</v>
      </c>
      <c r="E154" s="9" t="n">
        <v>250</v>
      </c>
      <c r="F154" s="9" t="n">
        <v>12</v>
      </c>
      <c r="G154" s="9" t="n">
        <v>6</v>
      </c>
      <c r="H154" s="9" t="n">
        <v>1.5</v>
      </c>
      <c r="I154" s="9" t="n">
        <v>0.4</v>
      </c>
      <c r="J154" s="9"/>
      <c r="K154" s="9" t="n">
        <f aca="false">C154+3*Assumptions!$B$4*F154+Assumptions!$B$7*G154+H154+I154</f>
        <v>73.9</v>
      </c>
      <c r="L154" s="9" t="n">
        <f aca="false">D154+3*Assumptions!$B$5*F154+Assumptions!$B$8*G154+H154+I154</f>
        <v>148.7</v>
      </c>
      <c r="M154" s="9" t="n">
        <f aca="false">E154+3*Assumptions!$B$6*F154+Assumptions!$B$9*G154+H154+I154</f>
        <v>401.9</v>
      </c>
      <c r="N154" s="9" t="n">
        <f aca="false">IF(AND(Assumptions!$B$17,ISNUMBER(J154)),Assumptions!$B$10*Assumptions!$B$13*J154,0)</f>
        <v>0</v>
      </c>
      <c r="O154" s="9" t="n">
        <f aca="false">IF(AND(Assumptions!$B$17,ISNUMBER(J154)),Assumptions!$B$11*Assumptions!$B$13*J154,0)</f>
        <v>0</v>
      </c>
      <c r="P154" s="9" t="n">
        <f aca="false">IF(AND(Assumptions!$B$17,ISNUMBER(J154)),Assumptions!$B$12*Assumptions!$B$13*J154,0)</f>
        <v>0</v>
      </c>
      <c r="Q154" s="9" t="n">
        <f aca="false">IF(Assumptions!$B$18,Assumptions!$B$14*K154,0)</f>
        <v>7.39</v>
      </c>
      <c r="R154" s="9" t="n">
        <f aca="false">IF(Assumptions!$B$18,Assumptions!$B$15*L154,0)</f>
        <v>29.74</v>
      </c>
      <c r="S154" s="9" t="n">
        <f aca="false">IF(Assumptions!$B$18,Assumptions!$B$16*M154,0)</f>
        <v>140.665</v>
      </c>
      <c r="T154" s="9" t="n">
        <f aca="false">K154+N154+Q154</f>
        <v>81.29</v>
      </c>
      <c r="U154" s="9" t="n">
        <f aca="false">L154+O154+R154</f>
        <v>178.44</v>
      </c>
      <c r="V154" s="9" t="n">
        <f aca="false">M154+P154+S154</f>
        <v>542.565</v>
      </c>
      <c r="W154" s="9" t="n">
        <v>40</v>
      </c>
      <c r="X154" s="9" t="n">
        <v>95</v>
      </c>
      <c r="Y154" s="9" t="n">
        <v>300</v>
      </c>
      <c r="Z154" s="9" t="n">
        <f aca="false">U154-X154</f>
        <v>83.44</v>
      </c>
      <c r="AA154" s="10" t="n">
        <f aca="false">IFERROR((U154-X154)/X154,"")</f>
        <v>0.878315789473685</v>
      </c>
      <c r="AB154" s="8" t="str">
        <f aca="false">IF(ISNUMBER(AA154),IF(ABS(AA154)&gt;Assumptions!$B$19,"REVIEW",""),"")</f>
        <v>REVIEW</v>
      </c>
    </row>
    <row r="155" customFormat="false" ht="15" hidden="false" customHeight="false" outlineLevel="0" collapsed="false">
      <c r="A155" s="8" t="s">
        <v>213</v>
      </c>
      <c r="B155" s="8"/>
      <c r="C155" s="9" t="n">
        <v>40</v>
      </c>
      <c r="D155" s="9" t="n">
        <v>75</v>
      </c>
      <c r="E155" s="9" t="n">
        <v>210</v>
      </c>
      <c r="F155" s="9" t="n">
        <v>9</v>
      </c>
      <c r="G155" s="9" t="n">
        <v>4</v>
      </c>
      <c r="H155" s="9" t="n">
        <v>2</v>
      </c>
      <c r="I155" s="9" t="n">
        <v>1</v>
      </c>
      <c r="J155" s="9" t="n">
        <v>2</v>
      </c>
      <c r="K155" s="9" t="n">
        <f aca="false">C155+3*Assumptions!$B$4*F155+Assumptions!$B$7*G155+H155+I155</f>
        <v>74</v>
      </c>
      <c r="L155" s="9" t="n">
        <f aca="false">D155+3*Assumptions!$B$5*F155+Assumptions!$B$8*G155+H155+I155</f>
        <v>134.6</v>
      </c>
      <c r="M155" s="9" t="n">
        <f aca="false">E155+3*Assumptions!$B$6*F155+Assumptions!$B$9*G155+H155+I155</f>
        <v>323.5</v>
      </c>
      <c r="N155" s="9" t="n">
        <f aca="false">IF(AND(Assumptions!$B$17,ISNUMBER(J155)),Assumptions!$B$10*Assumptions!$B$13*J155,0)</f>
        <v>3</v>
      </c>
      <c r="O155" s="9" t="n">
        <f aca="false">IF(AND(Assumptions!$B$17,ISNUMBER(J155)),Assumptions!$B$11*Assumptions!$B$13*J155,0)</f>
        <v>6</v>
      </c>
      <c r="P155" s="9" t="n">
        <f aca="false">IF(AND(Assumptions!$B$17,ISNUMBER(J155)),Assumptions!$B$12*Assumptions!$B$13*J155,0)</f>
        <v>9</v>
      </c>
      <c r="Q155" s="9" t="n">
        <f aca="false">IF(Assumptions!$B$18,Assumptions!$B$14*K155,0)</f>
        <v>7.4</v>
      </c>
      <c r="R155" s="9" t="n">
        <f aca="false">IF(Assumptions!$B$18,Assumptions!$B$15*L155,0)</f>
        <v>26.92</v>
      </c>
      <c r="S155" s="9" t="n">
        <f aca="false">IF(Assumptions!$B$18,Assumptions!$B$16*M155,0)</f>
        <v>113.225</v>
      </c>
      <c r="T155" s="9" t="n">
        <f aca="false">K155+N155+Q155</f>
        <v>84.4</v>
      </c>
      <c r="U155" s="9" t="n">
        <f aca="false">L155+O155+R155</f>
        <v>167.52</v>
      </c>
      <c r="V155" s="9" t="n">
        <f aca="false">M155+P155+S155</f>
        <v>445.725</v>
      </c>
      <c r="W155" s="9" t="n">
        <v>45</v>
      </c>
      <c r="X155" s="9" t="n">
        <v>105</v>
      </c>
      <c r="Y155" s="9" t="n">
        <v>305</v>
      </c>
      <c r="Z155" s="9" t="n">
        <f aca="false">U155-X155</f>
        <v>62.52</v>
      </c>
      <c r="AA155" s="10" t="n">
        <f aca="false">IFERROR((U155-X155)/X155,"")</f>
        <v>0.595428571428571</v>
      </c>
      <c r="AB155" s="8" t="str">
        <f aca="false">IF(ISNUMBER(AA155),IF(ABS(AA155)&gt;Assumptions!$B$19,"REVIEW",""),"")</f>
        <v>REVIEW</v>
      </c>
    </row>
    <row r="156" customFormat="false" ht="15" hidden="false" customHeight="false" outlineLevel="0" collapsed="false">
      <c r="A156" s="8" t="s">
        <v>214</v>
      </c>
      <c r="B156" s="8"/>
      <c r="C156" s="9" t="n">
        <v>25</v>
      </c>
      <c r="D156" s="9" t="n">
        <v>90</v>
      </c>
      <c r="E156" s="9" t="n">
        <v>220</v>
      </c>
      <c r="F156" s="9" t="n">
        <v>12</v>
      </c>
      <c r="G156" s="9" t="n">
        <v>6</v>
      </c>
      <c r="H156" s="9" t="n">
        <v>2.5</v>
      </c>
      <c r="I156" s="9" t="n">
        <v>1</v>
      </c>
      <c r="J156" s="9" t="n">
        <v>2.5</v>
      </c>
      <c r="K156" s="9" t="n">
        <f aca="false">C156+3*Assumptions!$B$4*F156+Assumptions!$B$7*G156+H156+I156</f>
        <v>70.5</v>
      </c>
      <c r="L156" s="9" t="n">
        <f aca="false">D156+3*Assumptions!$B$5*F156+Assumptions!$B$8*G156+H156+I156</f>
        <v>170.3</v>
      </c>
      <c r="M156" s="9" t="n">
        <f aca="false">E156+3*Assumptions!$B$6*F156+Assumptions!$B$9*G156+H156+I156</f>
        <v>373.5</v>
      </c>
      <c r="N156" s="9" t="n">
        <f aca="false">IF(AND(Assumptions!$B$17,ISNUMBER(J156)),Assumptions!$B$10*Assumptions!$B$13*J156,0)</f>
        <v>3.75</v>
      </c>
      <c r="O156" s="9" t="n">
        <f aca="false">IF(AND(Assumptions!$B$17,ISNUMBER(J156)),Assumptions!$B$11*Assumptions!$B$13*J156,0)</f>
        <v>7.5</v>
      </c>
      <c r="P156" s="9" t="n">
        <f aca="false">IF(AND(Assumptions!$B$17,ISNUMBER(J156)),Assumptions!$B$12*Assumptions!$B$13*J156,0)</f>
        <v>11.25</v>
      </c>
      <c r="Q156" s="9" t="n">
        <f aca="false">IF(Assumptions!$B$18,Assumptions!$B$14*K156,0)</f>
        <v>7.05</v>
      </c>
      <c r="R156" s="9" t="n">
        <f aca="false">IF(Assumptions!$B$18,Assumptions!$B$15*L156,0)</f>
        <v>34.06</v>
      </c>
      <c r="S156" s="9" t="n">
        <f aca="false">IF(Assumptions!$B$18,Assumptions!$B$16*M156,0)</f>
        <v>130.725</v>
      </c>
      <c r="T156" s="9" t="n">
        <f aca="false">K156+N156+Q156</f>
        <v>81.3</v>
      </c>
      <c r="U156" s="9" t="n">
        <f aca="false">L156+O156+R156</f>
        <v>211.86</v>
      </c>
      <c r="V156" s="9" t="n">
        <f aca="false">M156+P156+S156</f>
        <v>515.475</v>
      </c>
      <c r="W156" s="9" t="n">
        <v>40</v>
      </c>
      <c r="X156" s="9" t="n">
        <v>105</v>
      </c>
      <c r="Y156" s="9" t="n">
        <v>315</v>
      </c>
      <c r="Z156" s="9" t="n">
        <f aca="false">U156-X156</f>
        <v>106.86</v>
      </c>
      <c r="AA156" s="10" t="n">
        <f aca="false">IFERROR((U156-X156)/X156,"")</f>
        <v>1.01771428571429</v>
      </c>
      <c r="AB156" s="8" t="str">
        <f aca="false">IF(ISNUMBER(AA156),IF(ABS(AA156)&gt;Assumptions!$B$19,"REVIEW",""),"")</f>
        <v>REVIEW</v>
      </c>
    </row>
    <row r="157" customFormat="false" ht="15" hidden="false" customHeight="false" outlineLevel="0" collapsed="false">
      <c r="A157" s="8" t="s">
        <v>215</v>
      </c>
      <c r="B157" s="8" t="s">
        <v>164</v>
      </c>
      <c r="C157" s="9" t="n">
        <v>45</v>
      </c>
      <c r="D157" s="9" t="n">
        <v>120</v>
      </c>
      <c r="E157" s="9" t="n">
        <v>300</v>
      </c>
      <c r="F157" s="9" t="n">
        <v>12</v>
      </c>
      <c r="G157" s="9" t="n">
        <v>10</v>
      </c>
      <c r="H157" s="9" t="n">
        <v>2</v>
      </c>
      <c r="I157" s="9" t="n">
        <v>0.3</v>
      </c>
      <c r="J157" s="9"/>
      <c r="K157" s="9" t="n">
        <f aca="false">C157+3*Assumptions!$B$4*F157+Assumptions!$B$7*G157+H157+I157</f>
        <v>93.3</v>
      </c>
      <c r="L157" s="9" t="n">
        <f aca="false">D157+3*Assumptions!$B$5*F157+Assumptions!$B$8*G157+H157+I157</f>
        <v>207.1</v>
      </c>
      <c r="M157" s="9" t="n">
        <f aca="false">E157+3*Assumptions!$B$6*F157+Assumptions!$B$9*G157+H157+I157</f>
        <v>468.3</v>
      </c>
      <c r="N157" s="9" t="n">
        <f aca="false">IF(AND(Assumptions!$B$17,ISNUMBER(J157)),Assumptions!$B$10*Assumptions!$B$13*J157,0)</f>
        <v>0</v>
      </c>
      <c r="O157" s="9" t="n">
        <f aca="false">IF(AND(Assumptions!$B$17,ISNUMBER(J157)),Assumptions!$B$11*Assumptions!$B$13*J157,0)</f>
        <v>0</v>
      </c>
      <c r="P157" s="9" t="n">
        <f aca="false">IF(AND(Assumptions!$B$17,ISNUMBER(J157)),Assumptions!$B$12*Assumptions!$B$13*J157,0)</f>
        <v>0</v>
      </c>
      <c r="Q157" s="9" t="n">
        <f aca="false">IF(Assumptions!$B$18,Assumptions!$B$14*K157,0)</f>
        <v>9.33</v>
      </c>
      <c r="R157" s="9" t="n">
        <f aca="false">IF(Assumptions!$B$18,Assumptions!$B$15*L157,0)</f>
        <v>41.42</v>
      </c>
      <c r="S157" s="9" t="n">
        <f aca="false">IF(Assumptions!$B$18,Assumptions!$B$16*M157,0)</f>
        <v>163.905</v>
      </c>
      <c r="T157" s="9" t="n">
        <f aca="false">K157+N157+Q157</f>
        <v>102.63</v>
      </c>
      <c r="U157" s="9" t="n">
        <f aca="false">L157+O157+R157</f>
        <v>248.52</v>
      </c>
      <c r="V157" s="9" t="n">
        <f aca="false">M157+P157+S157</f>
        <v>632.205</v>
      </c>
      <c r="W157" s="9" t="n">
        <v>60</v>
      </c>
      <c r="X157" s="9" t="n">
        <v>150</v>
      </c>
      <c r="Y157" s="9" t="n">
        <v>500</v>
      </c>
      <c r="Z157" s="9" t="n">
        <f aca="false">U157-X157</f>
        <v>98.52</v>
      </c>
      <c r="AA157" s="10" t="n">
        <f aca="false">IFERROR((U157-X157)/X157,"")</f>
        <v>0.6568</v>
      </c>
      <c r="AB157" s="8" t="str">
        <f aca="false">IF(ISNUMBER(AA157),IF(ABS(AA157)&gt;Assumptions!$B$19,"REVIEW",""),"")</f>
        <v>REVIEW</v>
      </c>
    </row>
    <row r="158" customFormat="false" ht="15" hidden="false" customHeight="false" outlineLevel="0" collapsed="false">
      <c r="A158" s="8" t="s">
        <v>216</v>
      </c>
      <c r="B158" s="8" t="s">
        <v>164</v>
      </c>
      <c r="C158" s="9" t="n">
        <v>40</v>
      </c>
      <c r="D158" s="9" t="n">
        <v>90</v>
      </c>
      <c r="E158" s="9" t="n">
        <v>200</v>
      </c>
      <c r="F158" s="9" t="n">
        <v>12</v>
      </c>
      <c r="G158" s="9" t="n">
        <v>10</v>
      </c>
      <c r="H158" s="9" t="n">
        <v>2</v>
      </c>
      <c r="I158" s="9" t="n">
        <v>0.3</v>
      </c>
      <c r="J158" s="9"/>
      <c r="K158" s="9" t="n">
        <f aca="false">C158+3*Assumptions!$B$4*F158+Assumptions!$B$7*G158+H158+I158</f>
        <v>88.3</v>
      </c>
      <c r="L158" s="9" t="n">
        <f aca="false">D158+3*Assumptions!$B$5*F158+Assumptions!$B$8*G158+H158+I158</f>
        <v>177.1</v>
      </c>
      <c r="M158" s="9" t="n">
        <f aca="false">E158+3*Assumptions!$B$6*F158+Assumptions!$B$9*G158+H158+I158</f>
        <v>368.3</v>
      </c>
      <c r="N158" s="9" t="n">
        <f aca="false">IF(AND(Assumptions!$B$17,ISNUMBER(J158)),Assumptions!$B$10*Assumptions!$B$13*J158,0)</f>
        <v>0</v>
      </c>
      <c r="O158" s="9" t="n">
        <f aca="false">IF(AND(Assumptions!$B$17,ISNUMBER(J158)),Assumptions!$B$11*Assumptions!$B$13*J158,0)</f>
        <v>0</v>
      </c>
      <c r="P158" s="9" t="n">
        <f aca="false">IF(AND(Assumptions!$B$17,ISNUMBER(J158)),Assumptions!$B$12*Assumptions!$B$13*J158,0)</f>
        <v>0</v>
      </c>
      <c r="Q158" s="9" t="n">
        <f aca="false">IF(Assumptions!$B$18,Assumptions!$B$14*K158,0)</f>
        <v>8.83</v>
      </c>
      <c r="R158" s="9" t="n">
        <f aca="false">IF(Assumptions!$B$18,Assumptions!$B$15*L158,0)</f>
        <v>35.42</v>
      </c>
      <c r="S158" s="9" t="n">
        <f aca="false">IF(Assumptions!$B$18,Assumptions!$B$16*M158,0)</f>
        <v>128.905</v>
      </c>
      <c r="T158" s="9" t="n">
        <f aca="false">K158+N158+Q158</f>
        <v>97.13</v>
      </c>
      <c r="U158" s="9" t="n">
        <f aca="false">L158+O158+R158</f>
        <v>212.52</v>
      </c>
      <c r="V158" s="9" t="n">
        <f aca="false">M158+P158+S158</f>
        <v>497.205</v>
      </c>
      <c r="W158" s="9" t="n">
        <v>55</v>
      </c>
      <c r="X158" s="9" t="n">
        <v>140</v>
      </c>
      <c r="Y158" s="9" t="n">
        <v>450</v>
      </c>
      <c r="Z158" s="9" t="n">
        <f aca="false">U158-X158</f>
        <v>72.52</v>
      </c>
      <c r="AA158" s="10" t="n">
        <f aca="false">IFERROR((U158-X158)/X158,"")</f>
        <v>0.518</v>
      </c>
      <c r="AB158" s="8" t="str">
        <f aca="false">IF(ISNUMBER(AA158),IF(ABS(AA158)&gt;Assumptions!$B$19,"REVIEW",""),"")</f>
        <v>REVIEW</v>
      </c>
    </row>
    <row r="159" customFormat="false" ht="15" hidden="false" customHeight="false" outlineLevel="0" collapsed="false">
      <c r="A159" s="8" t="s">
        <v>217</v>
      </c>
      <c r="B159" s="8"/>
      <c r="C159" s="9" t="n">
        <v>75</v>
      </c>
      <c r="D159" s="9" t="n">
        <v>130</v>
      </c>
      <c r="E159" s="9" t="n">
        <v>300</v>
      </c>
      <c r="F159" s="9" t="n">
        <v>22</v>
      </c>
      <c r="G159" s="9" t="n">
        <v>22</v>
      </c>
      <c r="H159" s="9" t="n">
        <v>3.5</v>
      </c>
      <c r="I159" s="9" t="n">
        <v>2</v>
      </c>
      <c r="J159" s="9" t="n">
        <v>6</v>
      </c>
      <c r="K159" s="9" t="n">
        <f aca="false">C159+3*Assumptions!$B$4*F159+Assumptions!$B$7*G159+H159+I159</f>
        <v>168.5</v>
      </c>
      <c r="L159" s="9" t="n">
        <f aca="false">D159+3*Assumptions!$B$5*F159+Assumptions!$B$8*G159+H159+I159</f>
        <v>298.3</v>
      </c>
      <c r="M159" s="9" t="n">
        <f aca="false">E159+3*Assumptions!$B$6*F159+Assumptions!$B$9*G159+H159+I159</f>
        <v>624.5</v>
      </c>
      <c r="N159" s="9" t="n">
        <f aca="false">IF(AND(Assumptions!$B$17,ISNUMBER(J159)),Assumptions!$B$10*Assumptions!$B$13*J159,0)</f>
        <v>9</v>
      </c>
      <c r="O159" s="9" t="n">
        <f aca="false">IF(AND(Assumptions!$B$17,ISNUMBER(J159)),Assumptions!$B$11*Assumptions!$B$13*J159,0)</f>
        <v>18</v>
      </c>
      <c r="P159" s="9" t="n">
        <f aca="false">IF(AND(Assumptions!$B$17,ISNUMBER(J159)),Assumptions!$B$12*Assumptions!$B$13*J159,0)</f>
        <v>27</v>
      </c>
      <c r="Q159" s="9" t="n">
        <f aca="false">IF(Assumptions!$B$18,Assumptions!$B$14*K159,0)</f>
        <v>16.85</v>
      </c>
      <c r="R159" s="9" t="n">
        <f aca="false">IF(Assumptions!$B$18,Assumptions!$B$15*L159,0)</f>
        <v>59.66</v>
      </c>
      <c r="S159" s="9" t="n">
        <f aca="false">IF(Assumptions!$B$18,Assumptions!$B$16*M159,0)</f>
        <v>218.575</v>
      </c>
      <c r="T159" s="9" t="n">
        <f aca="false">K159+N159+Q159</f>
        <v>194.35</v>
      </c>
      <c r="U159" s="9" t="n">
        <f aca="false">L159+O159+R159</f>
        <v>375.96</v>
      </c>
      <c r="V159" s="9" t="n">
        <f aca="false">M159+P159+S159</f>
        <v>870.075</v>
      </c>
      <c r="W159" s="9" t="n">
        <v>85</v>
      </c>
      <c r="X159" s="9" t="n">
        <v>210</v>
      </c>
      <c r="Y159" s="9" t="n">
        <v>570</v>
      </c>
      <c r="Z159" s="9" t="n">
        <f aca="false">U159-X159</f>
        <v>165.96</v>
      </c>
      <c r="AA159" s="10" t="n">
        <f aca="false">IFERROR((U159-X159)/X159,"")</f>
        <v>0.790285714285715</v>
      </c>
      <c r="AB159" s="8" t="str">
        <f aca="false">IF(ISNUMBER(AA159),IF(ABS(AA159)&gt;Assumptions!$B$19,"REVIEW",""),"")</f>
        <v>REVIEW</v>
      </c>
    </row>
    <row r="160" customFormat="false" ht="15" hidden="false" customHeight="false" outlineLevel="0" collapsed="false">
      <c r="A160" s="8" t="s">
        <v>218</v>
      </c>
      <c r="B160" s="8"/>
      <c r="C160" s="9" t="n">
        <v>40</v>
      </c>
      <c r="D160" s="9" t="n">
        <v>90</v>
      </c>
      <c r="E160" s="9" t="n">
        <v>300</v>
      </c>
      <c r="F160" s="9" t="n">
        <v>15</v>
      </c>
      <c r="G160" s="9" t="n">
        <v>12</v>
      </c>
      <c r="H160" s="9" t="n">
        <v>2.5</v>
      </c>
      <c r="I160" s="9" t="n">
        <v>0.7</v>
      </c>
      <c r="J160" s="9" t="n">
        <v>2</v>
      </c>
      <c r="K160" s="9" t="n">
        <f aca="false">C160+3*Assumptions!$B$4*F160+Assumptions!$B$7*G160+H160+I160</f>
        <v>100.2</v>
      </c>
      <c r="L160" s="9" t="n">
        <f aca="false">D160+3*Assumptions!$B$5*F160+Assumptions!$B$8*G160+H160+I160</f>
        <v>198.2</v>
      </c>
      <c r="M160" s="9" t="n">
        <f aca="false">E160+3*Assumptions!$B$6*F160+Assumptions!$B$9*G160+H160+I160</f>
        <v>508.7</v>
      </c>
      <c r="N160" s="9" t="n">
        <f aca="false">IF(AND(Assumptions!$B$17,ISNUMBER(J160)),Assumptions!$B$10*Assumptions!$B$13*J160,0)</f>
        <v>3</v>
      </c>
      <c r="O160" s="9" t="n">
        <f aca="false">IF(AND(Assumptions!$B$17,ISNUMBER(J160)),Assumptions!$B$11*Assumptions!$B$13*J160,0)</f>
        <v>6</v>
      </c>
      <c r="P160" s="9" t="n">
        <f aca="false">IF(AND(Assumptions!$B$17,ISNUMBER(J160)),Assumptions!$B$12*Assumptions!$B$13*J160,0)</f>
        <v>9</v>
      </c>
      <c r="Q160" s="9" t="n">
        <f aca="false">IF(Assumptions!$B$18,Assumptions!$B$14*K160,0)</f>
        <v>10.02</v>
      </c>
      <c r="R160" s="9" t="n">
        <f aca="false">IF(Assumptions!$B$18,Assumptions!$B$15*L160,0)</f>
        <v>39.64</v>
      </c>
      <c r="S160" s="9" t="n">
        <f aca="false">IF(Assumptions!$B$18,Assumptions!$B$16*M160,0)</f>
        <v>178.045</v>
      </c>
      <c r="T160" s="9" t="n">
        <f aca="false">K160+N160+Q160</f>
        <v>113.22</v>
      </c>
      <c r="U160" s="9" t="n">
        <f aca="false">L160+O160+R160</f>
        <v>243.84</v>
      </c>
      <c r="V160" s="9" t="n">
        <f aca="false">M160+P160+S160</f>
        <v>695.745</v>
      </c>
      <c r="W160" s="9" t="n">
        <v>40</v>
      </c>
      <c r="X160" s="9" t="n">
        <v>100</v>
      </c>
      <c r="Y160" s="9" t="n">
        <v>300</v>
      </c>
      <c r="Z160" s="9" t="n">
        <f aca="false">U160-X160</f>
        <v>143.84</v>
      </c>
      <c r="AA160" s="10" t="n">
        <f aca="false">IFERROR((U160-X160)/X160,"")</f>
        <v>1.4384</v>
      </c>
      <c r="AB160" s="8" t="str">
        <f aca="false">IF(ISNUMBER(AA160),IF(ABS(AA160)&gt;Assumptions!$B$19,"REVIEW",""),"")</f>
        <v>REVIEW</v>
      </c>
    </row>
    <row r="161" customFormat="false" ht="15" hidden="false" customHeight="false" outlineLevel="0" collapsed="false">
      <c r="A161" s="8" t="s">
        <v>219</v>
      </c>
      <c r="B161" s="8"/>
      <c r="C161" s="9" t="n">
        <v>90</v>
      </c>
      <c r="D161" s="9" t="n">
        <v>180</v>
      </c>
      <c r="E161" s="9" t="n">
        <v>400</v>
      </c>
      <c r="F161" s="9" t="n">
        <v>30</v>
      </c>
      <c r="G161" s="9" t="n">
        <v>30</v>
      </c>
      <c r="H161" s="9" t="n">
        <v>4</v>
      </c>
      <c r="I161" s="9" t="n">
        <v>2</v>
      </c>
      <c r="J161" s="9" t="n">
        <v>6</v>
      </c>
      <c r="K161" s="9" t="n">
        <f aca="false">C161+3*Assumptions!$B$4*F161+Assumptions!$B$7*G161+H161+I161</f>
        <v>216</v>
      </c>
      <c r="L161" s="9" t="n">
        <f aca="false">D161+3*Assumptions!$B$5*F161+Assumptions!$B$8*G161+H161+I161</f>
        <v>408</v>
      </c>
      <c r="M161" s="9" t="n">
        <f aca="false">E161+3*Assumptions!$B$6*F161+Assumptions!$B$9*G161+H161+I161</f>
        <v>841</v>
      </c>
      <c r="N161" s="9" t="n">
        <f aca="false">IF(AND(Assumptions!$B$17,ISNUMBER(J161)),Assumptions!$B$10*Assumptions!$B$13*J161,0)</f>
        <v>9</v>
      </c>
      <c r="O161" s="9" t="n">
        <f aca="false">IF(AND(Assumptions!$B$17,ISNUMBER(J161)),Assumptions!$B$11*Assumptions!$B$13*J161,0)</f>
        <v>18</v>
      </c>
      <c r="P161" s="9" t="n">
        <f aca="false">IF(AND(Assumptions!$B$17,ISNUMBER(J161)),Assumptions!$B$12*Assumptions!$B$13*J161,0)</f>
        <v>27</v>
      </c>
      <c r="Q161" s="9" t="n">
        <f aca="false">IF(Assumptions!$B$18,Assumptions!$B$14*K161,0)</f>
        <v>21.6</v>
      </c>
      <c r="R161" s="9" t="n">
        <f aca="false">IF(Assumptions!$B$18,Assumptions!$B$15*L161,0)</f>
        <v>81.6</v>
      </c>
      <c r="S161" s="9" t="n">
        <f aca="false">IF(Assumptions!$B$18,Assumptions!$B$16*M161,0)</f>
        <v>294.35</v>
      </c>
      <c r="T161" s="9" t="n">
        <f aca="false">K161+N161+Q161</f>
        <v>246.6</v>
      </c>
      <c r="U161" s="9" t="n">
        <f aca="false">L161+O161+R161</f>
        <v>507.6</v>
      </c>
      <c r="V161" s="9" t="n">
        <f aca="false">M161+P161+S161</f>
        <v>1162.35</v>
      </c>
      <c r="W161" s="9" t="n">
        <v>100</v>
      </c>
      <c r="X161" s="9" t="n">
        <v>250</v>
      </c>
      <c r="Y161" s="9" t="n">
        <v>700</v>
      </c>
      <c r="Z161" s="9" t="n">
        <f aca="false">U161-X161</f>
        <v>257.6</v>
      </c>
      <c r="AA161" s="10" t="n">
        <f aca="false">IFERROR((U161-X161)/X161,"")</f>
        <v>1.0304</v>
      </c>
      <c r="AB161" s="8" t="str">
        <f aca="false">IF(ISNUMBER(AA161),IF(ABS(AA161)&gt;Assumptions!$B$19,"REVIEW",""),"")</f>
        <v>REVIEW</v>
      </c>
    </row>
    <row r="162" customFormat="false" ht="15" hidden="false" customHeight="false" outlineLevel="0" collapsed="false">
      <c r="A162" s="8" t="s">
        <v>220</v>
      </c>
      <c r="B162" s="8"/>
      <c r="C162" s="9" t="n">
        <v>65</v>
      </c>
      <c r="D162" s="9" t="n">
        <v>130</v>
      </c>
      <c r="E162" s="9" t="n">
        <v>330</v>
      </c>
      <c r="F162" s="9" t="n">
        <v>25</v>
      </c>
      <c r="G162" s="9" t="n">
        <v>18</v>
      </c>
      <c r="H162" s="9" t="n">
        <v>1.5</v>
      </c>
      <c r="I162" s="9" t="n">
        <v>1</v>
      </c>
      <c r="J162" s="9" t="n">
        <v>6</v>
      </c>
      <c r="K162" s="9" t="n">
        <f aca="false">C162+3*Assumptions!$B$4*F162+Assumptions!$B$7*G162+H162+I162</f>
        <v>160.5</v>
      </c>
      <c r="L162" s="9" t="n">
        <f aca="false">D162+3*Assumptions!$B$5*F162+Assumptions!$B$8*G162+H162+I162</f>
        <v>303.5</v>
      </c>
      <c r="M162" s="9" t="n">
        <f aca="false">E162+3*Assumptions!$B$6*F162+Assumptions!$B$9*G162+H162+I162</f>
        <v>667</v>
      </c>
      <c r="N162" s="9" t="n">
        <f aca="false">IF(AND(Assumptions!$B$17,ISNUMBER(J162)),Assumptions!$B$10*Assumptions!$B$13*J162,0)</f>
        <v>9</v>
      </c>
      <c r="O162" s="9" t="n">
        <f aca="false">IF(AND(Assumptions!$B$17,ISNUMBER(J162)),Assumptions!$B$11*Assumptions!$B$13*J162,0)</f>
        <v>18</v>
      </c>
      <c r="P162" s="9" t="n">
        <f aca="false">IF(AND(Assumptions!$B$17,ISNUMBER(J162)),Assumptions!$B$12*Assumptions!$B$13*J162,0)</f>
        <v>27</v>
      </c>
      <c r="Q162" s="9" t="n">
        <f aca="false">IF(Assumptions!$B$18,Assumptions!$B$14*K162,0)</f>
        <v>16.05</v>
      </c>
      <c r="R162" s="9" t="n">
        <f aca="false">IF(Assumptions!$B$18,Assumptions!$B$15*L162,0)</f>
        <v>60.7</v>
      </c>
      <c r="S162" s="9" t="n">
        <f aca="false">IF(Assumptions!$B$18,Assumptions!$B$16*M162,0)</f>
        <v>233.45</v>
      </c>
      <c r="T162" s="9" t="n">
        <f aca="false">K162+N162+Q162</f>
        <v>185.55</v>
      </c>
      <c r="U162" s="9" t="n">
        <f aca="false">L162+O162+R162</f>
        <v>382.2</v>
      </c>
      <c r="V162" s="9" t="n">
        <f aca="false">M162+P162+S162</f>
        <v>927.45</v>
      </c>
      <c r="W162" s="9" t="n">
        <v>85</v>
      </c>
      <c r="X162" s="9" t="n">
        <v>200</v>
      </c>
      <c r="Y162" s="9" t="n">
        <v>550</v>
      </c>
      <c r="Z162" s="9" t="n">
        <f aca="false">U162-X162</f>
        <v>182.2</v>
      </c>
      <c r="AA162" s="10" t="n">
        <f aca="false">IFERROR((U162-X162)/X162,"")</f>
        <v>0.911</v>
      </c>
      <c r="AB162" s="8" t="str">
        <f aca="false">IF(ISNUMBER(AA162),IF(ABS(AA162)&gt;Assumptions!$B$19,"REVIEW",""),"")</f>
        <v>REVIEW</v>
      </c>
    </row>
    <row r="163" customFormat="false" ht="15" hidden="false" customHeight="false" outlineLevel="0" collapsed="false">
      <c r="A163" s="8" t="s">
        <v>221</v>
      </c>
      <c r="B163" s="8"/>
      <c r="C163" s="9" t="n">
        <v>35</v>
      </c>
      <c r="D163" s="9" t="n">
        <v>75</v>
      </c>
      <c r="E163" s="9" t="n">
        <v>150</v>
      </c>
      <c r="F163" s="9" t="n">
        <v>15</v>
      </c>
      <c r="G163" s="9" t="n">
        <v>5</v>
      </c>
      <c r="H163" s="9" t="n">
        <v>2.5</v>
      </c>
      <c r="I163" s="9" t="n">
        <v>0.7</v>
      </c>
      <c r="J163" s="9" t="n">
        <v>2</v>
      </c>
      <c r="K163" s="9" t="n">
        <f aca="false">C163+3*Assumptions!$B$4*F163+Assumptions!$B$7*G163+H163+I163</f>
        <v>88.2</v>
      </c>
      <c r="L163" s="9" t="n">
        <f aca="false">D163+3*Assumptions!$B$5*F163+Assumptions!$B$8*G163+H163+I163</f>
        <v>169.2</v>
      </c>
      <c r="M163" s="9" t="n">
        <f aca="false">E163+3*Assumptions!$B$6*F163+Assumptions!$B$9*G163+H163+I163</f>
        <v>330.7</v>
      </c>
      <c r="N163" s="9" t="n">
        <f aca="false">IF(AND(Assumptions!$B$17,ISNUMBER(J163)),Assumptions!$B$10*Assumptions!$B$13*J163,0)</f>
        <v>3</v>
      </c>
      <c r="O163" s="9" t="n">
        <f aca="false">IF(AND(Assumptions!$B$17,ISNUMBER(J163)),Assumptions!$B$11*Assumptions!$B$13*J163,0)</f>
        <v>6</v>
      </c>
      <c r="P163" s="9" t="n">
        <f aca="false">IF(AND(Assumptions!$B$17,ISNUMBER(J163)),Assumptions!$B$12*Assumptions!$B$13*J163,0)</f>
        <v>9</v>
      </c>
      <c r="Q163" s="9" t="n">
        <f aca="false">IF(Assumptions!$B$18,Assumptions!$B$14*K163,0)</f>
        <v>8.82</v>
      </c>
      <c r="R163" s="9" t="n">
        <f aca="false">IF(Assumptions!$B$18,Assumptions!$B$15*L163,0)</f>
        <v>33.84</v>
      </c>
      <c r="S163" s="9" t="n">
        <f aca="false">IF(Assumptions!$B$18,Assumptions!$B$16*M163,0)</f>
        <v>115.745</v>
      </c>
      <c r="T163" s="9" t="n">
        <f aca="false">K163+N163+Q163</f>
        <v>100.02</v>
      </c>
      <c r="U163" s="9" t="n">
        <f aca="false">L163+O163+R163</f>
        <v>209.04</v>
      </c>
      <c r="V163" s="9" t="n">
        <f aca="false">M163+P163+S163</f>
        <v>455.445</v>
      </c>
      <c r="W163" s="9" t="n">
        <v>45</v>
      </c>
      <c r="X163" s="9" t="n">
        <v>110</v>
      </c>
      <c r="Y163" s="9" t="n">
        <v>320</v>
      </c>
      <c r="Z163" s="9" t="n">
        <f aca="false">U163-X163</f>
        <v>99.04</v>
      </c>
      <c r="AA163" s="10" t="n">
        <f aca="false">IFERROR((U163-X163)/X163,"")</f>
        <v>0.900363636363636</v>
      </c>
      <c r="AB163" s="8" t="str">
        <f aca="false">IF(ISNUMBER(AA163),IF(ABS(AA163)&gt;Assumptions!$B$19,"REVIEW",""),"")</f>
        <v>REVIEW</v>
      </c>
    </row>
    <row r="164" customFormat="false" ht="15" hidden="false" customHeight="false" outlineLevel="0" collapsed="false">
      <c r="A164" s="8" t="s">
        <v>222</v>
      </c>
      <c r="B164" s="8" t="s">
        <v>60</v>
      </c>
      <c r="C164" s="9" t="n">
        <v>35</v>
      </c>
      <c r="D164" s="9" t="n">
        <v>90</v>
      </c>
      <c r="E164" s="9" t="n">
        <v>180</v>
      </c>
      <c r="F164" s="9" t="n">
        <v>12</v>
      </c>
      <c r="G164" s="9" t="n">
        <v>10</v>
      </c>
      <c r="H164" s="9" t="n">
        <v>2</v>
      </c>
      <c r="I164" s="9" t="n">
        <v>1</v>
      </c>
      <c r="J164" s="9"/>
      <c r="K164" s="9" t="n">
        <f aca="false">C164+3*Assumptions!$B$4*F164+Assumptions!$B$7*G164+H164+I164</f>
        <v>84</v>
      </c>
      <c r="L164" s="9" t="n">
        <f aca="false">D164+3*Assumptions!$B$5*F164+Assumptions!$B$8*G164+H164+I164</f>
        <v>177.8</v>
      </c>
      <c r="M164" s="9" t="n">
        <f aca="false">E164+3*Assumptions!$B$6*F164+Assumptions!$B$9*G164+H164+I164</f>
        <v>349</v>
      </c>
      <c r="N164" s="9" t="n">
        <f aca="false">IF(AND(Assumptions!$B$17,ISNUMBER(J164)),Assumptions!$B$10*Assumptions!$B$13*J164,0)</f>
        <v>0</v>
      </c>
      <c r="O164" s="9" t="n">
        <f aca="false">IF(AND(Assumptions!$B$17,ISNUMBER(J164)),Assumptions!$B$11*Assumptions!$B$13*J164,0)</f>
        <v>0</v>
      </c>
      <c r="P164" s="9" t="n">
        <f aca="false">IF(AND(Assumptions!$B$17,ISNUMBER(J164)),Assumptions!$B$12*Assumptions!$B$13*J164,0)</f>
        <v>0</v>
      </c>
      <c r="Q164" s="9" t="n">
        <f aca="false">IF(Assumptions!$B$18,Assumptions!$B$14*K164,0)</f>
        <v>8.4</v>
      </c>
      <c r="R164" s="9" t="n">
        <f aca="false">IF(Assumptions!$B$18,Assumptions!$B$15*L164,0)</f>
        <v>35.56</v>
      </c>
      <c r="S164" s="9" t="n">
        <f aca="false">IF(Assumptions!$B$18,Assumptions!$B$16*M164,0)</f>
        <v>122.15</v>
      </c>
      <c r="T164" s="9" t="n">
        <f aca="false">K164+N164+Q164</f>
        <v>92.4</v>
      </c>
      <c r="U164" s="9" t="n">
        <f aca="false">L164+O164+R164</f>
        <v>213.36</v>
      </c>
      <c r="V164" s="9" t="n">
        <f aca="false">M164+P164+S164</f>
        <v>471.15</v>
      </c>
      <c r="W164" s="9" t="n">
        <v>45</v>
      </c>
      <c r="X164" s="9" t="n">
        <v>110</v>
      </c>
      <c r="Y164" s="9" t="n">
        <v>310</v>
      </c>
      <c r="Z164" s="9" t="n">
        <f aca="false">U164-X164</f>
        <v>103.36</v>
      </c>
      <c r="AA164" s="10" t="n">
        <f aca="false">IFERROR((U164-X164)/X164,"")</f>
        <v>0.939636363636364</v>
      </c>
      <c r="AB164" s="8" t="str">
        <f aca="false">IF(ISNUMBER(AA164),IF(ABS(AA164)&gt;Assumptions!$B$19,"REVIEW",""),"")</f>
        <v>REVIEW</v>
      </c>
    </row>
    <row r="165" customFormat="false" ht="15" hidden="false" customHeight="false" outlineLevel="0" collapsed="false">
      <c r="A165" s="8" t="s">
        <v>223</v>
      </c>
      <c r="B165" s="8"/>
      <c r="C165" s="9" t="n">
        <v>180</v>
      </c>
      <c r="D165" s="9" t="n">
        <v>380</v>
      </c>
      <c r="E165" s="9" t="n">
        <v>1200</v>
      </c>
      <c r="F165" s="9" t="n">
        <v>55</v>
      </c>
      <c r="G165" s="9" t="n">
        <v>20</v>
      </c>
      <c r="H165" s="9" t="n">
        <v>4.5</v>
      </c>
      <c r="I165" s="9" t="n">
        <v>3</v>
      </c>
      <c r="J165" s="9" t="n">
        <v>9</v>
      </c>
      <c r="K165" s="9" t="n">
        <f aca="false">C165+3*Assumptions!$B$4*F165+Assumptions!$B$7*G165+H165+I165</f>
        <v>372.5</v>
      </c>
      <c r="L165" s="9" t="n">
        <f aca="false">D165+3*Assumptions!$B$5*F165+Assumptions!$B$8*G165+H165+I165</f>
        <v>724.5</v>
      </c>
      <c r="M165" s="9" t="n">
        <f aca="false">E165+3*Assumptions!$B$6*F165+Assumptions!$B$9*G165+H165+I165</f>
        <v>1865</v>
      </c>
      <c r="N165" s="9" t="n">
        <f aca="false">IF(AND(Assumptions!$B$17,ISNUMBER(J165)),Assumptions!$B$10*Assumptions!$B$13*J165,0)</f>
        <v>13.5</v>
      </c>
      <c r="O165" s="9" t="n">
        <f aca="false">IF(AND(Assumptions!$B$17,ISNUMBER(J165)),Assumptions!$B$11*Assumptions!$B$13*J165,0)</f>
        <v>27</v>
      </c>
      <c r="P165" s="9" t="n">
        <f aca="false">IF(AND(Assumptions!$B$17,ISNUMBER(J165)),Assumptions!$B$12*Assumptions!$B$13*J165,0)</f>
        <v>40.5</v>
      </c>
      <c r="Q165" s="9" t="n">
        <f aca="false">IF(Assumptions!$B$18,Assumptions!$B$14*K165,0)</f>
        <v>37.25</v>
      </c>
      <c r="R165" s="9" t="n">
        <f aca="false">IF(Assumptions!$B$18,Assumptions!$B$15*L165,0)</f>
        <v>144.9</v>
      </c>
      <c r="S165" s="9" t="n">
        <f aca="false">IF(Assumptions!$B$18,Assumptions!$B$16*M165,0)</f>
        <v>652.75</v>
      </c>
      <c r="T165" s="9" t="n">
        <f aca="false">K165+N165+Q165</f>
        <v>423.25</v>
      </c>
      <c r="U165" s="9" t="n">
        <f aca="false">L165+O165+R165</f>
        <v>896.4</v>
      </c>
      <c r="V165" s="9" t="n">
        <f aca="false">M165+P165+S165</f>
        <v>2558.25</v>
      </c>
      <c r="W165" s="9" t="n">
        <v>165</v>
      </c>
      <c r="X165" s="9" t="n">
        <v>440</v>
      </c>
      <c r="Y165" s="9" t="n">
        <v>1325</v>
      </c>
      <c r="Z165" s="9" t="n">
        <f aca="false">U165-X165</f>
        <v>456.4</v>
      </c>
      <c r="AA165" s="10" t="n">
        <f aca="false">IFERROR((U165-X165)/X165,"")</f>
        <v>1.03727272727273</v>
      </c>
      <c r="AB165" s="8" t="str">
        <f aca="false">IF(ISNUMBER(AA165),IF(ABS(AA165)&gt;Assumptions!$B$19,"REVIEW",""),"")</f>
        <v>REVIEW</v>
      </c>
    </row>
    <row r="166" customFormat="false" ht="15" hidden="false" customHeight="false" outlineLevel="0" collapsed="false">
      <c r="A166" s="8" t="s">
        <v>224</v>
      </c>
      <c r="B166" s="8"/>
      <c r="C166" s="9" t="n">
        <v>35</v>
      </c>
      <c r="D166" s="9" t="n">
        <v>150</v>
      </c>
      <c r="E166" s="9" t="n">
        <v>325</v>
      </c>
      <c r="F166" s="9" t="n">
        <v>18</v>
      </c>
      <c r="G166" s="9" t="n">
        <v>6</v>
      </c>
      <c r="H166" s="9" t="n">
        <v>3</v>
      </c>
      <c r="I166" s="9" t="n">
        <v>1</v>
      </c>
      <c r="J166" s="9" t="n">
        <v>3</v>
      </c>
      <c r="K166" s="9" t="n">
        <f aca="false">C166+3*Assumptions!$B$4*F166+Assumptions!$B$7*G166+H166+I166</f>
        <v>99</v>
      </c>
      <c r="L166" s="9" t="n">
        <f aca="false">D166+3*Assumptions!$B$5*F166+Assumptions!$B$8*G166+H166+I166</f>
        <v>263.2</v>
      </c>
      <c r="M166" s="9" t="n">
        <f aca="false">E166+3*Assumptions!$B$6*F166+Assumptions!$B$9*G166+H166+I166</f>
        <v>542</v>
      </c>
      <c r="N166" s="9" t="n">
        <f aca="false">IF(AND(Assumptions!$B$17,ISNUMBER(J166)),Assumptions!$B$10*Assumptions!$B$13*J166,0)</f>
        <v>4.5</v>
      </c>
      <c r="O166" s="9" t="n">
        <f aca="false">IF(AND(Assumptions!$B$17,ISNUMBER(J166)),Assumptions!$B$11*Assumptions!$B$13*J166,0)</f>
        <v>9</v>
      </c>
      <c r="P166" s="9" t="n">
        <f aca="false">IF(AND(Assumptions!$B$17,ISNUMBER(J166)),Assumptions!$B$12*Assumptions!$B$13*J166,0)</f>
        <v>13.5</v>
      </c>
      <c r="Q166" s="9" t="n">
        <f aca="false">IF(Assumptions!$B$18,Assumptions!$B$14*K166,0)</f>
        <v>9.9</v>
      </c>
      <c r="R166" s="9" t="n">
        <f aca="false">IF(Assumptions!$B$18,Assumptions!$B$15*L166,0)</f>
        <v>52.64</v>
      </c>
      <c r="S166" s="9" t="n">
        <f aca="false">IF(Assumptions!$B$18,Assumptions!$B$16*M166,0)</f>
        <v>189.7</v>
      </c>
      <c r="T166" s="9" t="n">
        <f aca="false">K166+N166+Q166</f>
        <v>113.4</v>
      </c>
      <c r="U166" s="9" t="n">
        <f aca="false">L166+O166+R166</f>
        <v>324.84</v>
      </c>
      <c r="V166" s="9" t="n">
        <f aca="false">M166+P166+S166</f>
        <v>745.2</v>
      </c>
      <c r="W166" s="9" t="n">
        <v>55</v>
      </c>
      <c r="X166" s="9" t="n">
        <v>135</v>
      </c>
      <c r="Y166" s="9" t="n">
        <v>425</v>
      </c>
      <c r="Z166" s="9" t="n">
        <f aca="false">U166-X166</f>
        <v>189.84</v>
      </c>
      <c r="AA166" s="10" t="n">
        <f aca="false">IFERROR((U166-X166)/X166,"")</f>
        <v>1.40622222222222</v>
      </c>
      <c r="AB166" s="8" t="str">
        <f aca="false">IF(ISNUMBER(AA166),IF(ABS(AA166)&gt;Assumptions!$B$19,"REVIEW",""),"")</f>
        <v>REVIEW</v>
      </c>
    </row>
    <row r="167" customFormat="false" ht="15" hidden="false" customHeight="false" outlineLevel="0" collapsed="false">
      <c r="A167" s="8" t="s">
        <v>225</v>
      </c>
      <c r="B167" s="8"/>
      <c r="C167" s="9" t="n">
        <v>55</v>
      </c>
      <c r="D167" s="9" t="n">
        <v>140</v>
      </c>
      <c r="E167" s="9" t="n">
        <v>500</v>
      </c>
      <c r="F167" s="9" t="n">
        <v>18</v>
      </c>
      <c r="G167" s="9" t="n">
        <v>12</v>
      </c>
      <c r="H167" s="9" t="n">
        <v>3</v>
      </c>
      <c r="I167" s="9" t="n">
        <v>1.5</v>
      </c>
      <c r="J167" s="9" t="n">
        <v>4</v>
      </c>
      <c r="K167" s="9" t="n">
        <f aca="false">C167+3*Assumptions!$B$4*F167+Assumptions!$B$7*G167+H167+I167</f>
        <v>125.5</v>
      </c>
      <c r="L167" s="9" t="n">
        <f aca="false">D167+3*Assumptions!$B$5*F167+Assumptions!$B$8*G167+H167+I167</f>
        <v>265.7</v>
      </c>
      <c r="M167" s="9" t="n">
        <f aca="false">E167+3*Assumptions!$B$6*F167+Assumptions!$B$9*G167+H167+I167</f>
        <v>741.5</v>
      </c>
      <c r="N167" s="9" t="n">
        <f aca="false">IF(AND(Assumptions!$B$17,ISNUMBER(J167)),Assumptions!$B$10*Assumptions!$B$13*J167,0)</f>
        <v>6</v>
      </c>
      <c r="O167" s="9" t="n">
        <f aca="false">IF(AND(Assumptions!$B$17,ISNUMBER(J167)),Assumptions!$B$11*Assumptions!$B$13*J167,0)</f>
        <v>12</v>
      </c>
      <c r="P167" s="9" t="n">
        <f aca="false">IF(AND(Assumptions!$B$17,ISNUMBER(J167)),Assumptions!$B$12*Assumptions!$B$13*J167,0)</f>
        <v>18</v>
      </c>
      <c r="Q167" s="9" t="n">
        <f aca="false">IF(Assumptions!$B$18,Assumptions!$B$14*K167,0)</f>
        <v>12.55</v>
      </c>
      <c r="R167" s="9" t="n">
        <f aca="false">IF(Assumptions!$B$18,Assumptions!$B$15*L167,0)</f>
        <v>53.14</v>
      </c>
      <c r="S167" s="9" t="n">
        <f aca="false">IF(Assumptions!$B$18,Assumptions!$B$16*M167,0)</f>
        <v>259.525</v>
      </c>
      <c r="T167" s="9" t="n">
        <f aca="false">K167+N167+Q167</f>
        <v>144.05</v>
      </c>
      <c r="U167" s="9" t="n">
        <f aca="false">L167+O167+R167</f>
        <v>330.84</v>
      </c>
      <c r="V167" s="9" t="n">
        <f aca="false">M167+P167+S167</f>
        <v>1019.025</v>
      </c>
      <c r="W167" s="9" t="n">
        <v>65</v>
      </c>
      <c r="X167" s="9" t="n">
        <v>175</v>
      </c>
      <c r="Y167" s="9" t="n">
        <v>535</v>
      </c>
      <c r="Z167" s="9" t="n">
        <f aca="false">U167-X167</f>
        <v>155.84</v>
      </c>
      <c r="AA167" s="10" t="n">
        <f aca="false">IFERROR((U167-X167)/X167,"")</f>
        <v>0.890514285714286</v>
      </c>
      <c r="AB167" s="8" t="str">
        <f aca="false">IF(ISNUMBER(AA167),IF(ABS(AA167)&gt;Assumptions!$B$19,"REVIEW",""),"")</f>
        <v>REVIEW</v>
      </c>
    </row>
    <row r="168" customFormat="false" ht="15" hidden="false" customHeight="false" outlineLevel="0" collapsed="false">
      <c r="A168" s="8" t="s">
        <v>226</v>
      </c>
      <c r="B168" s="8"/>
      <c r="C168" s="9" t="n">
        <v>35</v>
      </c>
      <c r="D168" s="9" t="n">
        <v>100</v>
      </c>
      <c r="E168" s="9" t="n">
        <v>300</v>
      </c>
      <c r="F168" s="9" t="n">
        <v>18</v>
      </c>
      <c r="G168" s="9" t="n">
        <v>7</v>
      </c>
      <c r="H168" s="9" t="n">
        <v>2.5</v>
      </c>
      <c r="I168" s="9" t="n">
        <v>1.3</v>
      </c>
      <c r="J168" s="9" t="n">
        <v>4</v>
      </c>
      <c r="K168" s="9" t="n">
        <f aca="false">C168+3*Assumptions!$B$4*F168+Assumptions!$B$7*G168+H168+I168</f>
        <v>99.8</v>
      </c>
      <c r="L168" s="9" t="n">
        <f aca="false">D168+3*Assumptions!$B$5*F168+Assumptions!$B$8*G168+H168+I168</f>
        <v>215</v>
      </c>
      <c r="M168" s="9" t="n">
        <f aca="false">E168+3*Assumptions!$B$6*F168+Assumptions!$B$9*G168+H168+I168</f>
        <v>520.8</v>
      </c>
      <c r="N168" s="9" t="n">
        <f aca="false">IF(AND(Assumptions!$B$17,ISNUMBER(J168)),Assumptions!$B$10*Assumptions!$B$13*J168,0)</f>
        <v>6</v>
      </c>
      <c r="O168" s="9" t="n">
        <f aca="false">IF(AND(Assumptions!$B$17,ISNUMBER(J168)),Assumptions!$B$11*Assumptions!$B$13*J168,0)</f>
        <v>12</v>
      </c>
      <c r="P168" s="9" t="n">
        <f aca="false">IF(AND(Assumptions!$B$17,ISNUMBER(J168)),Assumptions!$B$12*Assumptions!$B$13*J168,0)</f>
        <v>18</v>
      </c>
      <c r="Q168" s="9" t="n">
        <f aca="false">IF(Assumptions!$B$18,Assumptions!$B$14*K168,0)</f>
        <v>9.98</v>
      </c>
      <c r="R168" s="9" t="n">
        <f aca="false">IF(Assumptions!$B$18,Assumptions!$B$15*L168,0)</f>
        <v>43</v>
      </c>
      <c r="S168" s="9" t="n">
        <f aca="false">IF(Assumptions!$B$18,Assumptions!$B$16*M168,0)</f>
        <v>182.28</v>
      </c>
      <c r="T168" s="9" t="n">
        <f aca="false">K168+N168+Q168</f>
        <v>115.78</v>
      </c>
      <c r="U168" s="9" t="n">
        <f aca="false">L168+O168+R168</f>
        <v>270</v>
      </c>
      <c r="V168" s="9" t="n">
        <f aca="false">M168+P168+S168</f>
        <v>721.08</v>
      </c>
      <c r="W168" s="9" t="n">
        <v>55</v>
      </c>
      <c r="X168" s="9" t="n">
        <v>135</v>
      </c>
      <c r="Y168" s="9" t="n">
        <v>415</v>
      </c>
      <c r="Z168" s="9" t="n">
        <f aca="false">U168-X168</f>
        <v>135</v>
      </c>
      <c r="AA168" s="10" t="n">
        <f aca="false">IFERROR((U168-X168)/X168,"")</f>
        <v>1</v>
      </c>
      <c r="AB168" s="8" t="str">
        <f aca="false">IF(ISNUMBER(AA168),IF(ABS(AA168)&gt;Assumptions!$B$19,"REVIEW",""),"")</f>
        <v>REVIEW</v>
      </c>
    </row>
    <row r="169" customFormat="false" ht="15" hidden="false" customHeight="false" outlineLevel="0" collapsed="false">
      <c r="A169" s="8" t="s">
        <v>227</v>
      </c>
      <c r="B169" s="8"/>
      <c r="C169" s="9" t="n">
        <v>90</v>
      </c>
      <c r="D169" s="9" t="n">
        <v>180</v>
      </c>
      <c r="E169" s="9" t="n">
        <v>400</v>
      </c>
      <c r="F169" s="9" t="n">
        <v>30</v>
      </c>
      <c r="G169" s="9" t="n">
        <v>25</v>
      </c>
      <c r="H169" s="9" t="n">
        <v>3.5</v>
      </c>
      <c r="I169" s="9" t="n">
        <v>1.75</v>
      </c>
      <c r="J169" s="9" t="n">
        <v>6.5</v>
      </c>
      <c r="K169" s="9" t="n">
        <f aca="false">C169+3*Assumptions!$B$4*F169+Assumptions!$B$7*G169+H169+I169</f>
        <v>210.25</v>
      </c>
      <c r="L169" s="9" t="n">
        <f aca="false">D169+3*Assumptions!$B$5*F169+Assumptions!$B$8*G169+H169+I169</f>
        <v>397.25</v>
      </c>
      <c r="M169" s="9" t="n">
        <f aca="false">E169+3*Assumptions!$B$6*F169+Assumptions!$B$9*G169+H169+I169</f>
        <v>820.25</v>
      </c>
      <c r="N169" s="9" t="n">
        <f aca="false">IF(AND(Assumptions!$B$17,ISNUMBER(J169)),Assumptions!$B$10*Assumptions!$B$13*J169,0)</f>
        <v>9.75</v>
      </c>
      <c r="O169" s="9" t="n">
        <f aca="false">IF(AND(Assumptions!$B$17,ISNUMBER(J169)),Assumptions!$B$11*Assumptions!$B$13*J169,0)</f>
        <v>19.5</v>
      </c>
      <c r="P169" s="9" t="n">
        <f aca="false">IF(AND(Assumptions!$B$17,ISNUMBER(J169)),Assumptions!$B$12*Assumptions!$B$13*J169,0)</f>
        <v>29.25</v>
      </c>
      <c r="Q169" s="9" t="n">
        <f aca="false">IF(Assumptions!$B$18,Assumptions!$B$14*K169,0)</f>
        <v>21.025</v>
      </c>
      <c r="R169" s="9" t="n">
        <f aca="false">IF(Assumptions!$B$18,Assumptions!$B$15*L169,0)</f>
        <v>79.45</v>
      </c>
      <c r="S169" s="9" t="n">
        <f aca="false">IF(Assumptions!$B$18,Assumptions!$B$16*M169,0)</f>
        <v>287.0875</v>
      </c>
      <c r="T169" s="9" t="n">
        <f aca="false">K169+N169+Q169</f>
        <v>241.025</v>
      </c>
      <c r="U169" s="9" t="n">
        <f aca="false">L169+O169+R169</f>
        <v>496.2</v>
      </c>
      <c r="V169" s="9" t="n">
        <f aca="false">M169+P169+S169</f>
        <v>1136.5875</v>
      </c>
      <c r="W169" s="9" t="n">
        <v>80</v>
      </c>
      <c r="X169" s="9" t="n">
        <v>190</v>
      </c>
      <c r="Y169" s="9" t="n">
        <v>520</v>
      </c>
      <c r="Z169" s="9" t="n">
        <f aca="false">U169-X169</f>
        <v>306.2</v>
      </c>
      <c r="AA169" s="10" t="n">
        <f aca="false">IFERROR((U169-X169)/X169,"")</f>
        <v>1.61157894736842</v>
      </c>
      <c r="AB169" s="8" t="str">
        <f aca="false">IF(ISNUMBER(AA169),IF(ABS(AA169)&gt;Assumptions!$B$19,"REVIEW",""),"")</f>
        <v>REVIEW</v>
      </c>
    </row>
    <row r="170" customFormat="false" ht="15" hidden="false" customHeight="false" outlineLevel="0" collapsed="false">
      <c r="A170" s="8" t="s">
        <v>228</v>
      </c>
      <c r="B170" s="8"/>
      <c r="C170" s="9" t="n">
        <v>25</v>
      </c>
      <c r="D170" s="9" t="n">
        <v>60</v>
      </c>
      <c r="E170" s="9" t="n">
        <v>180</v>
      </c>
      <c r="F170" s="9" t="n">
        <v>10</v>
      </c>
      <c r="G170" s="9" t="n">
        <v>4</v>
      </c>
      <c r="H170" s="9" t="n">
        <v>2</v>
      </c>
      <c r="I170" s="9" t="n">
        <v>1</v>
      </c>
      <c r="J170" s="9" t="n">
        <v>4</v>
      </c>
      <c r="K170" s="9" t="n">
        <f aca="false">C170+3*Assumptions!$B$4*F170+Assumptions!$B$7*G170+H170+I170</f>
        <v>62</v>
      </c>
      <c r="L170" s="9" t="n">
        <f aca="false">D170+3*Assumptions!$B$5*F170+Assumptions!$B$8*G170+H170+I170</f>
        <v>125</v>
      </c>
      <c r="M170" s="9" t="n">
        <f aca="false">E170+3*Assumptions!$B$6*F170+Assumptions!$B$9*G170+H170+I170</f>
        <v>304</v>
      </c>
      <c r="N170" s="9" t="n">
        <f aca="false">IF(AND(Assumptions!$B$17,ISNUMBER(J170)),Assumptions!$B$10*Assumptions!$B$13*J170,0)</f>
        <v>6</v>
      </c>
      <c r="O170" s="9" t="n">
        <f aca="false">IF(AND(Assumptions!$B$17,ISNUMBER(J170)),Assumptions!$B$11*Assumptions!$B$13*J170,0)</f>
        <v>12</v>
      </c>
      <c r="P170" s="9" t="n">
        <f aca="false">IF(AND(Assumptions!$B$17,ISNUMBER(J170)),Assumptions!$B$12*Assumptions!$B$13*J170,0)</f>
        <v>18</v>
      </c>
      <c r="Q170" s="9" t="n">
        <f aca="false">IF(Assumptions!$B$18,Assumptions!$B$14*K170,0)</f>
        <v>6.2</v>
      </c>
      <c r="R170" s="9" t="n">
        <f aca="false">IF(Assumptions!$B$18,Assumptions!$B$15*L170,0)</f>
        <v>25</v>
      </c>
      <c r="S170" s="9" t="n">
        <f aca="false">IF(Assumptions!$B$18,Assumptions!$B$16*M170,0)</f>
        <v>106.4</v>
      </c>
      <c r="T170" s="9" t="n">
        <f aca="false">K170+N170+Q170</f>
        <v>74.2</v>
      </c>
      <c r="U170" s="9" t="n">
        <f aca="false">L170+O170+R170</f>
        <v>162</v>
      </c>
      <c r="V170" s="9" t="n">
        <f aca="false">M170+P170+S170</f>
        <v>428.4</v>
      </c>
      <c r="W170" s="9" t="n">
        <v>40</v>
      </c>
      <c r="X170" s="9" t="n">
        <v>95</v>
      </c>
      <c r="Y170" s="9" t="n">
        <v>280</v>
      </c>
      <c r="Z170" s="9" t="n">
        <f aca="false">U170-X170</f>
        <v>67</v>
      </c>
      <c r="AA170" s="10" t="n">
        <f aca="false">IFERROR((U170-X170)/X170,"")</f>
        <v>0.705263157894737</v>
      </c>
      <c r="AB170" s="8" t="str">
        <f aca="false">IF(ISNUMBER(AA170),IF(ABS(AA170)&gt;Assumptions!$B$19,"REVIEW",""),"")</f>
        <v>REVIEW</v>
      </c>
    </row>
    <row r="171" customFormat="false" ht="15" hidden="false" customHeight="false" outlineLevel="0" collapsed="false">
      <c r="A171" s="8" t="s">
        <v>229</v>
      </c>
      <c r="B171" s="8"/>
      <c r="C171" s="9" t="n">
        <v>40</v>
      </c>
      <c r="D171" s="9" t="n">
        <v>90</v>
      </c>
      <c r="E171" s="9" t="n">
        <v>250</v>
      </c>
      <c r="F171" s="9" t="n">
        <v>15</v>
      </c>
      <c r="G171" s="9" t="n">
        <v>6</v>
      </c>
      <c r="H171" s="9" t="n">
        <v>3.5</v>
      </c>
      <c r="I171" s="9" t="n">
        <v>1</v>
      </c>
      <c r="J171" s="9" t="n">
        <v>3</v>
      </c>
      <c r="K171" s="9" t="n">
        <f aca="false">C171+3*Assumptions!$B$4*F171+Assumptions!$B$7*G171+H171+I171</f>
        <v>95.5</v>
      </c>
      <c r="L171" s="9" t="n">
        <f aca="false">D171+3*Assumptions!$B$5*F171+Assumptions!$B$8*G171+H171+I171</f>
        <v>187.5</v>
      </c>
      <c r="M171" s="9" t="n">
        <f aca="false">E171+3*Assumptions!$B$6*F171+Assumptions!$B$9*G171+H171+I171</f>
        <v>436</v>
      </c>
      <c r="N171" s="9" t="n">
        <f aca="false">IF(AND(Assumptions!$B$17,ISNUMBER(J171)),Assumptions!$B$10*Assumptions!$B$13*J171,0)</f>
        <v>4.5</v>
      </c>
      <c r="O171" s="9" t="n">
        <f aca="false">IF(AND(Assumptions!$B$17,ISNUMBER(J171)),Assumptions!$B$11*Assumptions!$B$13*J171,0)</f>
        <v>9</v>
      </c>
      <c r="P171" s="9" t="n">
        <f aca="false">IF(AND(Assumptions!$B$17,ISNUMBER(J171)),Assumptions!$B$12*Assumptions!$B$13*J171,0)</f>
        <v>13.5</v>
      </c>
      <c r="Q171" s="9" t="n">
        <f aca="false">IF(Assumptions!$B$18,Assumptions!$B$14*K171,0)</f>
        <v>9.55</v>
      </c>
      <c r="R171" s="9" t="n">
        <f aca="false">IF(Assumptions!$B$18,Assumptions!$B$15*L171,0)</f>
        <v>37.5</v>
      </c>
      <c r="S171" s="9" t="n">
        <f aca="false">IF(Assumptions!$B$18,Assumptions!$B$16*M171,0)</f>
        <v>152.6</v>
      </c>
      <c r="T171" s="9" t="n">
        <f aca="false">K171+N171+Q171</f>
        <v>109.55</v>
      </c>
      <c r="U171" s="9" t="n">
        <f aca="false">L171+O171+R171</f>
        <v>234</v>
      </c>
      <c r="V171" s="9" t="n">
        <f aca="false">M171+P171+S171</f>
        <v>602.1</v>
      </c>
      <c r="W171" s="9" t="n">
        <v>50</v>
      </c>
      <c r="X171" s="9" t="n">
        <v>125</v>
      </c>
      <c r="Y171" s="9" t="n">
        <v>375</v>
      </c>
      <c r="Z171" s="9" t="n">
        <f aca="false">U171-X171</f>
        <v>109</v>
      </c>
      <c r="AA171" s="10" t="n">
        <f aca="false">IFERROR((U171-X171)/X171,"")</f>
        <v>0.872</v>
      </c>
      <c r="AB171" s="8" t="str">
        <f aca="false">IF(ISNUMBER(AA171),IF(ABS(AA171)&gt;Assumptions!$B$19,"REVIEW",""),"")</f>
        <v>REVIEW</v>
      </c>
    </row>
    <row r="172" customFormat="false" ht="15" hidden="false" customHeight="false" outlineLevel="0" collapsed="false">
      <c r="A172" s="8" t="s">
        <v>230</v>
      </c>
      <c r="B172" s="8"/>
      <c r="C172" s="9" t="n">
        <v>20</v>
      </c>
      <c r="D172" s="9" t="n">
        <v>75</v>
      </c>
      <c r="E172" s="9" t="n">
        <v>260</v>
      </c>
      <c r="F172" s="9" t="n">
        <v>6</v>
      </c>
      <c r="G172" s="9" t="n">
        <v>4</v>
      </c>
      <c r="H172" s="9" t="n">
        <v>2.5</v>
      </c>
      <c r="I172" s="9" t="n">
        <v>0.3</v>
      </c>
      <c r="J172" s="9" t="n">
        <v>4</v>
      </c>
      <c r="K172" s="9" t="n">
        <f aca="false">C172+3*Assumptions!$B$4*F172+Assumptions!$B$7*G172+H172+I172</f>
        <v>44.8</v>
      </c>
      <c r="L172" s="9" t="n">
        <f aca="false">D172+3*Assumptions!$B$5*F172+Assumptions!$B$8*G172+H172+I172</f>
        <v>118.2</v>
      </c>
      <c r="M172" s="9" t="n">
        <f aca="false">E172+3*Assumptions!$B$6*F172+Assumptions!$B$9*G172+H172+I172</f>
        <v>341.8</v>
      </c>
      <c r="N172" s="9" t="n">
        <f aca="false">IF(AND(Assumptions!$B$17,ISNUMBER(J172)),Assumptions!$B$10*Assumptions!$B$13*J172,0)</f>
        <v>6</v>
      </c>
      <c r="O172" s="9" t="n">
        <f aca="false">IF(AND(Assumptions!$B$17,ISNUMBER(J172)),Assumptions!$B$11*Assumptions!$B$13*J172,0)</f>
        <v>12</v>
      </c>
      <c r="P172" s="9" t="n">
        <f aca="false">IF(AND(Assumptions!$B$17,ISNUMBER(J172)),Assumptions!$B$12*Assumptions!$B$13*J172,0)</f>
        <v>18</v>
      </c>
      <c r="Q172" s="9" t="n">
        <f aca="false">IF(Assumptions!$B$18,Assumptions!$B$14*K172,0)</f>
        <v>4.48</v>
      </c>
      <c r="R172" s="9" t="n">
        <f aca="false">IF(Assumptions!$B$18,Assumptions!$B$15*L172,0)</f>
        <v>23.64</v>
      </c>
      <c r="S172" s="9" t="n">
        <f aca="false">IF(Assumptions!$B$18,Assumptions!$B$16*M172,0)</f>
        <v>119.63</v>
      </c>
      <c r="T172" s="9" t="n">
        <f aca="false">K172+N172+Q172</f>
        <v>55.28</v>
      </c>
      <c r="U172" s="9" t="n">
        <f aca="false">L172+O172+R172</f>
        <v>153.84</v>
      </c>
      <c r="V172" s="9" t="n">
        <f aca="false">M172+P172+S172</f>
        <v>479.43</v>
      </c>
      <c r="W172" s="9" t="n">
        <v>25</v>
      </c>
      <c r="X172" s="9" t="n">
        <v>75</v>
      </c>
      <c r="Y172" s="9" t="n">
        <v>300</v>
      </c>
      <c r="Z172" s="9" t="n">
        <f aca="false">U172-X172</f>
        <v>78.84</v>
      </c>
      <c r="AA172" s="10" t="n">
        <f aca="false">IFERROR((U172-X172)/X172,"")</f>
        <v>1.0512</v>
      </c>
      <c r="AB172" s="8" t="str">
        <f aca="false">IF(ISNUMBER(AA172),IF(ABS(AA172)&gt;Assumptions!$B$19,"REVIEW",""),"")</f>
        <v>REVIEW</v>
      </c>
    </row>
    <row r="173" customFormat="false" ht="15" hidden="false" customHeight="false" outlineLevel="0" collapsed="false">
      <c r="A173" s="8" t="s">
        <v>231</v>
      </c>
      <c r="B173" s="8"/>
      <c r="C173" s="9" t="n">
        <v>75</v>
      </c>
      <c r="D173" s="9" t="n">
        <v>140</v>
      </c>
      <c r="E173" s="9" t="n">
        <v>320</v>
      </c>
      <c r="F173" s="9" t="n">
        <v>20</v>
      </c>
      <c r="G173" s="9" t="n">
        <v>28</v>
      </c>
      <c r="H173" s="9" t="n">
        <v>3.2</v>
      </c>
      <c r="I173" s="9" t="n">
        <v>2.5</v>
      </c>
      <c r="J173" s="9" t="n">
        <v>4.5</v>
      </c>
      <c r="K173" s="9" t="n">
        <f aca="false">C173+3*Assumptions!$B$4*F173+Assumptions!$B$7*G173+H173+I173</f>
        <v>168.7</v>
      </c>
      <c r="L173" s="9" t="n">
        <f aca="false">D173+3*Assumptions!$B$5*F173+Assumptions!$B$8*G173+H173+I173</f>
        <v>309.7</v>
      </c>
      <c r="M173" s="9" t="n">
        <f aca="false">E173+3*Assumptions!$B$6*F173+Assumptions!$B$9*G173+H173+I173</f>
        <v>647.7</v>
      </c>
      <c r="N173" s="9" t="n">
        <f aca="false">IF(AND(Assumptions!$B$17,ISNUMBER(J173)),Assumptions!$B$10*Assumptions!$B$13*J173,0)</f>
        <v>6.75</v>
      </c>
      <c r="O173" s="9" t="n">
        <f aca="false">IF(AND(Assumptions!$B$17,ISNUMBER(J173)),Assumptions!$B$11*Assumptions!$B$13*J173,0)</f>
        <v>13.5</v>
      </c>
      <c r="P173" s="9" t="n">
        <f aca="false">IF(AND(Assumptions!$B$17,ISNUMBER(J173)),Assumptions!$B$12*Assumptions!$B$13*J173,0)</f>
        <v>20.25</v>
      </c>
      <c r="Q173" s="9" t="n">
        <f aca="false">IF(Assumptions!$B$18,Assumptions!$B$14*K173,0)</f>
        <v>16.87</v>
      </c>
      <c r="R173" s="9" t="n">
        <f aca="false">IF(Assumptions!$B$18,Assumptions!$B$15*L173,0)</f>
        <v>61.94</v>
      </c>
      <c r="S173" s="9" t="n">
        <f aca="false">IF(Assumptions!$B$18,Assumptions!$B$16*M173,0)</f>
        <v>226.695</v>
      </c>
      <c r="T173" s="9" t="n">
        <f aca="false">K173+N173+Q173</f>
        <v>192.32</v>
      </c>
      <c r="U173" s="9" t="n">
        <f aca="false">L173+O173+R173</f>
        <v>385.14</v>
      </c>
      <c r="V173" s="9" t="n">
        <f aca="false">M173+P173+S173</f>
        <v>894.645</v>
      </c>
      <c r="W173" s="9" t="n">
        <v>80</v>
      </c>
      <c r="X173" s="9" t="n">
        <v>190</v>
      </c>
      <c r="Y173" s="9" t="n">
        <v>520</v>
      </c>
      <c r="Z173" s="9" t="n">
        <f aca="false">U173-X173</f>
        <v>195.14</v>
      </c>
      <c r="AA173" s="10" t="n">
        <f aca="false">IFERROR((U173-X173)/X173,"")</f>
        <v>1.02705263157895</v>
      </c>
      <c r="AB173" s="8" t="str">
        <f aca="false">IF(ISNUMBER(AA173),IF(ABS(AA173)&gt;Assumptions!$B$19,"REVIEW",""),"")</f>
        <v>REVIEW</v>
      </c>
    </row>
    <row r="174" customFormat="false" ht="15" hidden="false" customHeight="false" outlineLevel="0" collapsed="false">
      <c r="A174" s="8" t="s">
        <v>232</v>
      </c>
      <c r="B174" s="8"/>
      <c r="C174" s="9" t="n">
        <v>35</v>
      </c>
      <c r="D174" s="9" t="n">
        <v>90</v>
      </c>
      <c r="E174" s="9" t="n">
        <v>350</v>
      </c>
      <c r="F174" s="9" t="n">
        <v>18</v>
      </c>
      <c r="G174" s="9" t="n">
        <v>7</v>
      </c>
      <c r="H174" s="9" t="n">
        <v>4</v>
      </c>
      <c r="I174" s="9" t="n">
        <v>0.6</v>
      </c>
      <c r="J174" s="9" t="n">
        <v>10</v>
      </c>
      <c r="K174" s="9" t="n">
        <f aca="false">C174+3*Assumptions!$B$4*F174+Assumptions!$B$7*G174+H174+I174</f>
        <v>100.6</v>
      </c>
      <c r="L174" s="9" t="n">
        <f aca="false">D174+3*Assumptions!$B$5*F174+Assumptions!$B$8*G174+H174+I174</f>
        <v>205.8</v>
      </c>
      <c r="M174" s="9" t="n">
        <f aca="false">E174+3*Assumptions!$B$6*F174+Assumptions!$B$9*G174+H174+I174</f>
        <v>571.6</v>
      </c>
      <c r="N174" s="9" t="n">
        <f aca="false">IF(AND(Assumptions!$B$17,ISNUMBER(J174)),Assumptions!$B$10*Assumptions!$B$13*J174,0)</f>
        <v>15</v>
      </c>
      <c r="O174" s="9" t="n">
        <f aca="false">IF(AND(Assumptions!$B$17,ISNUMBER(J174)),Assumptions!$B$11*Assumptions!$B$13*J174,0)</f>
        <v>30</v>
      </c>
      <c r="P174" s="9" t="n">
        <f aca="false">IF(AND(Assumptions!$B$17,ISNUMBER(J174)),Assumptions!$B$12*Assumptions!$B$13*J174,0)</f>
        <v>45</v>
      </c>
      <c r="Q174" s="9" t="n">
        <f aca="false">IF(Assumptions!$B$18,Assumptions!$B$14*K174,0)</f>
        <v>10.06</v>
      </c>
      <c r="R174" s="9" t="n">
        <f aca="false">IF(Assumptions!$B$18,Assumptions!$B$15*L174,0)</f>
        <v>41.16</v>
      </c>
      <c r="S174" s="9" t="n">
        <f aca="false">IF(Assumptions!$B$18,Assumptions!$B$16*M174,0)</f>
        <v>200.06</v>
      </c>
      <c r="T174" s="9" t="n">
        <f aca="false">K174+N174+Q174</f>
        <v>125.66</v>
      </c>
      <c r="U174" s="9" t="n">
        <f aca="false">L174+O174+R174</f>
        <v>276.96</v>
      </c>
      <c r="V174" s="9" t="n">
        <f aca="false">M174+P174+S174</f>
        <v>816.66</v>
      </c>
      <c r="W174" s="9" t="n">
        <v>55</v>
      </c>
      <c r="X174" s="9" t="n">
        <v>140</v>
      </c>
      <c r="Y174" s="9" t="n">
        <v>435</v>
      </c>
      <c r="Z174" s="9" t="n">
        <f aca="false">U174-X174</f>
        <v>136.96</v>
      </c>
      <c r="AA174" s="10" t="n">
        <f aca="false">IFERROR((U174-X174)/X174,"")</f>
        <v>0.978285714285714</v>
      </c>
      <c r="AB174" s="8" t="str">
        <f aca="false">IF(ISNUMBER(AA174),IF(ABS(AA174)&gt;Assumptions!$B$19,"REVIEW",""),"")</f>
        <v>REVIEW</v>
      </c>
    </row>
    <row r="175" customFormat="false" ht="15" hidden="false" customHeight="false" outlineLevel="0" collapsed="false">
      <c r="A175" s="8" t="s">
        <v>233</v>
      </c>
      <c r="B175" s="8"/>
      <c r="C175" s="9" t="n">
        <v>30</v>
      </c>
      <c r="D175" s="9" t="n">
        <v>90</v>
      </c>
      <c r="E175" s="9" t="n">
        <v>250</v>
      </c>
      <c r="F175" s="9" t="n">
        <v>10</v>
      </c>
      <c r="G175" s="9" t="n">
        <v>6</v>
      </c>
      <c r="H175" s="9" t="n">
        <v>2.5</v>
      </c>
      <c r="I175" s="9" t="n">
        <v>1</v>
      </c>
      <c r="J175" s="9" t="n">
        <v>4</v>
      </c>
      <c r="K175" s="9" t="n">
        <f aca="false">C175+3*Assumptions!$B$4*F175+Assumptions!$B$7*G175+H175+I175</f>
        <v>69.5</v>
      </c>
      <c r="L175" s="9" t="n">
        <f aca="false">D175+3*Assumptions!$B$5*F175+Assumptions!$B$8*G175+H175+I175</f>
        <v>159.5</v>
      </c>
      <c r="M175" s="9" t="n">
        <f aca="false">E175+3*Assumptions!$B$6*F175+Assumptions!$B$9*G175+H175+I175</f>
        <v>382.5</v>
      </c>
      <c r="N175" s="9" t="n">
        <f aca="false">IF(AND(Assumptions!$B$17,ISNUMBER(J175)),Assumptions!$B$10*Assumptions!$B$13*J175,0)</f>
        <v>6</v>
      </c>
      <c r="O175" s="9" t="n">
        <f aca="false">IF(AND(Assumptions!$B$17,ISNUMBER(J175)),Assumptions!$B$11*Assumptions!$B$13*J175,0)</f>
        <v>12</v>
      </c>
      <c r="P175" s="9" t="n">
        <f aca="false">IF(AND(Assumptions!$B$17,ISNUMBER(J175)),Assumptions!$B$12*Assumptions!$B$13*J175,0)</f>
        <v>18</v>
      </c>
      <c r="Q175" s="9" t="n">
        <f aca="false">IF(Assumptions!$B$18,Assumptions!$B$14*K175,0)</f>
        <v>6.95</v>
      </c>
      <c r="R175" s="9" t="n">
        <f aca="false">IF(Assumptions!$B$18,Assumptions!$B$15*L175,0)</f>
        <v>31.9</v>
      </c>
      <c r="S175" s="9" t="n">
        <f aca="false">IF(Assumptions!$B$18,Assumptions!$B$16*M175,0)</f>
        <v>133.875</v>
      </c>
      <c r="T175" s="9" t="n">
        <f aca="false">K175+N175+Q175</f>
        <v>82.45</v>
      </c>
      <c r="U175" s="9" t="n">
        <f aca="false">L175+O175+R175</f>
        <v>203.4</v>
      </c>
      <c r="V175" s="9" t="n">
        <f aca="false">M175+P175+S175</f>
        <v>534.375</v>
      </c>
      <c r="W175" s="9" t="n">
        <v>40</v>
      </c>
      <c r="X175" s="9" t="n">
        <v>105</v>
      </c>
      <c r="Y175" s="9" t="n">
        <v>320</v>
      </c>
      <c r="Z175" s="9" t="n">
        <f aca="false">U175-X175</f>
        <v>98.4</v>
      </c>
      <c r="AA175" s="10" t="n">
        <f aca="false">IFERROR((U175-X175)/X175,"")</f>
        <v>0.937142857142857</v>
      </c>
      <c r="AB175" s="8" t="str">
        <f aca="false">IF(ISNUMBER(AA175),IF(ABS(AA175)&gt;Assumptions!$B$19,"REVIEW",""),"")</f>
        <v>REVIEW</v>
      </c>
    </row>
    <row r="176" customFormat="false" ht="15" hidden="false" customHeight="false" outlineLevel="0" collapsed="false">
      <c r="A176" s="8" t="s">
        <v>234</v>
      </c>
      <c r="B176" s="8"/>
      <c r="C176" s="9" t="n">
        <v>30</v>
      </c>
      <c r="D176" s="9" t="n">
        <v>90</v>
      </c>
      <c r="E176" s="9" t="n">
        <v>450</v>
      </c>
      <c r="F176" s="9" t="n">
        <v>15</v>
      </c>
      <c r="G176" s="9" t="n">
        <v>7</v>
      </c>
      <c r="H176" s="9" t="n">
        <v>3.5</v>
      </c>
      <c r="I176" s="9" t="n">
        <v>1.5</v>
      </c>
      <c r="J176" s="9" t="n">
        <v>4</v>
      </c>
      <c r="K176" s="9" t="n">
        <f aca="false">C176+3*Assumptions!$B$4*F176+Assumptions!$B$7*G176+H176+I176</f>
        <v>87</v>
      </c>
      <c r="L176" s="9" t="n">
        <f aca="false">D176+3*Assumptions!$B$5*F176+Assumptions!$B$8*G176+H176+I176</f>
        <v>190</v>
      </c>
      <c r="M176" s="9" t="n">
        <f aca="false">E176+3*Assumptions!$B$6*F176+Assumptions!$B$9*G176+H176+I176</f>
        <v>640.5</v>
      </c>
      <c r="N176" s="9" t="n">
        <f aca="false">IF(AND(Assumptions!$B$17,ISNUMBER(J176)),Assumptions!$B$10*Assumptions!$B$13*J176,0)</f>
        <v>6</v>
      </c>
      <c r="O176" s="9" t="n">
        <f aca="false">IF(AND(Assumptions!$B$17,ISNUMBER(J176)),Assumptions!$B$11*Assumptions!$B$13*J176,0)</f>
        <v>12</v>
      </c>
      <c r="P176" s="9" t="n">
        <f aca="false">IF(AND(Assumptions!$B$17,ISNUMBER(J176)),Assumptions!$B$12*Assumptions!$B$13*J176,0)</f>
        <v>18</v>
      </c>
      <c r="Q176" s="9" t="n">
        <f aca="false">IF(Assumptions!$B$18,Assumptions!$B$14*K176,0)</f>
        <v>8.7</v>
      </c>
      <c r="R176" s="9" t="n">
        <f aca="false">IF(Assumptions!$B$18,Assumptions!$B$15*L176,0)</f>
        <v>38</v>
      </c>
      <c r="S176" s="9" t="n">
        <f aca="false">IF(Assumptions!$B$18,Assumptions!$B$16*M176,0)</f>
        <v>224.175</v>
      </c>
      <c r="T176" s="9" t="n">
        <f aca="false">K176+N176+Q176</f>
        <v>101.7</v>
      </c>
      <c r="U176" s="9" t="n">
        <f aca="false">L176+O176+R176</f>
        <v>240</v>
      </c>
      <c r="V176" s="9" t="n">
        <f aca="false">M176+P176+S176</f>
        <v>882.675</v>
      </c>
      <c r="W176" s="9" t="n">
        <v>50</v>
      </c>
      <c r="X176" s="9" t="n">
        <v>140</v>
      </c>
      <c r="Y176" s="9" t="n">
        <v>450</v>
      </c>
      <c r="Z176" s="9" t="n">
        <f aca="false">U176-X176</f>
        <v>100</v>
      </c>
      <c r="AA176" s="10" t="n">
        <f aca="false">IFERROR((U176-X176)/X176,"")</f>
        <v>0.714285714285714</v>
      </c>
      <c r="AB176" s="8" t="str">
        <f aca="false">IF(ISNUMBER(AA176),IF(ABS(AA176)&gt;Assumptions!$B$19,"REVIEW",""),"")</f>
        <v>REVIEW</v>
      </c>
    </row>
    <row r="177" customFormat="false" ht="15" hidden="false" customHeight="false" outlineLevel="0" collapsed="false">
      <c r="A177" s="8" t="s">
        <v>235</v>
      </c>
      <c r="B177" s="8"/>
      <c r="C177" s="9" t="n">
        <v>20</v>
      </c>
      <c r="D177" s="9" t="n">
        <v>90</v>
      </c>
      <c r="E177" s="9" t="n">
        <v>350</v>
      </c>
      <c r="F177" s="9" t="n">
        <v>12</v>
      </c>
      <c r="G177" s="9" t="n">
        <v>8</v>
      </c>
      <c r="H177" s="9" t="n">
        <v>3</v>
      </c>
      <c r="I177" s="9" t="n">
        <v>0.7</v>
      </c>
      <c r="J177" s="9" t="n">
        <v>3</v>
      </c>
      <c r="K177" s="9" t="n">
        <f aca="false">C177+3*Assumptions!$B$4*F177+Assumptions!$B$7*G177+H177+I177</f>
        <v>67.7</v>
      </c>
      <c r="L177" s="9" t="n">
        <f aca="false">D177+3*Assumptions!$B$5*F177+Assumptions!$B$8*G177+H177+I177</f>
        <v>174.5</v>
      </c>
      <c r="M177" s="9" t="n">
        <f aca="false">E177+3*Assumptions!$B$6*F177+Assumptions!$B$9*G177+H177+I177</f>
        <v>511.7</v>
      </c>
      <c r="N177" s="9" t="n">
        <f aca="false">IF(AND(Assumptions!$B$17,ISNUMBER(J177)),Assumptions!$B$10*Assumptions!$B$13*J177,0)</f>
        <v>4.5</v>
      </c>
      <c r="O177" s="9" t="n">
        <f aca="false">IF(AND(Assumptions!$B$17,ISNUMBER(J177)),Assumptions!$B$11*Assumptions!$B$13*J177,0)</f>
        <v>9</v>
      </c>
      <c r="P177" s="9" t="n">
        <f aca="false">IF(AND(Assumptions!$B$17,ISNUMBER(J177)),Assumptions!$B$12*Assumptions!$B$13*J177,0)</f>
        <v>13.5</v>
      </c>
      <c r="Q177" s="9" t="n">
        <f aca="false">IF(Assumptions!$B$18,Assumptions!$B$14*K177,0)</f>
        <v>6.77</v>
      </c>
      <c r="R177" s="9" t="n">
        <f aca="false">IF(Assumptions!$B$18,Assumptions!$B$15*L177,0)</f>
        <v>34.9</v>
      </c>
      <c r="S177" s="9" t="n">
        <f aca="false">IF(Assumptions!$B$18,Assumptions!$B$16*M177,0)</f>
        <v>179.095</v>
      </c>
      <c r="T177" s="9" t="n">
        <f aca="false">K177+N177+Q177</f>
        <v>78.97</v>
      </c>
      <c r="U177" s="9" t="n">
        <f aca="false">L177+O177+R177</f>
        <v>218.4</v>
      </c>
      <c r="V177" s="9" t="n">
        <f aca="false">M177+P177+S177</f>
        <v>704.295</v>
      </c>
      <c r="W177" s="9" t="n">
        <v>45</v>
      </c>
      <c r="X177" s="9" t="n">
        <v>115</v>
      </c>
      <c r="Y177" s="9" t="n">
        <v>365</v>
      </c>
      <c r="Z177" s="9" t="n">
        <f aca="false">U177-X177</f>
        <v>103.4</v>
      </c>
      <c r="AA177" s="10" t="n">
        <f aca="false">IFERROR((U177-X177)/X177,"")</f>
        <v>0.899130434782609</v>
      </c>
      <c r="AB177" s="8" t="str">
        <f aca="false">IF(ISNUMBER(AA177),IF(ABS(AA177)&gt;Assumptions!$B$19,"REVIEW",""),"")</f>
        <v>REVIEW</v>
      </c>
    </row>
    <row r="178" customFormat="false" ht="15" hidden="false" customHeight="false" outlineLevel="0" collapsed="false">
      <c r="A178" s="8" t="s">
        <v>236</v>
      </c>
      <c r="B178" s="8"/>
      <c r="C178" s="9" t="n">
        <v>18</v>
      </c>
      <c r="D178" s="9" t="n">
        <v>40</v>
      </c>
      <c r="E178" s="9" t="n">
        <v>90</v>
      </c>
      <c r="F178" s="9" t="n">
        <v>6</v>
      </c>
      <c r="G178" s="9" t="n">
        <v>3</v>
      </c>
      <c r="H178" s="9" t="n">
        <v>3.5</v>
      </c>
      <c r="I178" s="9" t="n">
        <v>0.5</v>
      </c>
      <c r="J178" s="9" t="n">
        <v>1.2</v>
      </c>
      <c r="K178" s="9" t="n">
        <f aca="false">C178+3*Assumptions!$B$4*F178+Assumptions!$B$7*G178+H178+I178</f>
        <v>43</v>
      </c>
      <c r="L178" s="9" t="n">
        <f aca="false">D178+3*Assumptions!$B$5*F178+Assumptions!$B$8*G178+H178+I178</f>
        <v>82.4</v>
      </c>
      <c r="M178" s="9" t="n">
        <f aca="false">E178+3*Assumptions!$B$6*F178+Assumptions!$B$9*G178+H178+I178</f>
        <v>169</v>
      </c>
      <c r="N178" s="9" t="n">
        <f aca="false">IF(AND(Assumptions!$B$17,ISNUMBER(J178)),Assumptions!$B$10*Assumptions!$B$13*J178,0)</f>
        <v>1.8</v>
      </c>
      <c r="O178" s="9" t="n">
        <f aca="false">IF(AND(Assumptions!$B$17,ISNUMBER(J178)),Assumptions!$B$11*Assumptions!$B$13*J178,0)</f>
        <v>3.6</v>
      </c>
      <c r="P178" s="9" t="n">
        <f aca="false">IF(AND(Assumptions!$B$17,ISNUMBER(J178)),Assumptions!$B$12*Assumptions!$B$13*J178,0)</f>
        <v>5.4</v>
      </c>
      <c r="Q178" s="9" t="n">
        <f aca="false">IF(Assumptions!$B$18,Assumptions!$B$14*K178,0)</f>
        <v>4.3</v>
      </c>
      <c r="R178" s="9" t="n">
        <f aca="false">IF(Assumptions!$B$18,Assumptions!$B$15*L178,0)</f>
        <v>16.48</v>
      </c>
      <c r="S178" s="9" t="n">
        <f aca="false">IF(Assumptions!$B$18,Assumptions!$B$16*M178,0)</f>
        <v>59.15</v>
      </c>
      <c r="T178" s="9" t="n">
        <f aca="false">K178+N178+Q178</f>
        <v>49.1</v>
      </c>
      <c r="U178" s="9" t="n">
        <f aca="false">L178+O178+R178</f>
        <v>102.48</v>
      </c>
      <c r="V178" s="9" t="n">
        <f aca="false">M178+P178+S178</f>
        <v>233.55</v>
      </c>
      <c r="W178" s="9" t="n">
        <v>25</v>
      </c>
      <c r="X178" s="9" t="n">
        <v>55</v>
      </c>
      <c r="Y178" s="9" t="n">
        <v>150</v>
      </c>
      <c r="Z178" s="9" t="n">
        <f aca="false">U178-X178</f>
        <v>47.48</v>
      </c>
      <c r="AA178" s="10" t="n">
        <f aca="false">IFERROR((U178-X178)/X178,"")</f>
        <v>0.863272727272727</v>
      </c>
      <c r="AB178" s="8" t="str">
        <f aca="false">IF(ISNUMBER(AA178),IF(ABS(AA178)&gt;Assumptions!$B$19,"REVIEW",""),"")</f>
        <v>REVIEW</v>
      </c>
    </row>
    <row r="179" customFormat="false" ht="15" hidden="false" customHeight="false" outlineLevel="0" collapsed="false">
      <c r="A179" s="8" t="s">
        <v>237</v>
      </c>
      <c r="B179" s="8"/>
      <c r="C179" s="9" t="n">
        <v>20</v>
      </c>
      <c r="D179" s="9" t="n">
        <v>55</v>
      </c>
      <c r="E179" s="9" t="n">
        <v>130</v>
      </c>
      <c r="F179" s="9" t="n">
        <v>6</v>
      </c>
      <c r="G179" s="9" t="n">
        <v>3</v>
      </c>
      <c r="H179" s="9" t="n">
        <v>4</v>
      </c>
      <c r="I179" s="9" t="n">
        <v>0.5</v>
      </c>
      <c r="J179" s="9" t="n">
        <v>1.5</v>
      </c>
      <c r="K179" s="9" t="n">
        <f aca="false">C179+3*Assumptions!$B$4*F179+Assumptions!$B$7*G179+H179+I179</f>
        <v>45.5</v>
      </c>
      <c r="L179" s="9" t="n">
        <f aca="false">D179+3*Assumptions!$B$5*F179+Assumptions!$B$8*G179+H179+I179</f>
        <v>97.9</v>
      </c>
      <c r="M179" s="9" t="n">
        <f aca="false">E179+3*Assumptions!$B$6*F179+Assumptions!$B$9*G179+H179+I179</f>
        <v>209.5</v>
      </c>
      <c r="N179" s="9" t="n">
        <f aca="false">IF(AND(Assumptions!$B$17,ISNUMBER(J179)),Assumptions!$B$10*Assumptions!$B$13*J179,0)</f>
        <v>2.25</v>
      </c>
      <c r="O179" s="9" t="n">
        <f aca="false">IF(AND(Assumptions!$B$17,ISNUMBER(J179)),Assumptions!$B$11*Assumptions!$B$13*J179,0)</f>
        <v>4.5</v>
      </c>
      <c r="P179" s="9" t="n">
        <f aca="false">IF(AND(Assumptions!$B$17,ISNUMBER(J179)),Assumptions!$B$12*Assumptions!$B$13*J179,0)</f>
        <v>6.75</v>
      </c>
      <c r="Q179" s="9" t="n">
        <f aca="false">IF(Assumptions!$B$18,Assumptions!$B$14*K179,0)</f>
        <v>4.55</v>
      </c>
      <c r="R179" s="9" t="n">
        <f aca="false">IF(Assumptions!$B$18,Assumptions!$B$15*L179,0)</f>
        <v>19.58</v>
      </c>
      <c r="S179" s="9" t="n">
        <f aca="false">IF(Assumptions!$B$18,Assumptions!$B$16*M179,0)</f>
        <v>73.325</v>
      </c>
      <c r="T179" s="9" t="n">
        <f aca="false">K179+N179+Q179</f>
        <v>52.3</v>
      </c>
      <c r="U179" s="9" t="n">
        <f aca="false">L179+O179+R179</f>
        <v>121.98</v>
      </c>
      <c r="V179" s="9" t="n">
        <f aca="false">M179+P179+S179</f>
        <v>289.575</v>
      </c>
      <c r="W179" s="9" t="n">
        <v>30</v>
      </c>
      <c r="X179" s="9" t="n">
        <v>75</v>
      </c>
      <c r="Y179" s="9" t="n">
        <v>220</v>
      </c>
      <c r="Z179" s="9" t="n">
        <f aca="false">U179-X179</f>
        <v>46.98</v>
      </c>
      <c r="AA179" s="10" t="n">
        <f aca="false">IFERROR((U179-X179)/X179,"")</f>
        <v>0.6264</v>
      </c>
      <c r="AB179" s="8" t="str">
        <f aca="false">IF(ISNUMBER(AA179),IF(ABS(AA179)&gt;Assumptions!$B$19,"REVIEW",""),"")</f>
        <v>REVIEW</v>
      </c>
    </row>
    <row r="180" customFormat="false" ht="15" hidden="false" customHeight="false" outlineLevel="0" collapsed="false">
      <c r="A180" s="8" t="s">
        <v>238</v>
      </c>
      <c r="B180" s="8"/>
      <c r="C180" s="9" t="n">
        <v>90</v>
      </c>
      <c r="D180" s="9" t="n">
        <v>220</v>
      </c>
      <c r="E180" s="9" t="n">
        <v>450</v>
      </c>
      <c r="F180" s="9" t="n">
        <v>25</v>
      </c>
      <c r="G180" s="9" t="n">
        <v>15</v>
      </c>
      <c r="H180" s="9" t="n">
        <v>4</v>
      </c>
      <c r="I180" s="9" t="n">
        <v>2</v>
      </c>
      <c r="J180" s="9" t="n">
        <v>6</v>
      </c>
      <c r="K180" s="9" t="n">
        <f aca="false">C180+3*Assumptions!$B$4*F180+Assumptions!$B$7*G180+H180+I180</f>
        <v>186</v>
      </c>
      <c r="L180" s="9" t="n">
        <f aca="false">D180+3*Assumptions!$B$5*F180+Assumptions!$B$8*G180+H180+I180</f>
        <v>391</v>
      </c>
      <c r="M180" s="9" t="n">
        <f aca="false">E180+3*Assumptions!$B$6*F180+Assumptions!$B$9*G180+H180+I180</f>
        <v>778.5</v>
      </c>
      <c r="N180" s="9" t="n">
        <f aca="false">IF(AND(Assumptions!$B$17,ISNUMBER(J180)),Assumptions!$B$10*Assumptions!$B$13*J180,0)</f>
        <v>9</v>
      </c>
      <c r="O180" s="9" t="n">
        <f aca="false">IF(AND(Assumptions!$B$17,ISNUMBER(J180)),Assumptions!$B$11*Assumptions!$B$13*J180,0)</f>
        <v>18</v>
      </c>
      <c r="P180" s="9" t="n">
        <f aca="false">IF(AND(Assumptions!$B$17,ISNUMBER(J180)),Assumptions!$B$12*Assumptions!$B$13*J180,0)</f>
        <v>27</v>
      </c>
      <c r="Q180" s="9" t="n">
        <f aca="false">IF(Assumptions!$B$18,Assumptions!$B$14*K180,0)</f>
        <v>18.6</v>
      </c>
      <c r="R180" s="9" t="n">
        <f aca="false">IF(Assumptions!$B$18,Assumptions!$B$15*L180,0)</f>
        <v>78.2</v>
      </c>
      <c r="S180" s="9" t="n">
        <f aca="false">IF(Assumptions!$B$18,Assumptions!$B$16*M180,0)</f>
        <v>272.475</v>
      </c>
      <c r="T180" s="9" t="n">
        <f aca="false">K180+N180+Q180</f>
        <v>213.6</v>
      </c>
      <c r="U180" s="9" t="n">
        <f aca="false">L180+O180+R180</f>
        <v>487.2</v>
      </c>
      <c r="V180" s="9" t="n">
        <f aca="false">M180+P180+S180</f>
        <v>1077.975</v>
      </c>
      <c r="W180" s="9" t="n">
        <v>85</v>
      </c>
      <c r="X180" s="9" t="n">
        <v>215</v>
      </c>
      <c r="Y180" s="9" t="n">
        <v>615</v>
      </c>
      <c r="Z180" s="9" t="n">
        <f aca="false">U180-X180</f>
        <v>272.2</v>
      </c>
      <c r="AA180" s="10" t="n">
        <f aca="false">IFERROR((U180-X180)/X180,"")</f>
        <v>1.26604651162791</v>
      </c>
      <c r="AB180" s="8" t="str">
        <f aca="false">IF(ISNUMBER(AA180),IF(ABS(AA180)&gt;Assumptions!$B$19,"REVIEW",""),"")</f>
        <v>REVIEW</v>
      </c>
    </row>
    <row r="181" customFormat="false" ht="15" hidden="false" customHeight="false" outlineLevel="0" collapsed="false">
      <c r="A181" s="8" t="s">
        <v>239</v>
      </c>
      <c r="B181" s="8"/>
      <c r="C181" s="9" t="n">
        <v>120</v>
      </c>
      <c r="D181" s="9" t="n">
        <v>250</v>
      </c>
      <c r="E181" s="9" t="n">
        <v>550</v>
      </c>
      <c r="F181" s="9" t="n">
        <v>35</v>
      </c>
      <c r="G181" s="9" t="n">
        <v>25</v>
      </c>
      <c r="H181" s="9" t="n">
        <v>4.5</v>
      </c>
      <c r="I181" s="9" t="n">
        <v>1.5</v>
      </c>
      <c r="J181" s="9" t="n">
        <v>8</v>
      </c>
      <c r="K181" s="9" t="n">
        <f aca="false">C181+3*Assumptions!$B$4*F181+Assumptions!$B$7*G181+H181+I181</f>
        <v>256</v>
      </c>
      <c r="L181" s="9" t="n">
        <f aca="false">D181+3*Assumptions!$B$5*F181+Assumptions!$B$8*G181+H181+I181</f>
        <v>495</v>
      </c>
      <c r="M181" s="9" t="n">
        <f aca="false">E181+3*Assumptions!$B$6*F181+Assumptions!$B$9*G181+H181+I181</f>
        <v>1023.5</v>
      </c>
      <c r="N181" s="9" t="n">
        <f aca="false">IF(AND(Assumptions!$B$17,ISNUMBER(J181)),Assumptions!$B$10*Assumptions!$B$13*J181,0)</f>
        <v>12</v>
      </c>
      <c r="O181" s="9" t="n">
        <f aca="false">IF(AND(Assumptions!$B$17,ISNUMBER(J181)),Assumptions!$B$11*Assumptions!$B$13*J181,0)</f>
        <v>24</v>
      </c>
      <c r="P181" s="9" t="n">
        <f aca="false">IF(AND(Assumptions!$B$17,ISNUMBER(J181)),Assumptions!$B$12*Assumptions!$B$13*J181,0)</f>
        <v>36</v>
      </c>
      <c r="Q181" s="9" t="n">
        <f aca="false">IF(Assumptions!$B$18,Assumptions!$B$14*K181,0)</f>
        <v>25.6</v>
      </c>
      <c r="R181" s="9" t="n">
        <f aca="false">IF(Assumptions!$B$18,Assumptions!$B$15*L181,0)</f>
        <v>99</v>
      </c>
      <c r="S181" s="9" t="n">
        <f aca="false">IF(Assumptions!$B$18,Assumptions!$B$16*M181,0)</f>
        <v>358.225</v>
      </c>
      <c r="T181" s="9" t="n">
        <f aca="false">K181+N181+Q181</f>
        <v>293.6</v>
      </c>
      <c r="U181" s="9" t="n">
        <f aca="false">L181+O181+R181</f>
        <v>618</v>
      </c>
      <c r="V181" s="9" t="n">
        <f aca="false">M181+P181+S181</f>
        <v>1417.725</v>
      </c>
      <c r="W181" s="9" t="n">
        <v>120</v>
      </c>
      <c r="X181" s="9" t="n">
        <v>300</v>
      </c>
      <c r="Y181" s="9" t="n">
        <v>800</v>
      </c>
      <c r="Z181" s="9" t="n">
        <f aca="false">U181-X181</f>
        <v>318</v>
      </c>
      <c r="AA181" s="10" t="n">
        <f aca="false">IFERROR((U181-X181)/X181,"")</f>
        <v>1.06</v>
      </c>
      <c r="AB181" s="8" t="str">
        <f aca="false">IF(ISNUMBER(AA181),IF(ABS(AA181)&gt;Assumptions!$B$19,"REVIEW",""),"")</f>
        <v>REVIEW</v>
      </c>
    </row>
    <row r="182" customFormat="false" ht="15" hidden="false" customHeight="false" outlineLevel="0" collapsed="false">
      <c r="A182" s="8" t="s">
        <v>240</v>
      </c>
      <c r="B182" s="8"/>
      <c r="C182" s="9" t="n">
        <v>30</v>
      </c>
      <c r="D182" s="9" t="n">
        <v>90</v>
      </c>
      <c r="E182" s="9" t="n">
        <v>250</v>
      </c>
      <c r="F182" s="9" t="n">
        <v>8</v>
      </c>
      <c r="G182" s="9" t="n">
        <v>4</v>
      </c>
      <c r="H182" s="9" t="n">
        <v>2.5</v>
      </c>
      <c r="I182" s="9" t="n">
        <v>0.7</v>
      </c>
      <c r="J182" s="9" t="n">
        <v>3</v>
      </c>
      <c r="K182" s="9" t="n">
        <f aca="false">C182+3*Assumptions!$B$4*F182+Assumptions!$B$7*G182+H182+I182</f>
        <v>61.2</v>
      </c>
      <c r="L182" s="9" t="n">
        <f aca="false">D182+3*Assumptions!$B$5*F182+Assumptions!$B$8*G182+H182+I182</f>
        <v>144.4</v>
      </c>
      <c r="M182" s="9" t="n">
        <f aca="false">E182+3*Assumptions!$B$6*F182+Assumptions!$B$9*G182+H182+I182</f>
        <v>353.2</v>
      </c>
      <c r="N182" s="9" t="n">
        <f aca="false">IF(AND(Assumptions!$B$17,ISNUMBER(J182)),Assumptions!$B$10*Assumptions!$B$13*J182,0)</f>
        <v>4.5</v>
      </c>
      <c r="O182" s="9" t="n">
        <f aca="false">IF(AND(Assumptions!$B$17,ISNUMBER(J182)),Assumptions!$B$11*Assumptions!$B$13*J182,0)</f>
        <v>9</v>
      </c>
      <c r="P182" s="9" t="n">
        <f aca="false">IF(AND(Assumptions!$B$17,ISNUMBER(J182)),Assumptions!$B$12*Assumptions!$B$13*J182,0)</f>
        <v>13.5</v>
      </c>
      <c r="Q182" s="9" t="n">
        <f aca="false">IF(Assumptions!$B$18,Assumptions!$B$14*K182,0)</f>
        <v>6.12</v>
      </c>
      <c r="R182" s="9" t="n">
        <f aca="false">IF(Assumptions!$B$18,Assumptions!$B$15*L182,0)</f>
        <v>28.88</v>
      </c>
      <c r="S182" s="9" t="n">
        <f aca="false">IF(Assumptions!$B$18,Assumptions!$B$16*M182,0)</f>
        <v>123.62</v>
      </c>
      <c r="T182" s="9" t="n">
        <f aca="false">K182+N182+Q182</f>
        <v>71.82</v>
      </c>
      <c r="U182" s="9" t="n">
        <f aca="false">L182+O182+R182</f>
        <v>182.28</v>
      </c>
      <c r="V182" s="9" t="n">
        <f aca="false">M182+P182+S182</f>
        <v>490.32</v>
      </c>
      <c r="W182" s="9" t="n">
        <v>40</v>
      </c>
      <c r="X182" s="9" t="n">
        <v>100</v>
      </c>
      <c r="Y182" s="9" t="n">
        <v>300</v>
      </c>
      <c r="Z182" s="9" t="n">
        <f aca="false">U182-X182</f>
        <v>82.28</v>
      </c>
      <c r="AA182" s="10" t="n">
        <f aca="false">IFERROR((U182-X182)/X182,"")</f>
        <v>0.8228</v>
      </c>
      <c r="AB182" s="8" t="str">
        <f aca="false">IF(ISNUMBER(AA182),IF(ABS(AA182)&gt;Assumptions!$B$19,"REVIEW",""),"")</f>
        <v>REVIEW</v>
      </c>
    </row>
    <row r="183" customFormat="false" ht="15" hidden="false" customHeight="false" outlineLevel="0" collapsed="false">
      <c r="A183" s="8" t="s">
        <v>241</v>
      </c>
      <c r="B183" s="8"/>
      <c r="C183" s="9" t="n">
        <v>80</v>
      </c>
      <c r="D183" s="9" t="n">
        <v>150</v>
      </c>
      <c r="E183" s="9" t="n">
        <v>400</v>
      </c>
      <c r="F183" s="9" t="n">
        <v>30</v>
      </c>
      <c r="G183" s="9" t="n">
        <v>30</v>
      </c>
      <c r="H183" s="9" t="n">
        <v>3</v>
      </c>
      <c r="I183" s="9" t="n">
        <v>2.5</v>
      </c>
      <c r="J183" s="9" t="n">
        <v>6.5</v>
      </c>
      <c r="K183" s="9" t="n">
        <f aca="false">C183+3*Assumptions!$B$4*F183+Assumptions!$B$7*G183+H183+I183</f>
        <v>205.5</v>
      </c>
      <c r="L183" s="9" t="n">
        <f aca="false">D183+3*Assumptions!$B$5*F183+Assumptions!$B$8*G183+H183+I183</f>
        <v>377.5</v>
      </c>
      <c r="M183" s="9" t="n">
        <f aca="false">E183+3*Assumptions!$B$6*F183+Assumptions!$B$9*G183+H183+I183</f>
        <v>840.5</v>
      </c>
      <c r="N183" s="9" t="n">
        <f aca="false">IF(AND(Assumptions!$B$17,ISNUMBER(J183)),Assumptions!$B$10*Assumptions!$B$13*J183,0)</f>
        <v>9.75</v>
      </c>
      <c r="O183" s="9" t="n">
        <f aca="false">IF(AND(Assumptions!$B$17,ISNUMBER(J183)),Assumptions!$B$11*Assumptions!$B$13*J183,0)</f>
        <v>19.5</v>
      </c>
      <c r="P183" s="9" t="n">
        <f aca="false">IF(AND(Assumptions!$B$17,ISNUMBER(J183)),Assumptions!$B$12*Assumptions!$B$13*J183,0)</f>
        <v>29.25</v>
      </c>
      <c r="Q183" s="9" t="n">
        <f aca="false">IF(Assumptions!$B$18,Assumptions!$B$14*K183,0)</f>
        <v>20.55</v>
      </c>
      <c r="R183" s="9" t="n">
        <f aca="false">IF(Assumptions!$B$18,Assumptions!$B$15*L183,0)</f>
        <v>75.5</v>
      </c>
      <c r="S183" s="9" t="n">
        <f aca="false">IF(Assumptions!$B$18,Assumptions!$B$16*M183,0)</f>
        <v>294.175</v>
      </c>
      <c r="T183" s="9" t="n">
        <f aca="false">K183+N183+Q183</f>
        <v>235.8</v>
      </c>
      <c r="U183" s="9" t="n">
        <f aca="false">L183+O183+R183</f>
        <v>472.5</v>
      </c>
      <c r="V183" s="9" t="n">
        <f aca="false">M183+P183+S183</f>
        <v>1163.925</v>
      </c>
      <c r="W183" s="9" t="n">
        <v>90</v>
      </c>
      <c r="X183" s="9" t="n">
        <v>210</v>
      </c>
      <c r="Y183" s="9" t="n">
        <v>600</v>
      </c>
      <c r="Z183" s="9" t="n">
        <f aca="false">U183-X183</f>
        <v>262.5</v>
      </c>
      <c r="AA183" s="10" t="n">
        <f aca="false">IFERROR((U183-X183)/X183,"")</f>
        <v>1.25</v>
      </c>
      <c r="AB183" s="8" t="str">
        <f aca="false">IF(ISNUMBER(AA183),IF(ABS(AA183)&gt;Assumptions!$B$19,"REVIEW",""),"")</f>
        <v>REVIEW</v>
      </c>
    </row>
    <row r="184" customFormat="false" ht="15" hidden="false" customHeight="false" outlineLevel="0" collapsed="false">
      <c r="A184" s="8" t="s">
        <v>242</v>
      </c>
      <c r="B184" s="8"/>
      <c r="C184" s="9" t="n">
        <v>45</v>
      </c>
      <c r="D184" s="9" t="n">
        <v>110</v>
      </c>
      <c r="E184" s="9" t="n">
        <v>220</v>
      </c>
      <c r="F184" s="9" t="n">
        <v>20</v>
      </c>
      <c r="G184" s="9" t="n">
        <v>9</v>
      </c>
      <c r="H184" s="9" t="n">
        <v>4</v>
      </c>
      <c r="I184" s="9" t="n">
        <v>1.3</v>
      </c>
      <c r="J184" s="9" t="n">
        <v>5.5</v>
      </c>
      <c r="K184" s="9" t="n">
        <f aca="false">C184+3*Assumptions!$B$4*F184+Assumptions!$B$7*G184+H184+I184</f>
        <v>119.3</v>
      </c>
      <c r="L184" s="9" t="n">
        <f aca="false">D184+3*Assumptions!$B$5*F184+Assumptions!$B$8*G184+H184+I184</f>
        <v>241.3</v>
      </c>
      <c r="M184" s="9" t="n">
        <f aca="false">E184+3*Assumptions!$B$6*F184+Assumptions!$B$9*G184+H184+I184</f>
        <v>471.3</v>
      </c>
      <c r="N184" s="9" t="n">
        <f aca="false">IF(AND(Assumptions!$B$17,ISNUMBER(J184)),Assumptions!$B$10*Assumptions!$B$13*J184,0)</f>
        <v>8.25</v>
      </c>
      <c r="O184" s="9" t="n">
        <f aca="false">IF(AND(Assumptions!$B$17,ISNUMBER(J184)),Assumptions!$B$11*Assumptions!$B$13*J184,0)</f>
        <v>16.5</v>
      </c>
      <c r="P184" s="9" t="n">
        <f aca="false">IF(AND(Assumptions!$B$17,ISNUMBER(J184)),Assumptions!$B$12*Assumptions!$B$13*J184,0)</f>
        <v>24.75</v>
      </c>
      <c r="Q184" s="9" t="n">
        <f aca="false">IF(Assumptions!$B$18,Assumptions!$B$14*K184,0)</f>
        <v>11.93</v>
      </c>
      <c r="R184" s="9" t="n">
        <f aca="false">IF(Assumptions!$B$18,Assumptions!$B$15*L184,0)</f>
        <v>48.26</v>
      </c>
      <c r="S184" s="9" t="n">
        <f aca="false">IF(Assumptions!$B$18,Assumptions!$B$16*M184,0)</f>
        <v>164.955</v>
      </c>
      <c r="T184" s="9" t="n">
        <f aca="false">K184+N184+Q184</f>
        <v>139.48</v>
      </c>
      <c r="U184" s="9" t="n">
        <f aca="false">L184+O184+R184</f>
        <v>306.06</v>
      </c>
      <c r="V184" s="9" t="n">
        <f aca="false">M184+P184+S184</f>
        <v>661.005</v>
      </c>
      <c r="W184" s="9" t="n">
        <v>55</v>
      </c>
      <c r="X184" s="9" t="n">
        <v>140</v>
      </c>
      <c r="Y184" s="9" t="n">
        <v>410</v>
      </c>
      <c r="Z184" s="9" t="n">
        <f aca="false">U184-X184</f>
        <v>166.06</v>
      </c>
      <c r="AA184" s="10" t="n">
        <f aca="false">IFERROR((U184-X184)/X184,"")</f>
        <v>1.18614285714286</v>
      </c>
      <c r="AB184" s="8" t="str">
        <f aca="false">IF(ISNUMBER(AA184),IF(ABS(AA184)&gt;Assumptions!$B$19,"REVIEW",""),"")</f>
        <v>REVIEW</v>
      </c>
    </row>
    <row r="185" customFormat="false" ht="15" hidden="false" customHeight="false" outlineLevel="0" collapsed="false">
      <c r="A185" s="8" t="s">
        <v>243</v>
      </c>
      <c r="B185" s="8"/>
      <c r="C185" s="9" t="n">
        <v>20</v>
      </c>
      <c r="D185" s="9" t="n">
        <v>55</v>
      </c>
      <c r="E185" s="9" t="n">
        <v>130</v>
      </c>
      <c r="F185" s="9" t="n">
        <v>8</v>
      </c>
      <c r="G185" s="9" t="n">
        <v>4</v>
      </c>
      <c r="H185" s="9" t="n">
        <v>4</v>
      </c>
      <c r="I185" s="9" t="n">
        <v>0.5</v>
      </c>
      <c r="J185" s="9" t="n">
        <v>1.5</v>
      </c>
      <c r="K185" s="9" t="n">
        <f aca="false">C185+3*Assumptions!$B$4*F185+Assumptions!$B$7*G185+H185+I185</f>
        <v>52.5</v>
      </c>
      <c r="L185" s="9" t="n">
        <f aca="false">D185+3*Assumptions!$B$5*F185+Assumptions!$B$8*G185+H185+I185</f>
        <v>110.7</v>
      </c>
      <c r="M185" s="9" t="n">
        <f aca="false">E185+3*Assumptions!$B$6*F185+Assumptions!$B$9*G185+H185+I185</f>
        <v>234.5</v>
      </c>
      <c r="N185" s="9" t="n">
        <f aca="false">IF(AND(Assumptions!$B$17,ISNUMBER(J185)),Assumptions!$B$10*Assumptions!$B$13*J185,0)</f>
        <v>2.25</v>
      </c>
      <c r="O185" s="9" t="n">
        <f aca="false">IF(AND(Assumptions!$B$17,ISNUMBER(J185)),Assumptions!$B$11*Assumptions!$B$13*J185,0)</f>
        <v>4.5</v>
      </c>
      <c r="P185" s="9" t="n">
        <f aca="false">IF(AND(Assumptions!$B$17,ISNUMBER(J185)),Assumptions!$B$12*Assumptions!$B$13*J185,0)</f>
        <v>6.75</v>
      </c>
      <c r="Q185" s="9" t="n">
        <f aca="false">IF(Assumptions!$B$18,Assumptions!$B$14*K185,0)</f>
        <v>5.25</v>
      </c>
      <c r="R185" s="9" t="n">
        <f aca="false">IF(Assumptions!$B$18,Assumptions!$B$15*L185,0)</f>
        <v>22.14</v>
      </c>
      <c r="S185" s="9" t="n">
        <f aca="false">IF(Assumptions!$B$18,Assumptions!$B$16*M185,0)</f>
        <v>82.075</v>
      </c>
      <c r="T185" s="9" t="n">
        <f aca="false">K185+N185+Q185</f>
        <v>60</v>
      </c>
      <c r="U185" s="9" t="n">
        <f aca="false">L185+O185+R185</f>
        <v>137.34</v>
      </c>
      <c r="V185" s="9" t="n">
        <f aca="false">M185+P185+S185</f>
        <v>323.325</v>
      </c>
      <c r="W185" s="9" t="n">
        <v>40</v>
      </c>
      <c r="X185" s="9" t="n">
        <v>100</v>
      </c>
      <c r="Y185" s="9" t="n">
        <v>300</v>
      </c>
      <c r="Z185" s="9" t="n">
        <f aca="false">U185-X185</f>
        <v>37.34</v>
      </c>
      <c r="AA185" s="10" t="n">
        <f aca="false">IFERROR((U185-X185)/X185,"")</f>
        <v>0.3734</v>
      </c>
      <c r="AB185" s="8" t="str">
        <f aca="false">IF(ISNUMBER(AA185),IF(ABS(AA185)&gt;Assumptions!$B$19,"REVIEW",""),"")</f>
        <v>REVIEW</v>
      </c>
    </row>
    <row r="186" customFormat="false" ht="15" hidden="false" customHeight="false" outlineLevel="0" collapsed="false">
      <c r="A186" s="8" t="s">
        <v>244</v>
      </c>
      <c r="B186" s="8" t="s">
        <v>60</v>
      </c>
      <c r="C186" s="9" t="n">
        <v>20</v>
      </c>
      <c r="D186" s="9" t="n">
        <v>70</v>
      </c>
      <c r="E186" s="9" t="n">
        <v>150</v>
      </c>
      <c r="F186" s="9" t="n">
        <v>10</v>
      </c>
      <c r="G186" s="9" t="n">
        <v>4</v>
      </c>
      <c r="H186" s="9" t="n">
        <v>1.5</v>
      </c>
      <c r="I186" s="9" t="n">
        <v>0.5</v>
      </c>
      <c r="J186" s="9"/>
      <c r="K186" s="9" t="n">
        <f aca="false">C186+3*Assumptions!$B$4*F186+Assumptions!$B$7*G186+H186+I186</f>
        <v>56</v>
      </c>
      <c r="L186" s="9" t="n">
        <f aca="false">D186+3*Assumptions!$B$5*F186+Assumptions!$B$8*G186+H186+I186</f>
        <v>134</v>
      </c>
      <c r="M186" s="9" t="n">
        <f aca="false">E186+3*Assumptions!$B$6*F186+Assumptions!$B$9*G186+H186+I186</f>
        <v>273</v>
      </c>
      <c r="N186" s="9" t="n">
        <f aca="false">IF(AND(Assumptions!$B$17,ISNUMBER(J186)),Assumptions!$B$10*Assumptions!$B$13*J186,0)</f>
        <v>0</v>
      </c>
      <c r="O186" s="9" t="n">
        <f aca="false">IF(AND(Assumptions!$B$17,ISNUMBER(J186)),Assumptions!$B$11*Assumptions!$B$13*J186,0)</f>
        <v>0</v>
      </c>
      <c r="P186" s="9" t="n">
        <f aca="false">IF(AND(Assumptions!$B$17,ISNUMBER(J186)),Assumptions!$B$12*Assumptions!$B$13*J186,0)</f>
        <v>0</v>
      </c>
      <c r="Q186" s="9" t="n">
        <f aca="false">IF(Assumptions!$B$18,Assumptions!$B$14*K186,0)</f>
        <v>5.6</v>
      </c>
      <c r="R186" s="9" t="n">
        <f aca="false">IF(Assumptions!$B$18,Assumptions!$B$15*L186,0)</f>
        <v>26.8</v>
      </c>
      <c r="S186" s="9" t="n">
        <f aca="false">IF(Assumptions!$B$18,Assumptions!$B$16*M186,0)</f>
        <v>95.55</v>
      </c>
      <c r="T186" s="9" t="n">
        <f aca="false">K186+N186+Q186</f>
        <v>61.6</v>
      </c>
      <c r="U186" s="9" t="n">
        <f aca="false">L186+O186+R186</f>
        <v>160.8</v>
      </c>
      <c r="V186" s="9" t="n">
        <f aca="false">M186+P186+S186</f>
        <v>368.55</v>
      </c>
      <c r="W186" s="9" t="n">
        <v>35</v>
      </c>
      <c r="X186" s="9" t="n">
        <v>85</v>
      </c>
      <c r="Y186" s="9" t="n">
        <v>260</v>
      </c>
      <c r="Z186" s="9" t="n">
        <f aca="false">U186-X186</f>
        <v>75.8</v>
      </c>
      <c r="AA186" s="10" t="n">
        <f aca="false">IFERROR((U186-X186)/X186,"")</f>
        <v>0.891764705882353</v>
      </c>
      <c r="AB186" s="8" t="str">
        <f aca="false">IF(ISNUMBER(AA186),IF(ABS(AA186)&gt;Assumptions!$B$19,"REVIEW",""),"")</f>
        <v>REVIEW</v>
      </c>
    </row>
    <row r="187" customFormat="false" ht="15" hidden="false" customHeight="false" outlineLevel="0" collapsed="false">
      <c r="A187" s="8" t="s">
        <v>245</v>
      </c>
      <c r="B187" s="8"/>
      <c r="C187" s="9" t="n">
        <v>35</v>
      </c>
      <c r="D187" s="9" t="n">
        <v>90</v>
      </c>
      <c r="E187" s="9" t="n">
        <v>180</v>
      </c>
      <c r="F187" s="9" t="n">
        <v>12</v>
      </c>
      <c r="G187" s="9" t="n">
        <v>6</v>
      </c>
      <c r="H187" s="9" t="n">
        <v>3.5</v>
      </c>
      <c r="I187" s="9" t="n">
        <v>1.5</v>
      </c>
      <c r="J187" s="9" t="n">
        <v>5</v>
      </c>
      <c r="K187" s="9" t="n">
        <f aca="false">C187+3*Assumptions!$B$4*F187+Assumptions!$B$7*G187+H187+I187</f>
        <v>82</v>
      </c>
      <c r="L187" s="9" t="n">
        <f aca="false">D187+3*Assumptions!$B$5*F187+Assumptions!$B$8*G187+H187+I187</f>
        <v>171.8</v>
      </c>
      <c r="M187" s="9" t="n">
        <f aca="false">E187+3*Assumptions!$B$6*F187+Assumptions!$B$9*G187+H187+I187</f>
        <v>335</v>
      </c>
      <c r="N187" s="9" t="n">
        <f aca="false">IF(AND(Assumptions!$B$17,ISNUMBER(J187)),Assumptions!$B$10*Assumptions!$B$13*J187,0)</f>
        <v>7.5</v>
      </c>
      <c r="O187" s="9" t="n">
        <f aca="false">IF(AND(Assumptions!$B$17,ISNUMBER(J187)),Assumptions!$B$11*Assumptions!$B$13*J187,0)</f>
        <v>15</v>
      </c>
      <c r="P187" s="9" t="n">
        <f aca="false">IF(AND(Assumptions!$B$17,ISNUMBER(J187)),Assumptions!$B$12*Assumptions!$B$13*J187,0)</f>
        <v>22.5</v>
      </c>
      <c r="Q187" s="9" t="n">
        <f aca="false">IF(Assumptions!$B$18,Assumptions!$B$14*K187,0)</f>
        <v>8.2</v>
      </c>
      <c r="R187" s="9" t="n">
        <f aca="false">IF(Assumptions!$B$18,Assumptions!$B$15*L187,0)</f>
        <v>34.36</v>
      </c>
      <c r="S187" s="9" t="n">
        <f aca="false">IF(Assumptions!$B$18,Assumptions!$B$16*M187,0)</f>
        <v>117.25</v>
      </c>
      <c r="T187" s="9" t="n">
        <f aca="false">K187+N187+Q187</f>
        <v>97.7</v>
      </c>
      <c r="U187" s="9" t="n">
        <f aca="false">L187+O187+R187</f>
        <v>221.16</v>
      </c>
      <c r="V187" s="9" t="n">
        <f aca="false">M187+P187+S187</f>
        <v>474.75</v>
      </c>
      <c r="W187" s="9" t="n">
        <v>45</v>
      </c>
      <c r="X187" s="9" t="n">
        <v>105</v>
      </c>
      <c r="Y187" s="9" t="n">
        <v>310</v>
      </c>
      <c r="Z187" s="9" t="n">
        <f aca="false">U187-X187</f>
        <v>116.16</v>
      </c>
      <c r="AA187" s="10" t="n">
        <f aca="false">IFERROR((U187-X187)/X187,"")</f>
        <v>1.10628571428571</v>
      </c>
      <c r="AB187" s="8" t="str">
        <f aca="false">IF(ISNUMBER(AA187),IF(ABS(AA187)&gt;Assumptions!$B$19,"REVIEW",""),"")</f>
        <v>REVIEW</v>
      </c>
    </row>
    <row r="188" customFormat="false" ht="15" hidden="false" customHeight="false" outlineLevel="0" collapsed="false">
      <c r="A188" s="8" t="s">
        <v>246</v>
      </c>
      <c r="B188" s="8"/>
      <c r="C188" s="9" t="n">
        <v>60</v>
      </c>
      <c r="D188" s="9" t="n">
        <v>120</v>
      </c>
      <c r="E188" s="9" t="n">
        <v>280</v>
      </c>
      <c r="F188" s="9" t="n">
        <v>22</v>
      </c>
      <c r="G188" s="9" t="n">
        <v>28</v>
      </c>
      <c r="H188" s="9" t="n">
        <v>5</v>
      </c>
      <c r="I188" s="9" t="n">
        <v>2</v>
      </c>
      <c r="J188" s="9" t="n">
        <v>6</v>
      </c>
      <c r="K188" s="9" t="n">
        <f aca="false">C188+3*Assumptions!$B$4*F188+Assumptions!$B$7*G188+H188+I188</f>
        <v>161</v>
      </c>
      <c r="L188" s="9" t="n">
        <f aca="false">D188+3*Assumptions!$B$5*F188+Assumptions!$B$8*G188+H188+I188</f>
        <v>301.8</v>
      </c>
      <c r="M188" s="9" t="n">
        <f aca="false">E188+3*Assumptions!$B$6*F188+Assumptions!$B$9*G188+H188+I188</f>
        <v>630</v>
      </c>
      <c r="N188" s="9" t="n">
        <f aca="false">IF(AND(Assumptions!$B$17,ISNUMBER(J188)),Assumptions!$B$10*Assumptions!$B$13*J188,0)</f>
        <v>9</v>
      </c>
      <c r="O188" s="9" t="n">
        <f aca="false">IF(AND(Assumptions!$B$17,ISNUMBER(J188)),Assumptions!$B$11*Assumptions!$B$13*J188,0)</f>
        <v>18</v>
      </c>
      <c r="P188" s="9" t="n">
        <f aca="false">IF(AND(Assumptions!$B$17,ISNUMBER(J188)),Assumptions!$B$12*Assumptions!$B$13*J188,0)</f>
        <v>27</v>
      </c>
      <c r="Q188" s="9" t="n">
        <f aca="false">IF(Assumptions!$B$18,Assumptions!$B$14*K188,0)</f>
        <v>16.1</v>
      </c>
      <c r="R188" s="9" t="n">
        <f aca="false">IF(Assumptions!$B$18,Assumptions!$B$15*L188,0)</f>
        <v>60.36</v>
      </c>
      <c r="S188" s="9" t="n">
        <f aca="false">IF(Assumptions!$B$18,Assumptions!$B$16*M188,0)</f>
        <v>220.5</v>
      </c>
      <c r="T188" s="9" t="n">
        <f aca="false">K188+N188+Q188</f>
        <v>186.1</v>
      </c>
      <c r="U188" s="9" t="n">
        <f aca="false">L188+O188+R188</f>
        <v>380.16</v>
      </c>
      <c r="V188" s="9" t="n">
        <f aca="false">M188+P188+S188</f>
        <v>877.5</v>
      </c>
      <c r="W188" s="9" t="n">
        <v>85</v>
      </c>
      <c r="X188" s="9" t="n">
        <v>210</v>
      </c>
      <c r="Y188" s="9" t="n">
        <v>550</v>
      </c>
      <c r="Z188" s="9" t="n">
        <f aca="false">U188-X188</f>
        <v>170.16</v>
      </c>
      <c r="AA188" s="10" t="n">
        <f aca="false">IFERROR((U188-X188)/X188,"")</f>
        <v>0.810285714285714</v>
      </c>
      <c r="AB188" s="8" t="str">
        <f aca="false">IF(ISNUMBER(AA188),IF(ABS(AA188)&gt;Assumptions!$B$19,"REVIEW",""),"")</f>
        <v>REVIEW</v>
      </c>
    </row>
    <row r="189" customFormat="false" ht="15" hidden="false" customHeight="false" outlineLevel="0" collapsed="false">
      <c r="A189" s="8" t="s">
        <v>247</v>
      </c>
      <c r="B189" s="8"/>
      <c r="C189" s="9" t="n">
        <v>40</v>
      </c>
      <c r="D189" s="9" t="n">
        <v>90</v>
      </c>
      <c r="E189" s="9" t="n">
        <v>240</v>
      </c>
      <c r="F189" s="9" t="n">
        <v>14</v>
      </c>
      <c r="G189" s="9" t="n">
        <v>22</v>
      </c>
      <c r="H189" s="9" t="n">
        <v>3.5</v>
      </c>
      <c r="I189" s="9" t="n">
        <v>1</v>
      </c>
      <c r="J189" s="9" t="n">
        <v>5</v>
      </c>
      <c r="K189" s="9" t="n">
        <f aca="false">C189+3*Assumptions!$B$4*F189+Assumptions!$B$7*G189+H189+I189</f>
        <v>108.5</v>
      </c>
      <c r="L189" s="9" t="n">
        <f aca="false">D189+3*Assumptions!$B$5*F189+Assumptions!$B$8*G189+H189+I189</f>
        <v>214.1</v>
      </c>
      <c r="M189" s="9" t="n">
        <f aca="false">E189+3*Assumptions!$B$6*F189+Assumptions!$B$9*G189+H189+I189</f>
        <v>479.5</v>
      </c>
      <c r="N189" s="9" t="n">
        <f aca="false">IF(AND(Assumptions!$B$17,ISNUMBER(J189)),Assumptions!$B$10*Assumptions!$B$13*J189,0)</f>
        <v>7.5</v>
      </c>
      <c r="O189" s="9" t="n">
        <f aca="false">IF(AND(Assumptions!$B$17,ISNUMBER(J189)),Assumptions!$B$11*Assumptions!$B$13*J189,0)</f>
        <v>15</v>
      </c>
      <c r="P189" s="9" t="n">
        <f aca="false">IF(AND(Assumptions!$B$17,ISNUMBER(J189)),Assumptions!$B$12*Assumptions!$B$13*J189,0)</f>
        <v>22.5</v>
      </c>
      <c r="Q189" s="9" t="n">
        <f aca="false">IF(Assumptions!$B$18,Assumptions!$B$14*K189,0)</f>
        <v>10.85</v>
      </c>
      <c r="R189" s="9" t="n">
        <f aca="false">IF(Assumptions!$B$18,Assumptions!$B$15*L189,0)</f>
        <v>42.82</v>
      </c>
      <c r="S189" s="9" t="n">
        <f aca="false">IF(Assumptions!$B$18,Assumptions!$B$16*M189,0)</f>
        <v>167.825</v>
      </c>
      <c r="T189" s="9" t="n">
        <f aca="false">K189+N189+Q189</f>
        <v>126.85</v>
      </c>
      <c r="U189" s="9" t="n">
        <f aca="false">L189+O189+R189</f>
        <v>271.92</v>
      </c>
      <c r="V189" s="9" t="n">
        <f aca="false">M189+P189+S189</f>
        <v>669.825</v>
      </c>
      <c r="W189" s="9" t="n">
        <v>60</v>
      </c>
      <c r="X189" s="9" t="n">
        <v>140</v>
      </c>
      <c r="Y189" s="9" t="n">
        <v>380</v>
      </c>
      <c r="Z189" s="9" t="n">
        <f aca="false">U189-X189</f>
        <v>131.92</v>
      </c>
      <c r="AA189" s="10" t="n">
        <f aca="false">IFERROR((U189-X189)/X189,"")</f>
        <v>0.942285714285714</v>
      </c>
      <c r="AB189" s="8" t="str">
        <f aca="false">IF(ISNUMBER(AA189),IF(ABS(AA189)&gt;Assumptions!$B$19,"REVIEW",""),"")</f>
        <v>REVIEW</v>
      </c>
    </row>
    <row r="190" customFormat="false" ht="15" hidden="false" customHeight="false" outlineLevel="0" collapsed="false">
      <c r="A190" s="8" t="s">
        <v>248</v>
      </c>
      <c r="B190" s="8"/>
      <c r="C190" s="9" t="n">
        <v>110</v>
      </c>
      <c r="D190" s="9" t="n">
        <v>190</v>
      </c>
      <c r="E190" s="9" t="n">
        <v>420</v>
      </c>
      <c r="F190" s="9" t="n">
        <v>35</v>
      </c>
      <c r="G190" s="9" t="n">
        <v>45</v>
      </c>
      <c r="H190" s="9" t="n">
        <v>5</v>
      </c>
      <c r="I190" s="9" t="n">
        <v>3</v>
      </c>
      <c r="J190" s="9" t="n">
        <v>9</v>
      </c>
      <c r="K190" s="9" t="n">
        <f aca="false">C190+3*Assumptions!$B$4*F190+Assumptions!$B$7*G190+H190+I190</f>
        <v>268</v>
      </c>
      <c r="L190" s="9" t="n">
        <f aca="false">D190+3*Assumptions!$B$5*F190+Assumptions!$B$8*G190+H190+I190</f>
        <v>477</v>
      </c>
      <c r="M190" s="9" t="n">
        <f aca="false">E190+3*Assumptions!$B$6*F190+Assumptions!$B$9*G190+H190+I190</f>
        <v>975.5</v>
      </c>
      <c r="N190" s="9" t="n">
        <f aca="false">IF(AND(Assumptions!$B$17,ISNUMBER(J190)),Assumptions!$B$10*Assumptions!$B$13*J190,0)</f>
        <v>13.5</v>
      </c>
      <c r="O190" s="9" t="n">
        <f aca="false">IF(AND(Assumptions!$B$17,ISNUMBER(J190)),Assumptions!$B$11*Assumptions!$B$13*J190,0)</f>
        <v>27</v>
      </c>
      <c r="P190" s="9" t="n">
        <f aca="false">IF(AND(Assumptions!$B$17,ISNUMBER(J190)),Assumptions!$B$12*Assumptions!$B$13*J190,0)</f>
        <v>40.5</v>
      </c>
      <c r="Q190" s="9" t="n">
        <f aca="false">IF(Assumptions!$B$18,Assumptions!$B$14*K190,0)</f>
        <v>26.8</v>
      </c>
      <c r="R190" s="9" t="n">
        <f aca="false">IF(Assumptions!$B$18,Assumptions!$B$15*L190,0)</f>
        <v>95.4</v>
      </c>
      <c r="S190" s="9" t="n">
        <f aca="false">IF(Assumptions!$B$18,Assumptions!$B$16*M190,0)</f>
        <v>341.425</v>
      </c>
      <c r="T190" s="9" t="n">
        <f aca="false">K190+N190+Q190</f>
        <v>308.3</v>
      </c>
      <c r="U190" s="9" t="n">
        <f aca="false">L190+O190+R190</f>
        <v>599.4</v>
      </c>
      <c r="V190" s="9" t="n">
        <f aca="false">M190+P190+S190</f>
        <v>1357.425</v>
      </c>
      <c r="W190" s="9" t="n">
        <v>100</v>
      </c>
      <c r="X190" s="9" t="n">
        <v>240</v>
      </c>
      <c r="Y190" s="9" t="n">
        <v>650</v>
      </c>
      <c r="Z190" s="9" t="n">
        <f aca="false">U190-X190</f>
        <v>359.4</v>
      </c>
      <c r="AA190" s="10" t="n">
        <f aca="false">IFERROR((U190-X190)/X190,"")</f>
        <v>1.4975</v>
      </c>
      <c r="AB190" s="8" t="str">
        <f aca="false">IF(ISNUMBER(AA190),IF(ABS(AA190)&gt;Assumptions!$B$19,"REVIEW",""),"")</f>
        <v>REVIEW</v>
      </c>
    </row>
    <row r="191" customFormat="false" ht="15" hidden="false" customHeight="false" outlineLevel="0" collapsed="false">
      <c r="A191" s="8" t="s">
        <v>249</v>
      </c>
      <c r="B191" s="8"/>
      <c r="C191" s="9" t="n">
        <v>20</v>
      </c>
      <c r="D191" s="9" t="n">
        <v>60</v>
      </c>
      <c r="E191" s="9" t="n">
        <v>150</v>
      </c>
      <c r="F191" s="9" t="n">
        <v>8</v>
      </c>
      <c r="G191" s="9" t="n">
        <v>3</v>
      </c>
      <c r="H191" s="9" t="n">
        <v>2</v>
      </c>
      <c r="I191" s="9" t="n">
        <v>0.8</v>
      </c>
      <c r="J191" s="9" t="n">
        <v>1.5</v>
      </c>
      <c r="K191" s="9" t="n">
        <f aca="false">C191+3*Assumptions!$B$4*F191+Assumptions!$B$7*G191+H191+I191</f>
        <v>49.8</v>
      </c>
      <c r="L191" s="9" t="n">
        <f aca="false">D191+3*Assumptions!$B$5*F191+Assumptions!$B$8*G191+H191+I191</f>
        <v>112</v>
      </c>
      <c r="M191" s="9" t="n">
        <f aca="false">E191+3*Assumptions!$B$6*F191+Assumptions!$B$9*G191+H191+I191</f>
        <v>248.8</v>
      </c>
      <c r="N191" s="9" t="n">
        <f aca="false">IF(AND(Assumptions!$B$17,ISNUMBER(J191)),Assumptions!$B$10*Assumptions!$B$13*J191,0)</f>
        <v>2.25</v>
      </c>
      <c r="O191" s="9" t="n">
        <f aca="false">IF(AND(Assumptions!$B$17,ISNUMBER(J191)),Assumptions!$B$11*Assumptions!$B$13*J191,0)</f>
        <v>4.5</v>
      </c>
      <c r="P191" s="9" t="n">
        <f aca="false">IF(AND(Assumptions!$B$17,ISNUMBER(J191)),Assumptions!$B$12*Assumptions!$B$13*J191,0)</f>
        <v>6.75</v>
      </c>
      <c r="Q191" s="9" t="n">
        <f aca="false">IF(Assumptions!$B$18,Assumptions!$B$14*K191,0)</f>
        <v>4.98</v>
      </c>
      <c r="R191" s="9" t="n">
        <f aca="false">IF(Assumptions!$B$18,Assumptions!$B$15*L191,0)</f>
        <v>22.4</v>
      </c>
      <c r="S191" s="9" t="n">
        <f aca="false">IF(Assumptions!$B$18,Assumptions!$B$16*M191,0)</f>
        <v>87.08</v>
      </c>
      <c r="T191" s="9" t="n">
        <f aca="false">K191+N191+Q191</f>
        <v>57.03</v>
      </c>
      <c r="U191" s="9" t="n">
        <f aca="false">L191+O191+R191</f>
        <v>138.9</v>
      </c>
      <c r="V191" s="9" t="n">
        <f aca="false">M191+P191+S191</f>
        <v>342.63</v>
      </c>
      <c r="W191" s="9" t="n">
        <v>35</v>
      </c>
      <c r="X191" s="9" t="n">
        <v>80</v>
      </c>
      <c r="Y191" s="9" t="n">
        <v>245</v>
      </c>
      <c r="Z191" s="9" t="n">
        <f aca="false">U191-X191</f>
        <v>58.9</v>
      </c>
      <c r="AA191" s="10" t="n">
        <f aca="false">IFERROR((U191-X191)/X191,"")</f>
        <v>0.73625</v>
      </c>
      <c r="AB191" s="8" t="str">
        <f aca="false">IF(ISNUMBER(AA191),IF(ABS(AA191)&gt;Assumptions!$B$19,"REVIEW",""),"")</f>
        <v>REVIEW</v>
      </c>
    </row>
    <row r="192" customFormat="false" ht="15" hidden="false" customHeight="false" outlineLevel="0" collapsed="false">
      <c r="A192" s="8" t="s">
        <v>250</v>
      </c>
      <c r="B192" s="8"/>
      <c r="C192" s="9" t="n">
        <v>70</v>
      </c>
      <c r="D192" s="9" t="n">
        <v>130</v>
      </c>
      <c r="E192" s="9" t="n">
        <v>350</v>
      </c>
      <c r="F192" s="9" t="n">
        <v>25</v>
      </c>
      <c r="G192" s="9" t="n">
        <v>20</v>
      </c>
      <c r="H192" s="9" t="n">
        <v>2.5</v>
      </c>
      <c r="I192" s="9" t="n">
        <v>1.5</v>
      </c>
      <c r="J192" s="9" t="n">
        <v>3.5</v>
      </c>
      <c r="K192" s="9" t="n">
        <f aca="false">C192+3*Assumptions!$B$4*F192+Assumptions!$B$7*G192+H192+I192</f>
        <v>169</v>
      </c>
      <c r="L192" s="9" t="n">
        <f aca="false">D192+3*Assumptions!$B$5*F192+Assumptions!$B$8*G192+H192+I192</f>
        <v>309</v>
      </c>
      <c r="M192" s="9" t="n">
        <f aca="false">E192+3*Assumptions!$B$6*F192+Assumptions!$B$9*G192+H192+I192</f>
        <v>696.5</v>
      </c>
      <c r="N192" s="9" t="n">
        <f aca="false">IF(AND(Assumptions!$B$17,ISNUMBER(J192)),Assumptions!$B$10*Assumptions!$B$13*J192,0)</f>
        <v>5.25</v>
      </c>
      <c r="O192" s="9" t="n">
        <f aca="false">IF(AND(Assumptions!$B$17,ISNUMBER(J192)),Assumptions!$B$11*Assumptions!$B$13*J192,0)</f>
        <v>10.5</v>
      </c>
      <c r="P192" s="9" t="n">
        <f aca="false">IF(AND(Assumptions!$B$17,ISNUMBER(J192)),Assumptions!$B$12*Assumptions!$B$13*J192,0)</f>
        <v>15.75</v>
      </c>
      <c r="Q192" s="9" t="n">
        <f aca="false">IF(Assumptions!$B$18,Assumptions!$B$14*K192,0)</f>
        <v>16.9</v>
      </c>
      <c r="R192" s="9" t="n">
        <f aca="false">IF(Assumptions!$B$18,Assumptions!$B$15*L192,0)</f>
        <v>61.8</v>
      </c>
      <c r="S192" s="9" t="n">
        <f aca="false">IF(Assumptions!$B$18,Assumptions!$B$16*M192,0)</f>
        <v>243.775</v>
      </c>
      <c r="T192" s="9" t="n">
        <f aca="false">K192+N192+Q192</f>
        <v>191.15</v>
      </c>
      <c r="U192" s="9" t="n">
        <f aca="false">L192+O192+R192</f>
        <v>381.3</v>
      </c>
      <c r="V192" s="9" t="n">
        <f aca="false">M192+P192+S192</f>
        <v>956.025</v>
      </c>
      <c r="W192" s="9" t="n">
        <v>75</v>
      </c>
      <c r="X192" s="9" t="n">
        <v>180</v>
      </c>
      <c r="Y192" s="9" t="n">
        <v>500</v>
      </c>
      <c r="Z192" s="9" t="n">
        <f aca="false">U192-X192</f>
        <v>201.3</v>
      </c>
      <c r="AA192" s="10" t="n">
        <f aca="false">IFERROR((U192-X192)/X192,"")</f>
        <v>1.11833333333333</v>
      </c>
      <c r="AB192" s="8" t="str">
        <f aca="false">IF(ISNUMBER(AA192),IF(ABS(AA192)&gt;Assumptions!$B$19,"REVIEW",""),"")</f>
        <v>REVIEW</v>
      </c>
    </row>
    <row r="193" customFormat="false" ht="15" hidden="false" customHeight="false" outlineLevel="0" collapsed="false">
      <c r="A193" s="8" t="s">
        <v>251</v>
      </c>
      <c r="B193" s="8"/>
      <c r="C193" s="9" t="n">
        <v>35</v>
      </c>
      <c r="D193" s="9" t="n">
        <v>95</v>
      </c>
      <c r="E193" s="9" t="n">
        <v>280</v>
      </c>
      <c r="F193" s="9" t="n">
        <v>16</v>
      </c>
      <c r="G193" s="9" t="n">
        <v>6</v>
      </c>
      <c r="H193" s="9" t="n">
        <v>2.5</v>
      </c>
      <c r="I193" s="9" t="n">
        <v>1</v>
      </c>
      <c r="J193" s="9" t="n">
        <v>3</v>
      </c>
      <c r="K193" s="9" t="n">
        <f aca="false">C193+3*Assumptions!$B$4*F193+Assumptions!$B$7*G193+H193+I193</f>
        <v>92.5</v>
      </c>
      <c r="L193" s="9" t="n">
        <f aca="false">D193+3*Assumptions!$B$5*F193+Assumptions!$B$8*G193+H193+I193</f>
        <v>196.9</v>
      </c>
      <c r="M193" s="9" t="n">
        <f aca="false">E193+3*Assumptions!$B$6*F193+Assumptions!$B$9*G193+H193+I193</f>
        <v>475.5</v>
      </c>
      <c r="N193" s="9" t="n">
        <f aca="false">IF(AND(Assumptions!$B$17,ISNUMBER(J193)),Assumptions!$B$10*Assumptions!$B$13*J193,0)</f>
        <v>4.5</v>
      </c>
      <c r="O193" s="9" t="n">
        <f aca="false">IF(AND(Assumptions!$B$17,ISNUMBER(J193)),Assumptions!$B$11*Assumptions!$B$13*J193,0)</f>
        <v>9</v>
      </c>
      <c r="P193" s="9" t="n">
        <f aca="false">IF(AND(Assumptions!$B$17,ISNUMBER(J193)),Assumptions!$B$12*Assumptions!$B$13*J193,0)</f>
        <v>13.5</v>
      </c>
      <c r="Q193" s="9" t="n">
        <f aca="false">IF(Assumptions!$B$18,Assumptions!$B$14*K193,0)</f>
        <v>9.25</v>
      </c>
      <c r="R193" s="9" t="n">
        <f aca="false">IF(Assumptions!$B$18,Assumptions!$B$15*L193,0)</f>
        <v>39.38</v>
      </c>
      <c r="S193" s="9" t="n">
        <f aca="false">IF(Assumptions!$B$18,Assumptions!$B$16*M193,0)</f>
        <v>166.425</v>
      </c>
      <c r="T193" s="9" t="n">
        <f aca="false">K193+N193+Q193</f>
        <v>106.25</v>
      </c>
      <c r="U193" s="9" t="n">
        <f aca="false">L193+O193+R193</f>
        <v>245.28</v>
      </c>
      <c r="V193" s="9" t="n">
        <f aca="false">M193+P193+S193</f>
        <v>655.425</v>
      </c>
      <c r="W193" s="9" t="n">
        <v>50</v>
      </c>
      <c r="X193" s="9" t="n">
        <v>130</v>
      </c>
      <c r="Y193" s="9" t="n">
        <v>385</v>
      </c>
      <c r="Z193" s="9" t="n">
        <f aca="false">U193-X193</f>
        <v>115.28</v>
      </c>
      <c r="AA193" s="10" t="n">
        <f aca="false">IFERROR((U193-X193)/X193,"")</f>
        <v>0.886769230769231</v>
      </c>
      <c r="AB193" s="8" t="str">
        <f aca="false">IF(ISNUMBER(AA193),IF(ABS(AA193)&gt;Assumptions!$B$19,"REVIEW",""),"")</f>
        <v>REVIEW</v>
      </c>
    </row>
    <row r="194" customFormat="false" ht="15" hidden="false" customHeight="false" outlineLevel="0" collapsed="false">
      <c r="A194" s="8" t="s">
        <v>252</v>
      </c>
      <c r="B194" s="8"/>
      <c r="C194" s="9" t="n">
        <v>35</v>
      </c>
      <c r="D194" s="9" t="n">
        <v>90</v>
      </c>
      <c r="E194" s="9" t="n">
        <v>180</v>
      </c>
      <c r="F194" s="9" t="n">
        <v>12</v>
      </c>
      <c r="G194" s="9" t="n">
        <v>6</v>
      </c>
      <c r="H194" s="9" t="n">
        <v>2.8</v>
      </c>
      <c r="I194" s="9" t="n">
        <v>0.85</v>
      </c>
      <c r="J194" s="9" t="n">
        <v>2.7</v>
      </c>
      <c r="K194" s="9" t="n">
        <f aca="false">C194+3*Assumptions!$B$4*F194+Assumptions!$B$7*G194+H194+I194</f>
        <v>80.65</v>
      </c>
      <c r="L194" s="9" t="n">
        <f aca="false">D194+3*Assumptions!$B$5*F194+Assumptions!$B$8*G194+H194+I194</f>
        <v>170.45</v>
      </c>
      <c r="M194" s="9" t="n">
        <f aca="false">E194+3*Assumptions!$B$6*F194+Assumptions!$B$9*G194+H194+I194</f>
        <v>333.65</v>
      </c>
      <c r="N194" s="9" t="n">
        <f aca="false">IF(AND(Assumptions!$B$17,ISNUMBER(J194)),Assumptions!$B$10*Assumptions!$B$13*J194,0)</f>
        <v>4.05</v>
      </c>
      <c r="O194" s="9" t="n">
        <f aca="false">IF(AND(Assumptions!$B$17,ISNUMBER(J194)),Assumptions!$B$11*Assumptions!$B$13*J194,0)</f>
        <v>8.1</v>
      </c>
      <c r="P194" s="9" t="n">
        <f aca="false">IF(AND(Assumptions!$B$17,ISNUMBER(J194)),Assumptions!$B$12*Assumptions!$B$13*J194,0)</f>
        <v>12.15</v>
      </c>
      <c r="Q194" s="9" t="n">
        <f aca="false">IF(Assumptions!$B$18,Assumptions!$B$14*K194,0)</f>
        <v>8.065</v>
      </c>
      <c r="R194" s="9" t="n">
        <f aca="false">IF(Assumptions!$B$18,Assumptions!$B$15*L194,0)</f>
        <v>34.09</v>
      </c>
      <c r="S194" s="9" t="n">
        <f aca="false">IF(Assumptions!$B$18,Assumptions!$B$16*M194,0)</f>
        <v>116.7775</v>
      </c>
      <c r="T194" s="9" t="n">
        <f aca="false">K194+N194+Q194</f>
        <v>92.765</v>
      </c>
      <c r="U194" s="9" t="n">
        <f aca="false">L194+O194+R194</f>
        <v>212.64</v>
      </c>
      <c r="V194" s="9" t="n">
        <f aca="false">M194+P194+S194</f>
        <v>462.5775</v>
      </c>
      <c r="W194" s="9" t="n">
        <v>45</v>
      </c>
      <c r="X194" s="9" t="n">
        <v>105</v>
      </c>
      <c r="Y194" s="9" t="n">
        <v>310</v>
      </c>
      <c r="Z194" s="9" t="n">
        <f aca="false">U194-X194</f>
        <v>107.64</v>
      </c>
      <c r="AA194" s="10" t="n">
        <f aca="false">IFERROR((U194-X194)/X194,"")</f>
        <v>1.02514285714286</v>
      </c>
      <c r="AB194" s="8" t="str">
        <f aca="false">IF(ISNUMBER(AA194),IF(ABS(AA194)&gt;Assumptions!$B$19,"REVIEW",""),"")</f>
        <v>REVIEW</v>
      </c>
    </row>
    <row r="195" customFormat="false" ht="15" hidden="false" customHeight="false" outlineLevel="0" collapsed="false">
      <c r="A195" s="8" t="s">
        <v>253</v>
      </c>
      <c r="B195" s="8"/>
      <c r="C195" s="9" t="n">
        <v>75</v>
      </c>
      <c r="D195" s="9" t="n">
        <v>150</v>
      </c>
      <c r="E195" s="9" t="n">
        <v>400</v>
      </c>
      <c r="F195" s="9" t="n">
        <v>28</v>
      </c>
      <c r="G195" s="9" t="n">
        <v>20</v>
      </c>
      <c r="H195" s="9" t="n">
        <v>3.5</v>
      </c>
      <c r="I195" s="9" t="n">
        <v>1.5</v>
      </c>
      <c r="J195" s="9" t="n">
        <v>7</v>
      </c>
      <c r="K195" s="9" t="n">
        <f aca="false">C195+3*Assumptions!$B$4*F195+Assumptions!$B$7*G195+H195+I195</f>
        <v>184</v>
      </c>
      <c r="L195" s="9" t="n">
        <f aca="false">D195+3*Assumptions!$B$5*F195+Assumptions!$B$8*G195+H195+I195</f>
        <v>346.2</v>
      </c>
      <c r="M195" s="9" t="n">
        <f aca="false">E195+3*Assumptions!$B$6*F195+Assumptions!$B$9*G195+H195+I195</f>
        <v>779</v>
      </c>
      <c r="N195" s="9" t="n">
        <f aca="false">IF(AND(Assumptions!$B$17,ISNUMBER(J195)),Assumptions!$B$10*Assumptions!$B$13*J195,0)</f>
        <v>10.5</v>
      </c>
      <c r="O195" s="9" t="n">
        <f aca="false">IF(AND(Assumptions!$B$17,ISNUMBER(J195)),Assumptions!$B$11*Assumptions!$B$13*J195,0)</f>
        <v>21</v>
      </c>
      <c r="P195" s="9" t="n">
        <f aca="false">IF(AND(Assumptions!$B$17,ISNUMBER(J195)),Assumptions!$B$12*Assumptions!$B$13*J195,0)</f>
        <v>31.5</v>
      </c>
      <c r="Q195" s="9" t="n">
        <f aca="false">IF(Assumptions!$B$18,Assumptions!$B$14*K195,0)</f>
        <v>18.4</v>
      </c>
      <c r="R195" s="9" t="n">
        <f aca="false">IF(Assumptions!$B$18,Assumptions!$B$15*L195,0)</f>
        <v>69.24</v>
      </c>
      <c r="S195" s="9" t="n">
        <f aca="false">IF(Assumptions!$B$18,Assumptions!$B$16*M195,0)</f>
        <v>272.65</v>
      </c>
      <c r="T195" s="9" t="n">
        <f aca="false">K195+N195+Q195</f>
        <v>212.9</v>
      </c>
      <c r="U195" s="9" t="n">
        <f aca="false">L195+O195+R195</f>
        <v>436.44</v>
      </c>
      <c r="V195" s="9" t="n">
        <f aca="false">M195+P195+S195</f>
        <v>1083.15</v>
      </c>
      <c r="W195" s="9" t="n">
        <v>100</v>
      </c>
      <c r="X195" s="9" t="n">
        <v>250</v>
      </c>
      <c r="Y195" s="9" t="n">
        <v>700</v>
      </c>
      <c r="Z195" s="9" t="n">
        <f aca="false">U195-X195</f>
        <v>186.44</v>
      </c>
      <c r="AA195" s="10" t="n">
        <f aca="false">IFERROR((U195-X195)/X195,"")</f>
        <v>0.74576</v>
      </c>
      <c r="AB195" s="8" t="str">
        <f aca="false">IF(ISNUMBER(AA195),IF(ABS(AA195)&gt;Assumptions!$B$19,"REVIEW",""),"")</f>
        <v>REVIEW</v>
      </c>
    </row>
    <row r="196" customFormat="false" ht="15" hidden="false" customHeight="false" outlineLevel="0" collapsed="false">
      <c r="A196" s="8" t="s">
        <v>254</v>
      </c>
      <c r="B196" s="8"/>
      <c r="C196" s="9" t="n">
        <v>20</v>
      </c>
      <c r="D196" s="9" t="n">
        <v>45</v>
      </c>
      <c r="E196" s="9" t="n">
        <v>180</v>
      </c>
      <c r="F196" s="9" t="n">
        <v>8</v>
      </c>
      <c r="G196" s="9" t="n">
        <v>10</v>
      </c>
      <c r="H196" s="9" t="n">
        <v>2.5</v>
      </c>
      <c r="I196" s="9" t="n">
        <v>0.3</v>
      </c>
      <c r="J196" s="9" t="n">
        <v>2</v>
      </c>
      <c r="K196" s="9" t="n">
        <f aca="false">C196+3*Assumptions!$B$4*F196+Assumptions!$B$7*G196+H196+I196</f>
        <v>56.8</v>
      </c>
      <c r="L196" s="9" t="n">
        <f aca="false">D196+3*Assumptions!$B$5*F196+Assumptions!$B$8*G196+H196+I196</f>
        <v>111</v>
      </c>
      <c r="M196" s="9" t="n">
        <f aca="false">E196+3*Assumptions!$B$6*F196+Assumptions!$B$9*G196+H196+I196</f>
        <v>306.8</v>
      </c>
      <c r="N196" s="9" t="n">
        <f aca="false">IF(AND(Assumptions!$B$17,ISNUMBER(J196)),Assumptions!$B$10*Assumptions!$B$13*J196,0)</f>
        <v>3</v>
      </c>
      <c r="O196" s="9" t="n">
        <f aca="false">IF(AND(Assumptions!$B$17,ISNUMBER(J196)),Assumptions!$B$11*Assumptions!$B$13*J196,0)</f>
        <v>6</v>
      </c>
      <c r="P196" s="9" t="n">
        <f aca="false">IF(AND(Assumptions!$B$17,ISNUMBER(J196)),Assumptions!$B$12*Assumptions!$B$13*J196,0)</f>
        <v>9</v>
      </c>
      <c r="Q196" s="9" t="n">
        <f aca="false">IF(Assumptions!$B$18,Assumptions!$B$14*K196,0)</f>
        <v>5.68</v>
      </c>
      <c r="R196" s="9" t="n">
        <f aca="false">IF(Assumptions!$B$18,Assumptions!$B$15*L196,0)</f>
        <v>22.2</v>
      </c>
      <c r="S196" s="9" t="n">
        <f aca="false">IF(Assumptions!$B$18,Assumptions!$B$16*M196,0)</f>
        <v>107.38</v>
      </c>
      <c r="T196" s="9" t="n">
        <f aca="false">K196+N196+Q196</f>
        <v>65.48</v>
      </c>
      <c r="U196" s="9" t="n">
        <f aca="false">L196+O196+R196</f>
        <v>139.2</v>
      </c>
      <c r="V196" s="9" t="n">
        <f aca="false">M196+P196+S196</f>
        <v>423.18</v>
      </c>
      <c r="W196" s="9" t="n">
        <v>35</v>
      </c>
      <c r="X196" s="9" t="n">
        <v>85</v>
      </c>
      <c r="Y196" s="9" t="n">
        <v>250</v>
      </c>
      <c r="Z196" s="9" t="n">
        <f aca="false">U196-X196</f>
        <v>54.2</v>
      </c>
      <c r="AA196" s="10" t="n">
        <f aca="false">IFERROR((U196-X196)/X196,"")</f>
        <v>0.637647058823529</v>
      </c>
      <c r="AB196" s="8" t="str">
        <f aca="false">IF(ISNUMBER(AA196),IF(ABS(AA196)&gt;Assumptions!$B$19,"REVIEW",""),"")</f>
        <v>REVIEW</v>
      </c>
    </row>
    <row r="197" customFormat="false" ht="15" hidden="false" customHeight="false" outlineLevel="0" collapsed="false">
      <c r="A197" s="8" t="s">
        <v>255</v>
      </c>
      <c r="B197" s="8"/>
      <c r="C197" s="9" t="n">
        <v>22</v>
      </c>
      <c r="D197" s="9" t="n">
        <v>55</v>
      </c>
      <c r="E197" s="9" t="n">
        <v>200</v>
      </c>
      <c r="F197" s="9" t="n">
        <v>10</v>
      </c>
      <c r="G197" s="9" t="n">
        <v>12</v>
      </c>
      <c r="H197" s="9" t="n">
        <v>2.5</v>
      </c>
      <c r="I197" s="9" t="n">
        <v>0.5</v>
      </c>
      <c r="J197" s="9" t="n">
        <v>3</v>
      </c>
      <c r="K197" s="9" t="n">
        <f aca="false">C197+3*Assumptions!$B$4*F197+Assumptions!$B$7*G197+H197+I197</f>
        <v>67</v>
      </c>
      <c r="L197" s="9" t="n">
        <f aca="false">D197+3*Assumptions!$B$5*F197+Assumptions!$B$8*G197+H197+I197</f>
        <v>136</v>
      </c>
      <c r="M197" s="9" t="n">
        <f aca="false">E197+3*Assumptions!$B$6*F197+Assumptions!$B$9*G197+H197+I197</f>
        <v>356</v>
      </c>
      <c r="N197" s="9" t="n">
        <f aca="false">IF(AND(Assumptions!$B$17,ISNUMBER(J197)),Assumptions!$B$10*Assumptions!$B$13*J197,0)</f>
        <v>4.5</v>
      </c>
      <c r="O197" s="9" t="n">
        <f aca="false">IF(AND(Assumptions!$B$17,ISNUMBER(J197)),Assumptions!$B$11*Assumptions!$B$13*J197,0)</f>
        <v>9</v>
      </c>
      <c r="P197" s="9" t="n">
        <f aca="false">IF(AND(Assumptions!$B$17,ISNUMBER(J197)),Assumptions!$B$12*Assumptions!$B$13*J197,0)</f>
        <v>13.5</v>
      </c>
      <c r="Q197" s="9" t="n">
        <f aca="false">IF(Assumptions!$B$18,Assumptions!$B$14*K197,0)</f>
        <v>6.7</v>
      </c>
      <c r="R197" s="9" t="n">
        <f aca="false">IF(Assumptions!$B$18,Assumptions!$B$15*L197,0)</f>
        <v>27.2</v>
      </c>
      <c r="S197" s="9" t="n">
        <f aca="false">IF(Assumptions!$B$18,Assumptions!$B$16*M197,0)</f>
        <v>124.6</v>
      </c>
      <c r="T197" s="9" t="n">
        <f aca="false">K197+N197+Q197</f>
        <v>78.2</v>
      </c>
      <c r="U197" s="9" t="n">
        <f aca="false">L197+O197+R197</f>
        <v>172.2</v>
      </c>
      <c r="V197" s="9" t="n">
        <f aca="false">M197+P197+S197</f>
        <v>494.1</v>
      </c>
      <c r="W197" s="9" t="n">
        <v>40</v>
      </c>
      <c r="X197" s="9" t="n">
        <v>100</v>
      </c>
      <c r="Y197" s="9" t="n">
        <v>300</v>
      </c>
      <c r="Z197" s="9" t="n">
        <f aca="false">U197-X197</f>
        <v>72.2</v>
      </c>
      <c r="AA197" s="10" t="n">
        <f aca="false">IFERROR((U197-X197)/X197,"")</f>
        <v>0.722</v>
      </c>
      <c r="AB197" s="8" t="str">
        <f aca="false">IF(ISNUMBER(AA197),IF(ABS(AA197)&gt;Assumptions!$B$19,"REVIEW",""),"")</f>
        <v>REVIEW</v>
      </c>
    </row>
    <row r="198" customFormat="false" ht="15" hidden="false" customHeight="false" outlineLevel="0" collapsed="false">
      <c r="A198" s="8" t="s">
        <v>256</v>
      </c>
      <c r="B198" s="8"/>
      <c r="C198" s="9" t="n">
        <v>30</v>
      </c>
      <c r="D198" s="9" t="n">
        <v>90</v>
      </c>
      <c r="E198" s="9" t="n">
        <v>320</v>
      </c>
      <c r="F198" s="9" t="n">
        <v>15</v>
      </c>
      <c r="G198" s="9" t="n">
        <v>8</v>
      </c>
      <c r="H198" s="9" t="n">
        <v>2.5</v>
      </c>
      <c r="I198" s="9" t="n">
        <v>1</v>
      </c>
      <c r="J198" s="9" t="n">
        <v>3</v>
      </c>
      <c r="K198" s="9" t="n">
        <f aca="false">C198+3*Assumptions!$B$4*F198+Assumptions!$B$7*G198+H198+I198</f>
        <v>86.5</v>
      </c>
      <c r="L198" s="9" t="n">
        <f aca="false">D198+3*Assumptions!$B$5*F198+Assumptions!$B$8*G198+H198+I198</f>
        <v>190.5</v>
      </c>
      <c r="M198" s="9" t="n">
        <f aca="false">E198+3*Assumptions!$B$6*F198+Assumptions!$B$9*G198+H198+I198</f>
        <v>513</v>
      </c>
      <c r="N198" s="9" t="n">
        <f aca="false">IF(AND(Assumptions!$B$17,ISNUMBER(J198)),Assumptions!$B$10*Assumptions!$B$13*J198,0)</f>
        <v>4.5</v>
      </c>
      <c r="O198" s="9" t="n">
        <f aca="false">IF(AND(Assumptions!$B$17,ISNUMBER(J198)),Assumptions!$B$11*Assumptions!$B$13*J198,0)</f>
        <v>9</v>
      </c>
      <c r="P198" s="9" t="n">
        <f aca="false">IF(AND(Assumptions!$B$17,ISNUMBER(J198)),Assumptions!$B$12*Assumptions!$B$13*J198,0)</f>
        <v>13.5</v>
      </c>
      <c r="Q198" s="9" t="n">
        <f aca="false">IF(Assumptions!$B$18,Assumptions!$B$14*K198,0)</f>
        <v>8.65</v>
      </c>
      <c r="R198" s="9" t="n">
        <f aca="false">IF(Assumptions!$B$18,Assumptions!$B$15*L198,0)</f>
        <v>38.1</v>
      </c>
      <c r="S198" s="9" t="n">
        <f aca="false">IF(Assumptions!$B$18,Assumptions!$B$16*M198,0)</f>
        <v>179.55</v>
      </c>
      <c r="T198" s="9" t="n">
        <f aca="false">K198+N198+Q198</f>
        <v>99.65</v>
      </c>
      <c r="U198" s="9" t="n">
        <f aca="false">L198+O198+R198</f>
        <v>237.6</v>
      </c>
      <c r="V198" s="9" t="n">
        <f aca="false">M198+P198+S198</f>
        <v>706.05</v>
      </c>
      <c r="W198" s="9" t="n">
        <v>50</v>
      </c>
      <c r="X198" s="9" t="n">
        <v>125</v>
      </c>
      <c r="Y198" s="9" t="n">
        <v>390</v>
      </c>
      <c r="Z198" s="9" t="n">
        <f aca="false">U198-X198</f>
        <v>112.6</v>
      </c>
      <c r="AA198" s="10" t="n">
        <f aca="false">IFERROR((U198-X198)/X198,"")</f>
        <v>0.9008</v>
      </c>
      <c r="AB198" s="8" t="str">
        <f aca="false">IF(ISNUMBER(AA198),IF(ABS(AA198)&gt;Assumptions!$B$19,"REVIEW",""),"")</f>
        <v>REVIEW</v>
      </c>
    </row>
    <row r="199" customFormat="false" ht="15" hidden="false" customHeight="false" outlineLevel="0" collapsed="false">
      <c r="A199" s="8" t="s">
        <v>257</v>
      </c>
      <c r="B199" s="8"/>
      <c r="C199" s="9" t="n">
        <v>60</v>
      </c>
      <c r="D199" s="9" t="n">
        <v>160</v>
      </c>
      <c r="E199" s="9" t="n">
        <v>250</v>
      </c>
      <c r="F199" s="9" t="n">
        <v>20</v>
      </c>
      <c r="G199" s="9" t="n">
        <v>15</v>
      </c>
      <c r="H199" s="9" t="n">
        <v>3.5</v>
      </c>
      <c r="I199" s="9" t="n">
        <v>1.5</v>
      </c>
      <c r="J199" s="9" t="n">
        <v>5</v>
      </c>
      <c r="K199" s="9" t="n">
        <f aca="false">C199+3*Assumptions!$B$4*F199+Assumptions!$B$7*G199+H199+I199</f>
        <v>140</v>
      </c>
      <c r="L199" s="9" t="n">
        <f aca="false">D199+3*Assumptions!$B$5*F199+Assumptions!$B$8*G199+H199+I199</f>
        <v>303</v>
      </c>
      <c r="M199" s="9" t="n">
        <f aca="false">E199+3*Assumptions!$B$6*F199+Assumptions!$B$9*G199+H199+I199</f>
        <v>525</v>
      </c>
      <c r="N199" s="9" t="n">
        <f aca="false">IF(AND(Assumptions!$B$17,ISNUMBER(J199)),Assumptions!$B$10*Assumptions!$B$13*J199,0)</f>
        <v>7.5</v>
      </c>
      <c r="O199" s="9" t="n">
        <f aca="false">IF(AND(Assumptions!$B$17,ISNUMBER(J199)),Assumptions!$B$11*Assumptions!$B$13*J199,0)</f>
        <v>15</v>
      </c>
      <c r="P199" s="9" t="n">
        <f aca="false">IF(AND(Assumptions!$B$17,ISNUMBER(J199)),Assumptions!$B$12*Assumptions!$B$13*J199,0)</f>
        <v>22.5</v>
      </c>
      <c r="Q199" s="9" t="n">
        <f aca="false">IF(Assumptions!$B$18,Assumptions!$B$14*K199,0)</f>
        <v>14</v>
      </c>
      <c r="R199" s="9" t="n">
        <f aca="false">IF(Assumptions!$B$18,Assumptions!$B$15*L199,0)</f>
        <v>60.6</v>
      </c>
      <c r="S199" s="9" t="n">
        <f aca="false">IF(Assumptions!$B$18,Assumptions!$B$16*M199,0)</f>
        <v>183.75</v>
      </c>
      <c r="T199" s="9" t="n">
        <f aca="false">K199+N199+Q199</f>
        <v>161.5</v>
      </c>
      <c r="U199" s="9" t="n">
        <f aca="false">L199+O199+R199</f>
        <v>378.6</v>
      </c>
      <c r="V199" s="9" t="n">
        <f aca="false">M199+P199+S199</f>
        <v>731.25</v>
      </c>
      <c r="W199" s="9" t="n">
        <v>65</v>
      </c>
      <c r="X199" s="9" t="n">
        <v>160</v>
      </c>
      <c r="Y199" s="9" t="n">
        <v>445</v>
      </c>
      <c r="Z199" s="9" t="n">
        <f aca="false">U199-X199</f>
        <v>218.6</v>
      </c>
      <c r="AA199" s="10" t="n">
        <f aca="false">IFERROR((U199-X199)/X199,"")</f>
        <v>1.36625</v>
      </c>
      <c r="AB199" s="8" t="str">
        <f aca="false">IF(ISNUMBER(AA199),IF(ABS(AA199)&gt;Assumptions!$B$19,"REVIEW",""),"")</f>
        <v>REVIEW</v>
      </c>
    </row>
    <row r="200" customFormat="false" ht="15" hidden="false" customHeight="false" outlineLevel="0" collapsed="false">
      <c r="A200" s="8" t="s">
        <v>258</v>
      </c>
      <c r="B200" s="8"/>
      <c r="C200" s="9" t="n">
        <v>45</v>
      </c>
      <c r="D200" s="9" t="n">
        <v>120</v>
      </c>
      <c r="E200" s="9" t="n">
        <v>350</v>
      </c>
      <c r="F200" s="9" t="n">
        <v>18</v>
      </c>
      <c r="G200" s="9" t="n">
        <v>8</v>
      </c>
      <c r="H200" s="9" t="n">
        <v>4</v>
      </c>
      <c r="I200" s="9" t="n">
        <v>2</v>
      </c>
      <c r="J200" s="9" t="n">
        <v>5</v>
      </c>
      <c r="K200" s="9" t="n">
        <f aca="false">C200+3*Assumptions!$B$4*F200+Assumptions!$B$7*G200+H200+I200</f>
        <v>113</v>
      </c>
      <c r="L200" s="9" t="n">
        <f aca="false">D200+3*Assumptions!$B$5*F200+Assumptions!$B$8*G200+H200+I200</f>
        <v>239.2</v>
      </c>
      <c r="M200" s="9" t="n">
        <f aca="false">E200+3*Assumptions!$B$6*F200+Assumptions!$B$9*G200+H200+I200</f>
        <v>577</v>
      </c>
      <c r="N200" s="9" t="n">
        <f aca="false">IF(AND(Assumptions!$B$17,ISNUMBER(J200)),Assumptions!$B$10*Assumptions!$B$13*J200,0)</f>
        <v>7.5</v>
      </c>
      <c r="O200" s="9" t="n">
        <f aca="false">IF(AND(Assumptions!$B$17,ISNUMBER(J200)),Assumptions!$B$11*Assumptions!$B$13*J200,0)</f>
        <v>15</v>
      </c>
      <c r="P200" s="9" t="n">
        <f aca="false">IF(AND(Assumptions!$B$17,ISNUMBER(J200)),Assumptions!$B$12*Assumptions!$B$13*J200,0)</f>
        <v>22.5</v>
      </c>
      <c r="Q200" s="9" t="n">
        <f aca="false">IF(Assumptions!$B$18,Assumptions!$B$14*K200,0)</f>
        <v>11.3</v>
      </c>
      <c r="R200" s="9" t="n">
        <f aca="false">IF(Assumptions!$B$18,Assumptions!$B$15*L200,0)</f>
        <v>47.84</v>
      </c>
      <c r="S200" s="9" t="n">
        <f aca="false">IF(Assumptions!$B$18,Assumptions!$B$16*M200,0)</f>
        <v>201.95</v>
      </c>
      <c r="T200" s="9" t="n">
        <f aca="false">K200+N200+Q200</f>
        <v>131.8</v>
      </c>
      <c r="U200" s="9" t="n">
        <f aca="false">L200+O200+R200</f>
        <v>302.04</v>
      </c>
      <c r="V200" s="9" t="n">
        <f aca="false">M200+P200+S200</f>
        <v>801.45</v>
      </c>
      <c r="W200" s="9" t="n">
        <v>60</v>
      </c>
      <c r="X200" s="9" t="n">
        <v>150</v>
      </c>
      <c r="Y200" s="9" t="n">
        <v>450</v>
      </c>
      <c r="Z200" s="9" t="n">
        <f aca="false">U200-X200</f>
        <v>152.04</v>
      </c>
      <c r="AA200" s="10" t="n">
        <f aca="false">IFERROR((U200-X200)/X200,"")</f>
        <v>1.0136</v>
      </c>
      <c r="AB200" s="8" t="str">
        <f aca="false">IF(ISNUMBER(AA200),IF(ABS(AA200)&gt;Assumptions!$B$19,"REVIEW",""),"")</f>
        <v>REVIEW</v>
      </c>
    </row>
    <row r="201" customFormat="false" ht="15" hidden="false" customHeight="false" outlineLevel="0" collapsed="false">
      <c r="A201" s="8" t="s">
        <v>259</v>
      </c>
      <c r="B201" s="8"/>
      <c r="C201" s="9" t="n">
        <v>45</v>
      </c>
      <c r="D201" s="9" t="n">
        <v>110</v>
      </c>
      <c r="E201" s="9" t="n">
        <v>220</v>
      </c>
      <c r="F201" s="9" t="n">
        <v>18</v>
      </c>
      <c r="G201" s="9" t="n">
        <v>8</v>
      </c>
      <c r="H201" s="9" t="n">
        <v>2.5</v>
      </c>
      <c r="I201" s="9" t="n">
        <v>1</v>
      </c>
      <c r="J201" s="9" t="n">
        <v>3.5</v>
      </c>
      <c r="K201" s="9" t="n">
        <f aca="false">C201+3*Assumptions!$B$4*F201+Assumptions!$B$7*G201+H201+I201</f>
        <v>110.5</v>
      </c>
      <c r="L201" s="9" t="n">
        <f aca="false">D201+3*Assumptions!$B$5*F201+Assumptions!$B$8*G201+H201+I201</f>
        <v>226.7</v>
      </c>
      <c r="M201" s="9" t="n">
        <f aca="false">E201+3*Assumptions!$B$6*F201+Assumptions!$B$9*G201+H201+I201</f>
        <v>444.5</v>
      </c>
      <c r="N201" s="9" t="n">
        <f aca="false">IF(AND(Assumptions!$B$17,ISNUMBER(J201)),Assumptions!$B$10*Assumptions!$B$13*J201,0)</f>
        <v>5.25</v>
      </c>
      <c r="O201" s="9" t="n">
        <f aca="false">IF(AND(Assumptions!$B$17,ISNUMBER(J201)),Assumptions!$B$11*Assumptions!$B$13*J201,0)</f>
        <v>10.5</v>
      </c>
      <c r="P201" s="9" t="n">
        <f aca="false">IF(AND(Assumptions!$B$17,ISNUMBER(J201)),Assumptions!$B$12*Assumptions!$B$13*J201,0)</f>
        <v>15.75</v>
      </c>
      <c r="Q201" s="9" t="n">
        <f aca="false">IF(Assumptions!$B$18,Assumptions!$B$14*K201,0)</f>
        <v>11.05</v>
      </c>
      <c r="R201" s="9" t="n">
        <f aca="false">IF(Assumptions!$B$18,Assumptions!$B$15*L201,0)</f>
        <v>45.34</v>
      </c>
      <c r="S201" s="9" t="n">
        <f aca="false">IF(Assumptions!$B$18,Assumptions!$B$16*M201,0)</f>
        <v>155.575</v>
      </c>
      <c r="T201" s="9" t="n">
        <f aca="false">K201+N201+Q201</f>
        <v>126.8</v>
      </c>
      <c r="U201" s="9" t="n">
        <f aca="false">L201+O201+R201</f>
        <v>282.54</v>
      </c>
      <c r="V201" s="9" t="n">
        <f aca="false">M201+P201+S201</f>
        <v>615.825</v>
      </c>
      <c r="W201" s="9" t="n">
        <v>55</v>
      </c>
      <c r="X201" s="9" t="n">
        <v>135</v>
      </c>
      <c r="Y201" s="9" t="n">
        <v>390</v>
      </c>
      <c r="Z201" s="9" t="n">
        <f aca="false">U201-X201</f>
        <v>147.54</v>
      </c>
      <c r="AA201" s="10" t="n">
        <f aca="false">IFERROR((U201-X201)/X201,"")</f>
        <v>1.09288888888889</v>
      </c>
      <c r="AB201" s="8" t="str">
        <f aca="false">IF(ISNUMBER(AA201),IF(ABS(AA201)&gt;Assumptions!$B$19,"REVIEW",""),"")</f>
        <v>REVIEW</v>
      </c>
    </row>
    <row r="202" customFormat="false" ht="15" hidden="false" customHeight="false" outlineLevel="0" collapsed="false">
      <c r="A202" s="8" t="s">
        <v>260</v>
      </c>
      <c r="B202" s="8"/>
      <c r="C202" s="9" t="n">
        <v>45</v>
      </c>
      <c r="D202" s="9" t="n">
        <v>110</v>
      </c>
      <c r="E202" s="9" t="n">
        <v>280</v>
      </c>
      <c r="F202" s="9" t="n">
        <v>18</v>
      </c>
      <c r="G202" s="9" t="n">
        <v>12</v>
      </c>
      <c r="H202" s="9" t="n">
        <v>3</v>
      </c>
      <c r="I202" s="9" t="n">
        <v>1.5</v>
      </c>
      <c r="J202" s="9" t="n">
        <v>3</v>
      </c>
      <c r="K202" s="9" t="n">
        <f aca="false">C202+3*Assumptions!$B$4*F202+Assumptions!$B$7*G202+H202+I202</f>
        <v>115.5</v>
      </c>
      <c r="L202" s="9" t="n">
        <f aca="false">D202+3*Assumptions!$B$5*F202+Assumptions!$B$8*G202+H202+I202</f>
        <v>235.7</v>
      </c>
      <c r="M202" s="9" t="n">
        <f aca="false">E202+3*Assumptions!$B$6*F202+Assumptions!$B$9*G202+H202+I202</f>
        <v>521.5</v>
      </c>
      <c r="N202" s="9" t="n">
        <f aca="false">IF(AND(Assumptions!$B$17,ISNUMBER(J202)),Assumptions!$B$10*Assumptions!$B$13*J202,0)</f>
        <v>4.5</v>
      </c>
      <c r="O202" s="9" t="n">
        <f aca="false">IF(AND(Assumptions!$B$17,ISNUMBER(J202)),Assumptions!$B$11*Assumptions!$B$13*J202,0)</f>
        <v>9</v>
      </c>
      <c r="P202" s="9" t="n">
        <f aca="false">IF(AND(Assumptions!$B$17,ISNUMBER(J202)),Assumptions!$B$12*Assumptions!$B$13*J202,0)</f>
        <v>13.5</v>
      </c>
      <c r="Q202" s="9" t="n">
        <f aca="false">IF(Assumptions!$B$18,Assumptions!$B$14*K202,0)</f>
        <v>11.55</v>
      </c>
      <c r="R202" s="9" t="n">
        <f aca="false">IF(Assumptions!$B$18,Assumptions!$B$15*L202,0)</f>
        <v>47.14</v>
      </c>
      <c r="S202" s="9" t="n">
        <f aca="false">IF(Assumptions!$B$18,Assumptions!$B$16*M202,0)</f>
        <v>182.525</v>
      </c>
      <c r="T202" s="9" t="n">
        <f aca="false">K202+N202+Q202</f>
        <v>131.55</v>
      </c>
      <c r="U202" s="9" t="n">
        <f aca="false">L202+O202+R202</f>
        <v>291.84</v>
      </c>
      <c r="V202" s="9" t="n">
        <f aca="false">M202+P202+S202</f>
        <v>717.525</v>
      </c>
      <c r="W202" s="9" t="n">
        <v>60</v>
      </c>
      <c r="X202" s="9" t="n">
        <v>145</v>
      </c>
      <c r="Y202" s="9" t="n">
        <v>420</v>
      </c>
      <c r="Z202" s="9" t="n">
        <f aca="false">U202-X202</f>
        <v>146.84</v>
      </c>
      <c r="AA202" s="10" t="n">
        <f aca="false">IFERROR((U202-X202)/X202,"")</f>
        <v>1.01268965517241</v>
      </c>
      <c r="AB202" s="8" t="str">
        <f aca="false">IF(ISNUMBER(AA202),IF(ABS(AA202)&gt;Assumptions!$B$19,"REVIEW",""),"")</f>
        <v>REVIEW</v>
      </c>
    </row>
    <row r="203" customFormat="false" ht="15" hidden="false" customHeight="false" outlineLevel="0" collapsed="false">
      <c r="A203" s="8" t="s">
        <v>261</v>
      </c>
      <c r="B203" s="8"/>
      <c r="C203" s="9" t="n">
        <v>60</v>
      </c>
      <c r="D203" s="9" t="n">
        <v>120</v>
      </c>
      <c r="E203" s="9" t="n">
        <v>300</v>
      </c>
      <c r="F203" s="9" t="n">
        <v>22</v>
      </c>
      <c r="G203" s="9" t="n">
        <v>15</v>
      </c>
      <c r="H203" s="9" t="n">
        <v>1</v>
      </c>
      <c r="I203" s="9" t="n">
        <v>1</v>
      </c>
      <c r="J203" s="9" t="n">
        <v>2.5</v>
      </c>
      <c r="K203" s="9" t="n">
        <f aca="false">C203+3*Assumptions!$B$4*F203+Assumptions!$B$7*G203+H203+I203</f>
        <v>143</v>
      </c>
      <c r="L203" s="9" t="n">
        <f aca="false">D203+3*Assumptions!$B$5*F203+Assumptions!$B$8*G203+H203+I203</f>
        <v>270.8</v>
      </c>
      <c r="M203" s="9" t="n">
        <f aca="false">E203+3*Assumptions!$B$6*F203+Assumptions!$B$9*G203+H203+I203</f>
        <v>593</v>
      </c>
      <c r="N203" s="9" t="n">
        <f aca="false">IF(AND(Assumptions!$B$17,ISNUMBER(J203)),Assumptions!$B$10*Assumptions!$B$13*J203,0)</f>
        <v>3.75</v>
      </c>
      <c r="O203" s="9" t="n">
        <f aca="false">IF(AND(Assumptions!$B$17,ISNUMBER(J203)),Assumptions!$B$11*Assumptions!$B$13*J203,0)</f>
        <v>7.5</v>
      </c>
      <c r="P203" s="9" t="n">
        <f aca="false">IF(AND(Assumptions!$B$17,ISNUMBER(J203)),Assumptions!$B$12*Assumptions!$B$13*J203,0)</f>
        <v>11.25</v>
      </c>
      <c r="Q203" s="9" t="n">
        <f aca="false">IF(Assumptions!$B$18,Assumptions!$B$14*K203,0)</f>
        <v>14.3</v>
      </c>
      <c r="R203" s="9" t="n">
        <f aca="false">IF(Assumptions!$B$18,Assumptions!$B$15*L203,0)</f>
        <v>54.16</v>
      </c>
      <c r="S203" s="9" t="n">
        <f aca="false">IF(Assumptions!$B$18,Assumptions!$B$16*M203,0)</f>
        <v>207.55</v>
      </c>
      <c r="T203" s="9" t="n">
        <f aca="false">K203+N203+Q203</f>
        <v>161.05</v>
      </c>
      <c r="U203" s="9" t="n">
        <f aca="false">L203+O203+R203</f>
        <v>332.46</v>
      </c>
      <c r="V203" s="9" t="n">
        <f aca="false">M203+P203+S203</f>
        <v>811.8</v>
      </c>
      <c r="W203" s="9" t="n">
        <v>60</v>
      </c>
      <c r="X203" s="9" t="n">
        <v>145</v>
      </c>
      <c r="Y203" s="9" t="n">
        <v>400</v>
      </c>
      <c r="Z203" s="9" t="n">
        <f aca="false">U203-X203</f>
        <v>187.46</v>
      </c>
      <c r="AA203" s="10" t="n">
        <f aca="false">IFERROR((U203-X203)/X203,"")</f>
        <v>1.2928275862069</v>
      </c>
      <c r="AB203" s="8" t="str">
        <f aca="false">IF(ISNUMBER(AA203),IF(ABS(AA203)&gt;Assumptions!$B$19,"REVIEW",""),"")</f>
        <v>REVIEW</v>
      </c>
    </row>
    <row r="204" customFormat="false" ht="15" hidden="false" customHeight="false" outlineLevel="0" collapsed="false">
      <c r="A204" s="8" t="s">
        <v>262</v>
      </c>
      <c r="B204" s="8"/>
      <c r="C204" s="9" t="n">
        <v>40</v>
      </c>
      <c r="D204" s="9" t="n">
        <v>90</v>
      </c>
      <c r="E204" s="9" t="n">
        <v>230</v>
      </c>
      <c r="F204" s="9" t="n">
        <v>15</v>
      </c>
      <c r="G204" s="9" t="n">
        <v>12</v>
      </c>
      <c r="H204" s="9" t="n">
        <v>3</v>
      </c>
      <c r="I204" s="9" t="n">
        <v>1</v>
      </c>
      <c r="J204" s="9" t="n">
        <v>2</v>
      </c>
      <c r="K204" s="9" t="n">
        <f aca="false">C204+3*Assumptions!$B$4*F204+Assumptions!$B$7*G204+H204+I204</f>
        <v>101</v>
      </c>
      <c r="L204" s="9" t="n">
        <f aca="false">D204+3*Assumptions!$B$5*F204+Assumptions!$B$8*G204+H204+I204</f>
        <v>199</v>
      </c>
      <c r="M204" s="9" t="n">
        <f aca="false">E204+3*Assumptions!$B$6*F204+Assumptions!$B$9*G204+H204+I204</f>
        <v>439.5</v>
      </c>
      <c r="N204" s="9" t="n">
        <f aca="false">IF(AND(Assumptions!$B$17,ISNUMBER(J204)),Assumptions!$B$10*Assumptions!$B$13*J204,0)</f>
        <v>3</v>
      </c>
      <c r="O204" s="9" t="n">
        <f aca="false">IF(AND(Assumptions!$B$17,ISNUMBER(J204)),Assumptions!$B$11*Assumptions!$B$13*J204,0)</f>
        <v>6</v>
      </c>
      <c r="P204" s="9" t="n">
        <f aca="false">IF(AND(Assumptions!$B$17,ISNUMBER(J204)),Assumptions!$B$12*Assumptions!$B$13*J204,0)</f>
        <v>9</v>
      </c>
      <c r="Q204" s="9" t="n">
        <f aca="false">IF(Assumptions!$B$18,Assumptions!$B$14*K204,0)</f>
        <v>10.1</v>
      </c>
      <c r="R204" s="9" t="n">
        <f aca="false">IF(Assumptions!$B$18,Assumptions!$B$15*L204,0)</f>
        <v>39.8</v>
      </c>
      <c r="S204" s="9" t="n">
        <f aca="false">IF(Assumptions!$B$18,Assumptions!$B$16*M204,0)</f>
        <v>153.825</v>
      </c>
      <c r="T204" s="9" t="n">
        <f aca="false">K204+N204+Q204</f>
        <v>114.1</v>
      </c>
      <c r="U204" s="9" t="n">
        <f aca="false">L204+O204+R204</f>
        <v>244.8</v>
      </c>
      <c r="V204" s="9" t="n">
        <f aca="false">M204+P204+S204</f>
        <v>602.325</v>
      </c>
      <c r="W204" s="9" t="n">
        <v>55</v>
      </c>
      <c r="X204" s="9" t="n">
        <v>130</v>
      </c>
      <c r="Y204" s="9" t="n">
        <v>350</v>
      </c>
      <c r="Z204" s="9" t="n">
        <f aca="false">U204-X204</f>
        <v>114.8</v>
      </c>
      <c r="AA204" s="10" t="n">
        <f aca="false">IFERROR((U204-X204)/X204,"")</f>
        <v>0.883076923076923</v>
      </c>
      <c r="AB204" s="8" t="str">
        <f aca="false">IF(ISNUMBER(AA204),IF(ABS(AA204)&gt;Assumptions!$B$19,"REVIEW",""),"")</f>
        <v>REVIEW</v>
      </c>
    </row>
    <row r="205" customFormat="false" ht="15" hidden="false" customHeight="false" outlineLevel="0" collapsed="false">
      <c r="A205" s="8" t="s">
        <v>263</v>
      </c>
      <c r="B205" s="8"/>
      <c r="C205" s="9" t="n">
        <v>35</v>
      </c>
      <c r="D205" s="9" t="n">
        <v>70</v>
      </c>
      <c r="E205" s="9" t="n">
        <v>180</v>
      </c>
      <c r="F205" s="9" t="n">
        <v>10</v>
      </c>
      <c r="G205" s="9" t="n">
        <v>6</v>
      </c>
      <c r="H205" s="9" t="n">
        <v>1.5</v>
      </c>
      <c r="I205" s="9" t="n">
        <v>1</v>
      </c>
      <c r="J205" s="9" t="n">
        <v>2.5</v>
      </c>
      <c r="K205" s="9" t="n">
        <f aca="false">C205+3*Assumptions!$B$4*F205+Assumptions!$B$7*G205+H205+I205</f>
        <v>73.5</v>
      </c>
      <c r="L205" s="9" t="n">
        <f aca="false">D205+3*Assumptions!$B$5*F205+Assumptions!$B$8*G205+H205+I205</f>
        <v>138.5</v>
      </c>
      <c r="M205" s="9" t="n">
        <f aca="false">E205+3*Assumptions!$B$6*F205+Assumptions!$B$9*G205+H205+I205</f>
        <v>311.5</v>
      </c>
      <c r="N205" s="9" t="n">
        <f aca="false">IF(AND(Assumptions!$B$17,ISNUMBER(J205)),Assumptions!$B$10*Assumptions!$B$13*J205,0)</f>
        <v>3.75</v>
      </c>
      <c r="O205" s="9" t="n">
        <f aca="false">IF(AND(Assumptions!$B$17,ISNUMBER(J205)),Assumptions!$B$11*Assumptions!$B$13*J205,0)</f>
        <v>7.5</v>
      </c>
      <c r="P205" s="9" t="n">
        <f aca="false">IF(AND(Assumptions!$B$17,ISNUMBER(J205)),Assumptions!$B$12*Assumptions!$B$13*J205,0)</f>
        <v>11.25</v>
      </c>
      <c r="Q205" s="9" t="n">
        <f aca="false">IF(Assumptions!$B$18,Assumptions!$B$14*K205,0)</f>
        <v>7.35</v>
      </c>
      <c r="R205" s="9" t="n">
        <f aca="false">IF(Assumptions!$B$18,Assumptions!$B$15*L205,0)</f>
        <v>27.7</v>
      </c>
      <c r="S205" s="9" t="n">
        <f aca="false">IF(Assumptions!$B$18,Assumptions!$B$16*M205,0)</f>
        <v>109.025</v>
      </c>
      <c r="T205" s="9" t="n">
        <f aca="false">K205+N205+Q205</f>
        <v>84.6</v>
      </c>
      <c r="U205" s="9" t="n">
        <f aca="false">L205+O205+R205</f>
        <v>173.7</v>
      </c>
      <c r="V205" s="9" t="n">
        <f aca="false">M205+P205+S205</f>
        <v>431.775</v>
      </c>
      <c r="W205" s="9" t="n">
        <v>40</v>
      </c>
      <c r="X205" s="9" t="n">
        <v>100</v>
      </c>
      <c r="Y205" s="9" t="n">
        <v>295</v>
      </c>
      <c r="Z205" s="9" t="n">
        <f aca="false">U205-X205</f>
        <v>73.7</v>
      </c>
      <c r="AA205" s="10" t="n">
        <f aca="false">IFERROR((U205-X205)/X205,"")</f>
        <v>0.737</v>
      </c>
      <c r="AB205" s="8" t="str">
        <f aca="false">IF(ISNUMBER(AA205),IF(ABS(AA205)&gt;Assumptions!$B$19,"REVIEW",""),"")</f>
        <v>REVIEW</v>
      </c>
    </row>
    <row r="206" customFormat="false" ht="15" hidden="false" customHeight="false" outlineLevel="0" collapsed="false">
      <c r="A206" s="8" t="s">
        <v>264</v>
      </c>
      <c r="B206" s="8"/>
      <c r="C206" s="9" t="n">
        <v>60</v>
      </c>
      <c r="D206" s="9" t="n">
        <v>150</v>
      </c>
      <c r="E206" s="9" t="n">
        <v>350</v>
      </c>
      <c r="F206" s="9" t="n">
        <v>25</v>
      </c>
      <c r="G206" s="9" t="n">
        <v>20</v>
      </c>
      <c r="H206" s="9" t="n">
        <v>2.5</v>
      </c>
      <c r="I206" s="9" t="n">
        <v>1.5</v>
      </c>
      <c r="J206" s="9" t="n">
        <v>3</v>
      </c>
      <c r="K206" s="9" t="n">
        <f aca="false">C206+3*Assumptions!$B$4*F206+Assumptions!$B$7*G206+H206+I206</f>
        <v>159</v>
      </c>
      <c r="L206" s="9" t="n">
        <f aca="false">D206+3*Assumptions!$B$5*F206+Assumptions!$B$8*G206+H206+I206</f>
        <v>329</v>
      </c>
      <c r="M206" s="9" t="n">
        <f aca="false">E206+3*Assumptions!$B$6*F206+Assumptions!$B$9*G206+H206+I206</f>
        <v>696.5</v>
      </c>
      <c r="N206" s="9" t="n">
        <f aca="false">IF(AND(Assumptions!$B$17,ISNUMBER(J206)),Assumptions!$B$10*Assumptions!$B$13*J206,0)</f>
        <v>4.5</v>
      </c>
      <c r="O206" s="9" t="n">
        <f aca="false">IF(AND(Assumptions!$B$17,ISNUMBER(J206)),Assumptions!$B$11*Assumptions!$B$13*J206,0)</f>
        <v>9</v>
      </c>
      <c r="P206" s="9" t="n">
        <f aca="false">IF(AND(Assumptions!$B$17,ISNUMBER(J206)),Assumptions!$B$12*Assumptions!$B$13*J206,0)</f>
        <v>13.5</v>
      </c>
      <c r="Q206" s="9" t="n">
        <f aca="false">IF(Assumptions!$B$18,Assumptions!$B$14*K206,0)</f>
        <v>15.9</v>
      </c>
      <c r="R206" s="9" t="n">
        <f aca="false">IF(Assumptions!$B$18,Assumptions!$B$15*L206,0)</f>
        <v>65.8</v>
      </c>
      <c r="S206" s="9" t="n">
        <f aca="false">IF(Assumptions!$B$18,Assumptions!$B$16*M206,0)</f>
        <v>243.775</v>
      </c>
      <c r="T206" s="9" t="n">
        <f aca="false">K206+N206+Q206</f>
        <v>179.4</v>
      </c>
      <c r="U206" s="9" t="n">
        <f aca="false">L206+O206+R206</f>
        <v>403.8</v>
      </c>
      <c r="V206" s="9" t="n">
        <f aca="false">M206+P206+S206</f>
        <v>953.775</v>
      </c>
      <c r="W206" s="9" t="n">
        <v>70</v>
      </c>
      <c r="X206" s="9" t="n">
        <v>180</v>
      </c>
      <c r="Y206" s="9" t="n">
        <v>550</v>
      </c>
      <c r="Z206" s="9" t="n">
        <f aca="false">U206-X206</f>
        <v>223.8</v>
      </c>
      <c r="AA206" s="10" t="n">
        <f aca="false">IFERROR((U206-X206)/X206,"")</f>
        <v>1.24333333333333</v>
      </c>
      <c r="AB206" s="8" t="str">
        <f aca="false">IF(ISNUMBER(AA206),IF(ABS(AA206)&gt;Assumptions!$B$19,"REVIEW",""),"")</f>
        <v>REVIEW</v>
      </c>
    </row>
    <row r="207" customFormat="false" ht="15" hidden="false" customHeight="false" outlineLevel="0" collapsed="false">
      <c r="A207" s="8" t="s">
        <v>265</v>
      </c>
      <c r="B207" s="8"/>
      <c r="C207" s="9" t="n">
        <v>35</v>
      </c>
      <c r="D207" s="9" t="n">
        <v>70</v>
      </c>
      <c r="E207" s="9" t="n">
        <v>150</v>
      </c>
      <c r="F207" s="9" t="n">
        <v>18</v>
      </c>
      <c r="G207" s="9" t="n">
        <v>8</v>
      </c>
      <c r="H207" s="9" t="n">
        <v>3</v>
      </c>
      <c r="I207" s="9" t="n">
        <v>1.5</v>
      </c>
      <c r="J207" s="9" t="n">
        <v>3</v>
      </c>
      <c r="K207" s="9" t="n">
        <f aca="false">C207+3*Assumptions!$B$4*F207+Assumptions!$B$7*G207+H207+I207</f>
        <v>101.5</v>
      </c>
      <c r="L207" s="9" t="n">
        <f aca="false">D207+3*Assumptions!$B$5*F207+Assumptions!$B$8*G207+H207+I207</f>
        <v>187.7</v>
      </c>
      <c r="M207" s="9" t="n">
        <f aca="false">E207+3*Assumptions!$B$6*F207+Assumptions!$B$9*G207+H207+I207</f>
        <v>375.5</v>
      </c>
      <c r="N207" s="9" t="n">
        <f aca="false">IF(AND(Assumptions!$B$17,ISNUMBER(J207)),Assumptions!$B$10*Assumptions!$B$13*J207,0)</f>
        <v>4.5</v>
      </c>
      <c r="O207" s="9" t="n">
        <f aca="false">IF(AND(Assumptions!$B$17,ISNUMBER(J207)),Assumptions!$B$11*Assumptions!$B$13*J207,0)</f>
        <v>9</v>
      </c>
      <c r="P207" s="9" t="n">
        <f aca="false">IF(AND(Assumptions!$B$17,ISNUMBER(J207)),Assumptions!$B$12*Assumptions!$B$13*J207,0)</f>
        <v>13.5</v>
      </c>
      <c r="Q207" s="9" t="n">
        <f aca="false">IF(Assumptions!$B$18,Assumptions!$B$14*K207,0)</f>
        <v>10.15</v>
      </c>
      <c r="R207" s="9" t="n">
        <f aca="false">IF(Assumptions!$B$18,Assumptions!$B$15*L207,0)</f>
        <v>37.54</v>
      </c>
      <c r="S207" s="9" t="n">
        <f aca="false">IF(Assumptions!$B$18,Assumptions!$B$16*M207,0)</f>
        <v>131.425</v>
      </c>
      <c r="T207" s="9" t="n">
        <f aca="false">K207+N207+Q207</f>
        <v>116.15</v>
      </c>
      <c r="U207" s="9" t="n">
        <f aca="false">L207+O207+R207</f>
        <v>234.24</v>
      </c>
      <c r="V207" s="9" t="n">
        <f aca="false">M207+P207+S207</f>
        <v>520.425</v>
      </c>
      <c r="W207" s="9" t="n">
        <v>50</v>
      </c>
      <c r="X207" s="9" t="n">
        <v>120</v>
      </c>
      <c r="Y207" s="9" t="n">
        <v>345</v>
      </c>
      <c r="Z207" s="9" t="n">
        <f aca="false">U207-X207</f>
        <v>114.24</v>
      </c>
      <c r="AA207" s="10" t="n">
        <f aca="false">IFERROR((U207-X207)/X207,"")</f>
        <v>0.952</v>
      </c>
      <c r="AB207" s="8" t="str">
        <f aca="false">IF(ISNUMBER(AA207),IF(ABS(AA207)&gt;Assumptions!$B$19,"REVIEW",""),"")</f>
        <v>REVIEW</v>
      </c>
    </row>
    <row r="208" customFormat="false" ht="15" hidden="false" customHeight="false" outlineLevel="0" collapsed="false">
      <c r="A208" s="8" t="s">
        <v>266</v>
      </c>
      <c r="B208" s="8"/>
      <c r="C208" s="9" t="n">
        <v>20</v>
      </c>
      <c r="D208" s="9" t="n">
        <v>55</v>
      </c>
      <c r="E208" s="9" t="n">
        <v>150</v>
      </c>
      <c r="F208" s="9" t="n">
        <v>8</v>
      </c>
      <c r="G208" s="9" t="n">
        <v>3</v>
      </c>
      <c r="H208" s="9" t="n">
        <v>4</v>
      </c>
      <c r="I208" s="9" t="n">
        <v>0.5</v>
      </c>
      <c r="J208" s="9" t="n">
        <v>1.5</v>
      </c>
      <c r="K208" s="9" t="n">
        <f aca="false">C208+3*Assumptions!$B$4*F208+Assumptions!$B$7*G208+H208+I208</f>
        <v>51.5</v>
      </c>
      <c r="L208" s="9" t="n">
        <f aca="false">D208+3*Assumptions!$B$5*F208+Assumptions!$B$8*G208+H208+I208</f>
        <v>108.7</v>
      </c>
      <c r="M208" s="9" t="n">
        <f aca="false">E208+3*Assumptions!$B$6*F208+Assumptions!$B$9*G208+H208+I208</f>
        <v>250.5</v>
      </c>
      <c r="N208" s="9" t="n">
        <f aca="false">IF(AND(Assumptions!$B$17,ISNUMBER(J208)),Assumptions!$B$10*Assumptions!$B$13*J208,0)</f>
        <v>2.25</v>
      </c>
      <c r="O208" s="9" t="n">
        <f aca="false">IF(AND(Assumptions!$B$17,ISNUMBER(J208)),Assumptions!$B$11*Assumptions!$B$13*J208,0)</f>
        <v>4.5</v>
      </c>
      <c r="P208" s="9" t="n">
        <f aca="false">IF(AND(Assumptions!$B$17,ISNUMBER(J208)),Assumptions!$B$12*Assumptions!$B$13*J208,0)</f>
        <v>6.75</v>
      </c>
      <c r="Q208" s="9" t="n">
        <f aca="false">IF(Assumptions!$B$18,Assumptions!$B$14*K208,0)</f>
        <v>5.15</v>
      </c>
      <c r="R208" s="9" t="n">
        <f aca="false">IF(Assumptions!$B$18,Assumptions!$B$15*L208,0)</f>
        <v>21.74</v>
      </c>
      <c r="S208" s="9" t="n">
        <f aca="false">IF(Assumptions!$B$18,Assumptions!$B$16*M208,0)</f>
        <v>87.675</v>
      </c>
      <c r="T208" s="9" t="n">
        <f aca="false">K208+N208+Q208</f>
        <v>58.9</v>
      </c>
      <c r="U208" s="9" t="n">
        <f aca="false">L208+O208+R208</f>
        <v>134.94</v>
      </c>
      <c r="V208" s="9" t="n">
        <f aca="false">M208+P208+S208</f>
        <v>344.925</v>
      </c>
      <c r="W208" s="9" t="n">
        <v>30</v>
      </c>
      <c r="X208" s="9" t="n">
        <v>75</v>
      </c>
      <c r="Y208" s="9" t="n">
        <v>220</v>
      </c>
      <c r="Z208" s="9" t="n">
        <f aca="false">U208-X208</f>
        <v>59.94</v>
      </c>
      <c r="AA208" s="10" t="n">
        <f aca="false">IFERROR((U208-X208)/X208,"")</f>
        <v>0.7992</v>
      </c>
      <c r="AB208" s="8" t="str">
        <f aca="false">IF(ISNUMBER(AA208),IF(ABS(AA208)&gt;Assumptions!$B$19,"REVIEW",""),"")</f>
        <v>REVIEW</v>
      </c>
    </row>
    <row r="209" customFormat="false" ht="15" hidden="false" customHeight="false" outlineLevel="0" collapsed="false">
      <c r="A209" s="8" t="s">
        <v>267</v>
      </c>
      <c r="B209" s="8"/>
      <c r="C209" s="9" t="n">
        <v>20</v>
      </c>
      <c r="D209" s="9" t="n">
        <v>75</v>
      </c>
      <c r="E209" s="9" t="n">
        <v>280</v>
      </c>
      <c r="F209" s="9" t="n">
        <v>12</v>
      </c>
      <c r="G209" s="9" t="n">
        <v>4</v>
      </c>
      <c r="H209" s="9" t="n">
        <v>2.5</v>
      </c>
      <c r="I209" s="9" t="n">
        <v>1</v>
      </c>
      <c r="J209" s="9" t="n">
        <v>3.5</v>
      </c>
      <c r="K209" s="9" t="n">
        <f aca="false">C209+3*Assumptions!$B$4*F209+Assumptions!$B$7*G209+H209+I209</f>
        <v>63.5</v>
      </c>
      <c r="L209" s="9" t="n">
        <f aca="false">D209+3*Assumptions!$B$5*F209+Assumptions!$B$8*G209+H209+I209</f>
        <v>151.3</v>
      </c>
      <c r="M209" s="9" t="n">
        <f aca="false">E209+3*Assumptions!$B$6*F209+Assumptions!$B$9*G209+H209+I209</f>
        <v>425.5</v>
      </c>
      <c r="N209" s="9" t="n">
        <f aca="false">IF(AND(Assumptions!$B$17,ISNUMBER(J209)),Assumptions!$B$10*Assumptions!$B$13*J209,0)</f>
        <v>5.25</v>
      </c>
      <c r="O209" s="9" t="n">
        <f aca="false">IF(AND(Assumptions!$B$17,ISNUMBER(J209)),Assumptions!$B$11*Assumptions!$B$13*J209,0)</f>
        <v>10.5</v>
      </c>
      <c r="P209" s="9" t="n">
        <f aca="false">IF(AND(Assumptions!$B$17,ISNUMBER(J209)),Assumptions!$B$12*Assumptions!$B$13*J209,0)</f>
        <v>15.75</v>
      </c>
      <c r="Q209" s="9" t="n">
        <f aca="false">IF(Assumptions!$B$18,Assumptions!$B$14*K209,0)</f>
        <v>6.35</v>
      </c>
      <c r="R209" s="9" t="n">
        <f aca="false">IF(Assumptions!$B$18,Assumptions!$B$15*L209,0)</f>
        <v>30.26</v>
      </c>
      <c r="S209" s="9" t="n">
        <f aca="false">IF(Assumptions!$B$18,Assumptions!$B$16*M209,0)</f>
        <v>148.925</v>
      </c>
      <c r="T209" s="9" t="n">
        <f aca="false">K209+N209+Q209</f>
        <v>75.1</v>
      </c>
      <c r="U209" s="9" t="n">
        <f aca="false">L209+O209+R209</f>
        <v>192.06</v>
      </c>
      <c r="V209" s="9" t="n">
        <f aca="false">M209+P209+S209</f>
        <v>590.175</v>
      </c>
      <c r="W209" s="9" t="n">
        <v>40</v>
      </c>
      <c r="X209" s="9" t="n">
        <v>105</v>
      </c>
      <c r="Y209" s="9" t="n">
        <v>335</v>
      </c>
      <c r="Z209" s="9" t="n">
        <f aca="false">U209-X209</f>
        <v>87.06</v>
      </c>
      <c r="AA209" s="10" t="n">
        <f aca="false">IFERROR((U209-X209)/X209,"")</f>
        <v>0.829142857142857</v>
      </c>
      <c r="AB209" s="8" t="str">
        <f aca="false">IF(ISNUMBER(AA209),IF(ABS(AA209)&gt;Assumptions!$B$19,"REVIEW",""),"")</f>
        <v>REVIEW</v>
      </c>
    </row>
    <row r="210" customFormat="false" ht="15" hidden="false" customHeight="false" outlineLevel="0" collapsed="false">
      <c r="A210" s="8" t="s">
        <v>268</v>
      </c>
      <c r="B210" s="8"/>
      <c r="C210" s="9" t="n">
        <v>90</v>
      </c>
      <c r="D210" s="9" t="n">
        <v>190</v>
      </c>
      <c r="E210" s="9" t="n">
        <v>480</v>
      </c>
      <c r="F210" s="9" t="n">
        <v>32</v>
      </c>
      <c r="G210" s="9" t="n">
        <v>20</v>
      </c>
      <c r="H210" s="9" t="n">
        <v>6</v>
      </c>
      <c r="I210" s="9" t="n">
        <v>3.5</v>
      </c>
      <c r="J210" s="9" t="n">
        <v>11</v>
      </c>
      <c r="K210" s="9" t="n">
        <f aca="false">C210+3*Assumptions!$B$4*F210+Assumptions!$B$7*G210+H210+I210</f>
        <v>215.5</v>
      </c>
      <c r="L210" s="9" t="n">
        <f aca="false">D210+3*Assumptions!$B$5*F210+Assumptions!$B$8*G210+H210+I210</f>
        <v>412.3</v>
      </c>
      <c r="M210" s="9" t="n">
        <f aca="false">E210+3*Assumptions!$B$6*F210+Assumptions!$B$9*G210+H210+I210</f>
        <v>905.5</v>
      </c>
      <c r="N210" s="9" t="n">
        <f aca="false">IF(AND(Assumptions!$B$17,ISNUMBER(J210)),Assumptions!$B$10*Assumptions!$B$13*J210,0)</f>
        <v>16.5</v>
      </c>
      <c r="O210" s="9" t="n">
        <f aca="false">IF(AND(Assumptions!$B$17,ISNUMBER(J210)),Assumptions!$B$11*Assumptions!$B$13*J210,0)</f>
        <v>33</v>
      </c>
      <c r="P210" s="9" t="n">
        <f aca="false">IF(AND(Assumptions!$B$17,ISNUMBER(J210)),Assumptions!$B$12*Assumptions!$B$13*J210,0)</f>
        <v>49.5</v>
      </c>
      <c r="Q210" s="9" t="n">
        <f aca="false">IF(Assumptions!$B$18,Assumptions!$B$14*K210,0)</f>
        <v>21.55</v>
      </c>
      <c r="R210" s="9" t="n">
        <f aca="false">IF(Assumptions!$B$18,Assumptions!$B$15*L210,0)</f>
        <v>82.46</v>
      </c>
      <c r="S210" s="9" t="n">
        <f aca="false">IF(Assumptions!$B$18,Assumptions!$B$16*M210,0)</f>
        <v>316.925</v>
      </c>
      <c r="T210" s="9" t="n">
        <f aca="false">K210+N210+Q210</f>
        <v>253.55</v>
      </c>
      <c r="U210" s="9" t="n">
        <f aca="false">L210+O210+R210</f>
        <v>527.76</v>
      </c>
      <c r="V210" s="9" t="n">
        <f aca="false">M210+P210+S210</f>
        <v>1271.925</v>
      </c>
      <c r="W210" s="9" t="n">
        <v>95</v>
      </c>
      <c r="X210" s="9" t="n">
        <v>240</v>
      </c>
      <c r="Y210" s="9" t="n">
        <v>690</v>
      </c>
      <c r="Z210" s="9" t="n">
        <f aca="false">U210-X210</f>
        <v>287.76</v>
      </c>
      <c r="AA210" s="10" t="n">
        <f aca="false">IFERROR((U210-X210)/X210,"")</f>
        <v>1.199</v>
      </c>
      <c r="AB210" s="8" t="str">
        <f aca="false">IF(ISNUMBER(AA210),IF(ABS(AA210)&gt;Assumptions!$B$19,"REVIEW",""),"")</f>
        <v>REVIEW</v>
      </c>
    </row>
    <row r="211" customFormat="false" ht="15" hidden="false" customHeight="false" outlineLevel="0" collapsed="false">
      <c r="A211" s="8" t="s">
        <v>269</v>
      </c>
      <c r="B211" s="8"/>
      <c r="C211" s="9" t="n">
        <v>55</v>
      </c>
      <c r="D211" s="9" t="n">
        <v>110</v>
      </c>
      <c r="E211" s="9" t="n">
        <v>280</v>
      </c>
      <c r="F211" s="9" t="n">
        <v>25</v>
      </c>
      <c r="G211" s="9" t="n">
        <v>20</v>
      </c>
      <c r="H211" s="9" t="n">
        <v>3.5</v>
      </c>
      <c r="I211" s="9" t="n">
        <v>0.6</v>
      </c>
      <c r="J211" s="9" t="n">
        <v>4</v>
      </c>
      <c r="K211" s="9" t="n">
        <f aca="false">C211+3*Assumptions!$B$4*F211+Assumptions!$B$7*G211+H211+I211</f>
        <v>154.1</v>
      </c>
      <c r="L211" s="9" t="n">
        <f aca="false">D211+3*Assumptions!$B$5*F211+Assumptions!$B$8*G211+H211+I211</f>
        <v>289.1</v>
      </c>
      <c r="M211" s="9" t="n">
        <f aca="false">E211+3*Assumptions!$B$6*F211+Assumptions!$B$9*G211+H211+I211</f>
        <v>626.6</v>
      </c>
      <c r="N211" s="9" t="n">
        <f aca="false">IF(AND(Assumptions!$B$17,ISNUMBER(J211)),Assumptions!$B$10*Assumptions!$B$13*J211,0)</f>
        <v>6</v>
      </c>
      <c r="O211" s="9" t="n">
        <f aca="false">IF(AND(Assumptions!$B$17,ISNUMBER(J211)),Assumptions!$B$11*Assumptions!$B$13*J211,0)</f>
        <v>12</v>
      </c>
      <c r="P211" s="9" t="n">
        <f aca="false">IF(AND(Assumptions!$B$17,ISNUMBER(J211)),Assumptions!$B$12*Assumptions!$B$13*J211,0)</f>
        <v>18</v>
      </c>
      <c r="Q211" s="9" t="n">
        <f aca="false">IF(Assumptions!$B$18,Assumptions!$B$14*K211,0)</f>
        <v>15.41</v>
      </c>
      <c r="R211" s="9" t="n">
        <f aca="false">IF(Assumptions!$B$18,Assumptions!$B$15*L211,0)</f>
        <v>57.82</v>
      </c>
      <c r="S211" s="9" t="n">
        <f aca="false">IF(Assumptions!$B$18,Assumptions!$B$16*M211,0)</f>
        <v>219.31</v>
      </c>
      <c r="T211" s="9" t="n">
        <f aca="false">K211+N211+Q211</f>
        <v>175.51</v>
      </c>
      <c r="U211" s="9" t="n">
        <f aca="false">L211+O211+R211</f>
        <v>358.92</v>
      </c>
      <c r="V211" s="9" t="n">
        <f aca="false">M211+P211+S211</f>
        <v>863.91</v>
      </c>
      <c r="W211" s="9" t="n">
        <v>60</v>
      </c>
      <c r="X211" s="9" t="n">
        <v>140</v>
      </c>
      <c r="Y211" s="9" t="n">
        <v>400</v>
      </c>
      <c r="Z211" s="9" t="n">
        <f aca="false">U211-X211</f>
        <v>218.92</v>
      </c>
      <c r="AA211" s="10" t="n">
        <f aca="false">IFERROR((U211-X211)/X211,"")</f>
        <v>1.56371428571429</v>
      </c>
      <c r="AB211" s="8" t="str">
        <f aca="false">IF(ISNUMBER(AA211),IF(ABS(AA211)&gt;Assumptions!$B$19,"REVIEW",""),"")</f>
        <v>REVIEW</v>
      </c>
    </row>
    <row r="212" customFormat="false" ht="15" hidden="false" customHeight="false" outlineLevel="0" collapsed="false">
      <c r="A212" s="8" t="s">
        <v>270</v>
      </c>
      <c r="B212" s="8"/>
      <c r="C212" s="9" t="n">
        <v>30</v>
      </c>
      <c r="D212" s="9" t="n">
        <v>90</v>
      </c>
      <c r="E212" s="9" t="n">
        <v>220</v>
      </c>
      <c r="F212" s="9" t="n">
        <v>15</v>
      </c>
      <c r="G212" s="9" t="n">
        <v>8</v>
      </c>
      <c r="H212" s="9" t="n">
        <v>3.3</v>
      </c>
      <c r="I212" s="9" t="n">
        <v>1.6</v>
      </c>
      <c r="J212" s="9" t="n">
        <v>4.5</v>
      </c>
      <c r="K212" s="9" t="n">
        <f aca="false">C212+3*Assumptions!$B$4*F212+Assumptions!$B$7*G212+H212+I212</f>
        <v>87.9</v>
      </c>
      <c r="L212" s="9" t="n">
        <f aca="false">D212+3*Assumptions!$B$5*F212+Assumptions!$B$8*G212+H212+I212</f>
        <v>191.9</v>
      </c>
      <c r="M212" s="9" t="n">
        <f aca="false">E212+3*Assumptions!$B$6*F212+Assumptions!$B$9*G212+H212+I212</f>
        <v>414.4</v>
      </c>
      <c r="N212" s="9" t="n">
        <f aca="false">IF(AND(Assumptions!$B$17,ISNUMBER(J212)),Assumptions!$B$10*Assumptions!$B$13*J212,0)</f>
        <v>6.75</v>
      </c>
      <c r="O212" s="9" t="n">
        <f aca="false">IF(AND(Assumptions!$B$17,ISNUMBER(J212)),Assumptions!$B$11*Assumptions!$B$13*J212,0)</f>
        <v>13.5</v>
      </c>
      <c r="P212" s="9" t="n">
        <f aca="false">IF(AND(Assumptions!$B$17,ISNUMBER(J212)),Assumptions!$B$12*Assumptions!$B$13*J212,0)</f>
        <v>20.25</v>
      </c>
      <c r="Q212" s="9" t="n">
        <f aca="false">IF(Assumptions!$B$18,Assumptions!$B$14*K212,0)</f>
        <v>8.79</v>
      </c>
      <c r="R212" s="9" t="n">
        <f aca="false">IF(Assumptions!$B$18,Assumptions!$B$15*L212,0)</f>
        <v>38.38</v>
      </c>
      <c r="S212" s="9" t="n">
        <f aca="false">IF(Assumptions!$B$18,Assumptions!$B$16*M212,0)</f>
        <v>145.04</v>
      </c>
      <c r="T212" s="9" t="n">
        <f aca="false">K212+N212+Q212</f>
        <v>103.44</v>
      </c>
      <c r="U212" s="9" t="n">
        <f aca="false">L212+O212+R212</f>
        <v>243.78</v>
      </c>
      <c r="V212" s="9" t="n">
        <f aca="false">M212+P212+S212</f>
        <v>579.69</v>
      </c>
      <c r="W212" s="9" t="n">
        <v>45</v>
      </c>
      <c r="X212" s="9" t="n">
        <v>115</v>
      </c>
      <c r="Y212" s="9" t="n">
        <v>345</v>
      </c>
      <c r="Z212" s="9" t="n">
        <f aca="false">U212-X212</f>
        <v>128.78</v>
      </c>
      <c r="AA212" s="10" t="n">
        <f aca="false">IFERROR((U212-X212)/X212,"")</f>
        <v>1.11982608695652</v>
      </c>
      <c r="AB212" s="8" t="str">
        <f aca="false">IF(ISNUMBER(AA212),IF(ABS(AA212)&gt;Assumptions!$B$19,"REVIEW",""),"")</f>
        <v>REVIEW</v>
      </c>
    </row>
    <row r="213" customFormat="false" ht="15" hidden="false" customHeight="false" outlineLevel="0" collapsed="false">
      <c r="A213" s="8" t="s">
        <v>271</v>
      </c>
      <c r="B213" s="8"/>
      <c r="C213" s="9" t="n">
        <v>35</v>
      </c>
      <c r="D213" s="9" t="n">
        <v>80</v>
      </c>
      <c r="E213" s="9" t="n">
        <v>220</v>
      </c>
      <c r="F213" s="9" t="n">
        <v>15</v>
      </c>
      <c r="G213" s="9" t="n">
        <v>10</v>
      </c>
      <c r="H213" s="9" t="n">
        <v>2</v>
      </c>
      <c r="I213" s="9" t="n">
        <v>0.8</v>
      </c>
      <c r="J213" s="9" t="n">
        <v>2.5</v>
      </c>
      <c r="K213" s="9" t="n">
        <f aca="false">C213+3*Assumptions!$B$4*F213+Assumptions!$B$7*G213+H213+I213</f>
        <v>92.8</v>
      </c>
      <c r="L213" s="9" t="n">
        <f aca="false">D213+3*Assumptions!$B$5*F213+Assumptions!$B$8*G213+H213+I213</f>
        <v>183.8</v>
      </c>
      <c r="M213" s="9" t="n">
        <f aca="false">E213+3*Assumptions!$B$6*F213+Assumptions!$B$9*G213+H213+I213</f>
        <v>420.3</v>
      </c>
      <c r="N213" s="9" t="n">
        <f aca="false">IF(AND(Assumptions!$B$17,ISNUMBER(J213)),Assumptions!$B$10*Assumptions!$B$13*J213,0)</f>
        <v>3.75</v>
      </c>
      <c r="O213" s="9" t="n">
        <f aca="false">IF(AND(Assumptions!$B$17,ISNUMBER(J213)),Assumptions!$B$11*Assumptions!$B$13*J213,0)</f>
        <v>7.5</v>
      </c>
      <c r="P213" s="9" t="n">
        <f aca="false">IF(AND(Assumptions!$B$17,ISNUMBER(J213)),Assumptions!$B$12*Assumptions!$B$13*J213,0)</f>
        <v>11.25</v>
      </c>
      <c r="Q213" s="9" t="n">
        <f aca="false">IF(Assumptions!$B$18,Assumptions!$B$14*K213,0)</f>
        <v>9.28</v>
      </c>
      <c r="R213" s="9" t="n">
        <f aca="false">IF(Assumptions!$B$18,Assumptions!$B$15*L213,0)</f>
        <v>36.76</v>
      </c>
      <c r="S213" s="9" t="n">
        <f aca="false">IF(Assumptions!$B$18,Assumptions!$B$16*M213,0)</f>
        <v>147.105</v>
      </c>
      <c r="T213" s="9" t="n">
        <f aca="false">K213+N213+Q213</f>
        <v>105.83</v>
      </c>
      <c r="U213" s="9" t="n">
        <f aca="false">L213+O213+R213</f>
        <v>228.06</v>
      </c>
      <c r="V213" s="9" t="n">
        <f aca="false">M213+P213+S213</f>
        <v>578.655</v>
      </c>
      <c r="W213" s="9" t="n">
        <v>45</v>
      </c>
      <c r="X213" s="9" t="n">
        <v>110</v>
      </c>
      <c r="Y213" s="9" t="n">
        <v>320</v>
      </c>
      <c r="Z213" s="9" t="n">
        <f aca="false">U213-X213</f>
        <v>118.06</v>
      </c>
      <c r="AA213" s="10" t="n">
        <f aca="false">IFERROR((U213-X213)/X213,"")</f>
        <v>1.07327272727273</v>
      </c>
      <c r="AB213" s="8" t="str">
        <f aca="false">IF(ISNUMBER(AA213),IF(ABS(AA213)&gt;Assumptions!$B$19,"REVIEW",""),"")</f>
        <v>REVIEW</v>
      </c>
    </row>
    <row r="214" customFormat="false" ht="15" hidden="false" customHeight="false" outlineLevel="0" collapsed="false">
      <c r="A214" s="8" t="s">
        <v>272</v>
      </c>
      <c r="B214" s="8" t="s">
        <v>164</v>
      </c>
      <c r="C214" s="9" t="n">
        <v>50</v>
      </c>
      <c r="D214" s="9" t="n">
        <v>110</v>
      </c>
      <c r="E214" s="9" t="n">
        <v>250</v>
      </c>
      <c r="F214" s="9" t="n">
        <v>20</v>
      </c>
      <c r="G214" s="9" t="n">
        <v>12</v>
      </c>
      <c r="H214" s="9" t="n">
        <v>2.5</v>
      </c>
      <c r="I214" s="9" t="n">
        <v>0.3</v>
      </c>
      <c r="J214" s="9"/>
      <c r="K214" s="9" t="n">
        <f aca="false">C214+3*Assumptions!$B$4*F214+Assumptions!$B$7*G214+H214+I214</f>
        <v>124.8</v>
      </c>
      <c r="L214" s="9" t="n">
        <f aca="false">D214+3*Assumptions!$B$5*F214+Assumptions!$B$8*G214+H214+I214</f>
        <v>244.8</v>
      </c>
      <c r="M214" s="9" t="n">
        <f aca="false">E214+3*Assumptions!$B$6*F214+Assumptions!$B$9*G214+H214+I214</f>
        <v>510.8</v>
      </c>
      <c r="N214" s="9" t="n">
        <f aca="false">IF(AND(Assumptions!$B$17,ISNUMBER(J214)),Assumptions!$B$10*Assumptions!$B$13*J214,0)</f>
        <v>0</v>
      </c>
      <c r="O214" s="9" t="n">
        <f aca="false">IF(AND(Assumptions!$B$17,ISNUMBER(J214)),Assumptions!$B$11*Assumptions!$B$13*J214,0)</f>
        <v>0</v>
      </c>
      <c r="P214" s="9" t="n">
        <f aca="false">IF(AND(Assumptions!$B$17,ISNUMBER(J214)),Assumptions!$B$12*Assumptions!$B$13*J214,0)</f>
        <v>0</v>
      </c>
      <c r="Q214" s="9" t="n">
        <f aca="false">IF(Assumptions!$B$18,Assumptions!$B$14*K214,0)</f>
        <v>12.48</v>
      </c>
      <c r="R214" s="9" t="n">
        <f aca="false">IF(Assumptions!$B$18,Assumptions!$B$15*L214,0)</f>
        <v>48.96</v>
      </c>
      <c r="S214" s="9" t="n">
        <f aca="false">IF(Assumptions!$B$18,Assumptions!$B$16*M214,0)</f>
        <v>178.78</v>
      </c>
      <c r="T214" s="9" t="n">
        <f aca="false">K214+N214+Q214</f>
        <v>137.28</v>
      </c>
      <c r="U214" s="9" t="n">
        <f aca="false">L214+O214+R214</f>
        <v>293.76</v>
      </c>
      <c r="V214" s="9" t="n">
        <f aca="false">M214+P214+S214</f>
        <v>689.58</v>
      </c>
      <c r="W214" s="9" t="n">
        <v>70</v>
      </c>
      <c r="X214" s="9" t="n">
        <v>180</v>
      </c>
      <c r="Y214" s="9" t="n">
        <v>550</v>
      </c>
      <c r="Z214" s="9" t="n">
        <f aca="false">U214-X214</f>
        <v>113.76</v>
      </c>
      <c r="AA214" s="10" t="n">
        <f aca="false">IFERROR((U214-X214)/X214,"")</f>
        <v>0.632</v>
      </c>
      <c r="AB214" s="8" t="str">
        <f aca="false">IF(ISNUMBER(AA214),IF(ABS(AA214)&gt;Assumptions!$B$19,"REVIEW",""),"")</f>
        <v>REVIEW</v>
      </c>
    </row>
    <row r="215" customFormat="false" ht="15" hidden="false" customHeight="false" outlineLevel="0" collapsed="false">
      <c r="A215" s="8" t="s">
        <v>273</v>
      </c>
      <c r="B215" s="8"/>
      <c r="C215" s="9" t="n">
        <v>60</v>
      </c>
      <c r="D215" s="9" t="n">
        <v>120</v>
      </c>
      <c r="E215" s="9" t="n">
        <v>330</v>
      </c>
      <c r="F215" s="9" t="n">
        <v>25</v>
      </c>
      <c r="G215" s="9" t="n">
        <v>18</v>
      </c>
      <c r="H215" s="9" t="n">
        <v>1.5</v>
      </c>
      <c r="I215" s="9" t="n">
        <v>1</v>
      </c>
      <c r="J215" s="9" t="n">
        <v>6</v>
      </c>
      <c r="K215" s="9" t="n">
        <f aca="false">C215+3*Assumptions!$B$4*F215+Assumptions!$B$7*G215+H215+I215</f>
        <v>155.5</v>
      </c>
      <c r="L215" s="9" t="n">
        <f aca="false">D215+3*Assumptions!$B$5*F215+Assumptions!$B$8*G215+H215+I215</f>
        <v>293.5</v>
      </c>
      <c r="M215" s="9" t="n">
        <f aca="false">E215+3*Assumptions!$B$6*F215+Assumptions!$B$9*G215+H215+I215</f>
        <v>667</v>
      </c>
      <c r="N215" s="9" t="n">
        <f aca="false">IF(AND(Assumptions!$B$17,ISNUMBER(J215)),Assumptions!$B$10*Assumptions!$B$13*J215,0)</f>
        <v>9</v>
      </c>
      <c r="O215" s="9" t="n">
        <f aca="false">IF(AND(Assumptions!$B$17,ISNUMBER(J215)),Assumptions!$B$11*Assumptions!$B$13*J215,0)</f>
        <v>18</v>
      </c>
      <c r="P215" s="9" t="n">
        <f aca="false">IF(AND(Assumptions!$B$17,ISNUMBER(J215)),Assumptions!$B$12*Assumptions!$B$13*J215,0)</f>
        <v>27</v>
      </c>
      <c r="Q215" s="9" t="n">
        <f aca="false">IF(Assumptions!$B$18,Assumptions!$B$14*K215,0)</f>
        <v>15.55</v>
      </c>
      <c r="R215" s="9" t="n">
        <f aca="false">IF(Assumptions!$B$18,Assumptions!$B$15*L215,0)</f>
        <v>58.7</v>
      </c>
      <c r="S215" s="9" t="n">
        <f aca="false">IF(Assumptions!$B$18,Assumptions!$B$16*M215,0)</f>
        <v>233.45</v>
      </c>
      <c r="T215" s="9" t="n">
        <f aca="false">K215+N215+Q215</f>
        <v>180.05</v>
      </c>
      <c r="U215" s="9" t="n">
        <f aca="false">L215+O215+R215</f>
        <v>370.2</v>
      </c>
      <c r="V215" s="9" t="n">
        <f aca="false">M215+P215+S215</f>
        <v>927.45</v>
      </c>
      <c r="W215" s="9" t="n">
        <v>80</v>
      </c>
      <c r="X215" s="9" t="n">
        <v>190</v>
      </c>
      <c r="Y215" s="9" t="n">
        <v>520</v>
      </c>
      <c r="Z215" s="9" t="n">
        <f aca="false">U215-X215</f>
        <v>180.2</v>
      </c>
      <c r="AA215" s="10" t="n">
        <f aca="false">IFERROR((U215-X215)/X215,"")</f>
        <v>0.948421052631579</v>
      </c>
      <c r="AB215" s="8" t="str">
        <f aca="false">IF(ISNUMBER(AA215),IF(ABS(AA215)&gt;Assumptions!$B$19,"REVIEW",""),"")</f>
        <v>REVIEW</v>
      </c>
    </row>
    <row r="216" customFormat="false" ht="15" hidden="false" customHeight="false" outlineLevel="0" collapsed="false">
      <c r="A216" s="8" t="s">
        <v>274</v>
      </c>
      <c r="B216" s="8"/>
      <c r="C216" s="9" t="n">
        <v>45</v>
      </c>
      <c r="D216" s="9" t="n">
        <v>110</v>
      </c>
      <c r="E216" s="9" t="n">
        <v>260</v>
      </c>
      <c r="F216" s="9" t="n">
        <v>20</v>
      </c>
      <c r="G216" s="9" t="n">
        <v>10</v>
      </c>
      <c r="H216" s="9" t="n">
        <v>3.5</v>
      </c>
      <c r="I216" s="9" t="n">
        <v>1.5</v>
      </c>
      <c r="J216" s="9" t="n">
        <v>4.5</v>
      </c>
      <c r="K216" s="9" t="n">
        <f aca="false">C216+3*Assumptions!$B$4*F216+Assumptions!$B$7*G216+H216+I216</f>
        <v>120</v>
      </c>
      <c r="L216" s="9" t="n">
        <f aca="false">D216+3*Assumptions!$B$5*F216+Assumptions!$B$8*G216+H216+I216</f>
        <v>243</v>
      </c>
      <c r="M216" s="9" t="n">
        <f aca="false">E216+3*Assumptions!$B$6*F216+Assumptions!$B$9*G216+H216+I216</f>
        <v>515</v>
      </c>
      <c r="N216" s="9" t="n">
        <f aca="false">IF(AND(Assumptions!$B$17,ISNUMBER(J216)),Assumptions!$B$10*Assumptions!$B$13*J216,0)</f>
        <v>6.75</v>
      </c>
      <c r="O216" s="9" t="n">
        <f aca="false">IF(AND(Assumptions!$B$17,ISNUMBER(J216)),Assumptions!$B$11*Assumptions!$B$13*J216,0)</f>
        <v>13.5</v>
      </c>
      <c r="P216" s="9" t="n">
        <f aca="false">IF(AND(Assumptions!$B$17,ISNUMBER(J216)),Assumptions!$B$12*Assumptions!$B$13*J216,0)</f>
        <v>20.25</v>
      </c>
      <c r="Q216" s="9" t="n">
        <f aca="false">IF(Assumptions!$B$18,Assumptions!$B$14*K216,0)</f>
        <v>12</v>
      </c>
      <c r="R216" s="9" t="n">
        <f aca="false">IF(Assumptions!$B$18,Assumptions!$B$15*L216,0)</f>
        <v>48.6</v>
      </c>
      <c r="S216" s="9" t="n">
        <f aca="false">IF(Assumptions!$B$18,Assumptions!$B$16*M216,0)</f>
        <v>180.25</v>
      </c>
      <c r="T216" s="9" t="n">
        <f aca="false">K216+N216+Q216</f>
        <v>138.75</v>
      </c>
      <c r="U216" s="9" t="n">
        <f aca="false">L216+O216+R216</f>
        <v>305.1</v>
      </c>
      <c r="V216" s="9" t="n">
        <f aca="false">M216+P216+S216</f>
        <v>715.5</v>
      </c>
      <c r="W216" s="9" t="n">
        <v>60</v>
      </c>
      <c r="X216" s="9" t="n">
        <v>145</v>
      </c>
      <c r="Y216" s="9" t="n">
        <v>425</v>
      </c>
      <c r="Z216" s="9" t="n">
        <f aca="false">U216-X216</f>
        <v>160.1</v>
      </c>
      <c r="AA216" s="10" t="n">
        <f aca="false">IFERROR((U216-X216)/X216,"")</f>
        <v>1.10413793103448</v>
      </c>
      <c r="AB216" s="8" t="str">
        <f aca="false">IF(ISNUMBER(AA216),IF(ABS(AA216)&gt;Assumptions!$B$19,"REVIEW",""),"")</f>
        <v>REVIEW</v>
      </c>
    </row>
    <row r="217" customFormat="false" ht="15" hidden="false" customHeight="false" outlineLevel="0" collapsed="false">
      <c r="A217" s="8" t="s">
        <v>275</v>
      </c>
      <c r="B217" s="8"/>
      <c r="C217" s="9" t="n">
        <v>22</v>
      </c>
      <c r="D217" s="9" t="n">
        <v>55</v>
      </c>
      <c r="E217" s="9" t="n">
        <v>130</v>
      </c>
      <c r="F217" s="9" t="n">
        <v>12</v>
      </c>
      <c r="G217" s="9" t="n">
        <v>4</v>
      </c>
      <c r="H217" s="9" t="n">
        <v>2.5</v>
      </c>
      <c r="I217" s="9" t="n">
        <v>0.6</v>
      </c>
      <c r="J217" s="9" t="n">
        <v>2</v>
      </c>
      <c r="K217" s="9" t="n">
        <f aca="false">C217+3*Assumptions!$B$4*F217+Assumptions!$B$7*G217+H217+I217</f>
        <v>65.1</v>
      </c>
      <c r="L217" s="9" t="n">
        <f aca="false">D217+3*Assumptions!$B$5*F217+Assumptions!$B$8*G217+H217+I217</f>
        <v>130.9</v>
      </c>
      <c r="M217" s="9" t="n">
        <f aca="false">E217+3*Assumptions!$B$6*F217+Assumptions!$B$9*G217+H217+I217</f>
        <v>275.1</v>
      </c>
      <c r="N217" s="9" t="n">
        <f aca="false">IF(AND(Assumptions!$B$17,ISNUMBER(J217)),Assumptions!$B$10*Assumptions!$B$13*J217,0)</f>
        <v>3</v>
      </c>
      <c r="O217" s="9" t="n">
        <f aca="false">IF(AND(Assumptions!$B$17,ISNUMBER(J217)),Assumptions!$B$11*Assumptions!$B$13*J217,0)</f>
        <v>6</v>
      </c>
      <c r="P217" s="9" t="n">
        <f aca="false">IF(AND(Assumptions!$B$17,ISNUMBER(J217)),Assumptions!$B$12*Assumptions!$B$13*J217,0)</f>
        <v>9</v>
      </c>
      <c r="Q217" s="9" t="n">
        <f aca="false">IF(Assumptions!$B$18,Assumptions!$B$14*K217,0)</f>
        <v>6.51</v>
      </c>
      <c r="R217" s="9" t="n">
        <f aca="false">IF(Assumptions!$B$18,Assumptions!$B$15*L217,0)</f>
        <v>26.18</v>
      </c>
      <c r="S217" s="9" t="n">
        <f aca="false">IF(Assumptions!$B$18,Assumptions!$B$16*M217,0)</f>
        <v>96.285</v>
      </c>
      <c r="T217" s="9" t="n">
        <f aca="false">K217+N217+Q217</f>
        <v>74.61</v>
      </c>
      <c r="U217" s="9" t="n">
        <f aca="false">L217+O217+R217</f>
        <v>163.08</v>
      </c>
      <c r="V217" s="9" t="n">
        <f aca="false">M217+P217+S217</f>
        <v>380.385</v>
      </c>
      <c r="W217" s="9" t="n">
        <v>40</v>
      </c>
      <c r="X217" s="9" t="n">
        <v>95</v>
      </c>
      <c r="Y217" s="9" t="n">
        <v>300</v>
      </c>
      <c r="Z217" s="9" t="n">
        <f aca="false">U217-X217</f>
        <v>68.08</v>
      </c>
      <c r="AA217" s="10" t="n">
        <f aca="false">IFERROR((U217-X217)/X217,"")</f>
        <v>0.716631578947369</v>
      </c>
      <c r="AB217" s="8" t="str">
        <f aca="false">IF(ISNUMBER(AA217),IF(ABS(AA217)&gt;Assumptions!$B$19,"REVIEW",""),"")</f>
        <v>REVIEW</v>
      </c>
    </row>
    <row r="218" customFormat="false" ht="15" hidden="false" customHeight="false" outlineLevel="0" collapsed="false">
      <c r="A218" s="8" t="s">
        <v>276</v>
      </c>
      <c r="B218" s="8"/>
      <c r="C218" s="9" t="n">
        <v>130</v>
      </c>
      <c r="D218" s="9" t="n">
        <v>230</v>
      </c>
      <c r="E218" s="9" t="n">
        <v>500</v>
      </c>
      <c r="F218" s="9" t="n">
        <v>30</v>
      </c>
      <c r="G218" s="9" t="n">
        <v>30</v>
      </c>
      <c r="H218" s="9" t="n">
        <v>4.5</v>
      </c>
      <c r="I218" s="9" t="n">
        <v>2</v>
      </c>
      <c r="J218" s="9" t="n">
        <v>7</v>
      </c>
      <c r="K218" s="9" t="n">
        <f aca="false">C218+3*Assumptions!$B$4*F218+Assumptions!$B$7*G218+H218+I218</f>
        <v>256.5</v>
      </c>
      <c r="L218" s="9" t="n">
        <f aca="false">D218+3*Assumptions!$B$5*F218+Assumptions!$B$8*G218+H218+I218</f>
        <v>458.5</v>
      </c>
      <c r="M218" s="9" t="n">
        <f aca="false">E218+3*Assumptions!$B$6*F218+Assumptions!$B$9*G218+H218+I218</f>
        <v>941.5</v>
      </c>
      <c r="N218" s="9" t="n">
        <f aca="false">IF(AND(Assumptions!$B$17,ISNUMBER(J218)),Assumptions!$B$10*Assumptions!$B$13*J218,0)</f>
        <v>10.5</v>
      </c>
      <c r="O218" s="9" t="n">
        <f aca="false">IF(AND(Assumptions!$B$17,ISNUMBER(J218)),Assumptions!$B$11*Assumptions!$B$13*J218,0)</f>
        <v>21</v>
      </c>
      <c r="P218" s="9" t="n">
        <f aca="false">IF(AND(Assumptions!$B$17,ISNUMBER(J218)),Assumptions!$B$12*Assumptions!$B$13*J218,0)</f>
        <v>31.5</v>
      </c>
      <c r="Q218" s="9" t="n">
        <f aca="false">IF(Assumptions!$B$18,Assumptions!$B$14*K218,0)</f>
        <v>25.65</v>
      </c>
      <c r="R218" s="9" t="n">
        <f aca="false">IF(Assumptions!$B$18,Assumptions!$B$15*L218,0)</f>
        <v>91.7</v>
      </c>
      <c r="S218" s="9" t="n">
        <f aca="false">IF(Assumptions!$B$18,Assumptions!$B$16*M218,0)</f>
        <v>329.525</v>
      </c>
      <c r="T218" s="9" t="n">
        <f aca="false">K218+N218+Q218</f>
        <v>292.65</v>
      </c>
      <c r="U218" s="9" t="n">
        <f aca="false">L218+O218+R218</f>
        <v>571.2</v>
      </c>
      <c r="V218" s="9" t="n">
        <f aca="false">M218+P218+S218</f>
        <v>1302.525</v>
      </c>
      <c r="W218" s="9" t="n">
        <v>120</v>
      </c>
      <c r="X218" s="9" t="n">
        <v>300</v>
      </c>
      <c r="Y218" s="9" t="n">
        <v>800</v>
      </c>
      <c r="Z218" s="9" t="n">
        <f aca="false">U218-X218</f>
        <v>271.2</v>
      </c>
      <c r="AA218" s="10" t="n">
        <f aca="false">IFERROR((U218-X218)/X218,"")</f>
        <v>0.904</v>
      </c>
      <c r="AB218" s="8" t="str">
        <f aca="false">IF(ISNUMBER(AA218),IF(ABS(AA218)&gt;Assumptions!$B$19,"REVIEW",""),"")</f>
        <v>REVIEW</v>
      </c>
    </row>
    <row r="219" customFormat="false" ht="15" hidden="false" customHeight="false" outlineLevel="0" collapsed="false">
      <c r="A219" s="8" t="s">
        <v>277</v>
      </c>
      <c r="B219" s="8"/>
      <c r="C219" s="9" t="n">
        <v>25</v>
      </c>
      <c r="D219" s="9" t="n">
        <v>75</v>
      </c>
      <c r="E219" s="9" t="n">
        <v>180</v>
      </c>
      <c r="F219" s="9" t="n">
        <v>12</v>
      </c>
      <c r="G219" s="9" t="n">
        <v>6</v>
      </c>
      <c r="H219" s="9" t="n">
        <v>2.5</v>
      </c>
      <c r="I219" s="9" t="n">
        <v>1.5</v>
      </c>
      <c r="J219" s="9" t="n">
        <v>3.5</v>
      </c>
      <c r="K219" s="9" t="n">
        <f aca="false">C219+3*Assumptions!$B$4*F219+Assumptions!$B$7*G219+H219+I219</f>
        <v>71</v>
      </c>
      <c r="L219" s="9" t="n">
        <f aca="false">D219+3*Assumptions!$B$5*F219+Assumptions!$B$8*G219+H219+I219</f>
        <v>155.8</v>
      </c>
      <c r="M219" s="9" t="n">
        <f aca="false">E219+3*Assumptions!$B$6*F219+Assumptions!$B$9*G219+H219+I219</f>
        <v>334</v>
      </c>
      <c r="N219" s="9" t="n">
        <f aca="false">IF(AND(Assumptions!$B$17,ISNUMBER(J219)),Assumptions!$B$10*Assumptions!$B$13*J219,0)</f>
        <v>5.25</v>
      </c>
      <c r="O219" s="9" t="n">
        <f aca="false">IF(AND(Assumptions!$B$17,ISNUMBER(J219)),Assumptions!$B$11*Assumptions!$B$13*J219,0)</f>
        <v>10.5</v>
      </c>
      <c r="P219" s="9" t="n">
        <f aca="false">IF(AND(Assumptions!$B$17,ISNUMBER(J219)),Assumptions!$B$12*Assumptions!$B$13*J219,0)</f>
        <v>15.75</v>
      </c>
      <c r="Q219" s="9" t="n">
        <f aca="false">IF(Assumptions!$B$18,Assumptions!$B$14*K219,0)</f>
        <v>7.1</v>
      </c>
      <c r="R219" s="9" t="n">
        <f aca="false">IF(Assumptions!$B$18,Assumptions!$B$15*L219,0)</f>
        <v>31.16</v>
      </c>
      <c r="S219" s="9" t="n">
        <f aca="false">IF(Assumptions!$B$18,Assumptions!$B$16*M219,0)</f>
        <v>116.9</v>
      </c>
      <c r="T219" s="9" t="n">
        <f aca="false">K219+N219+Q219</f>
        <v>83.35</v>
      </c>
      <c r="U219" s="9" t="n">
        <f aca="false">L219+O219+R219</f>
        <v>197.46</v>
      </c>
      <c r="V219" s="9" t="n">
        <f aca="false">M219+P219+S219</f>
        <v>466.65</v>
      </c>
      <c r="W219" s="9" t="n">
        <v>40</v>
      </c>
      <c r="X219" s="9" t="n">
        <v>100</v>
      </c>
      <c r="Y219" s="9" t="n">
        <v>295</v>
      </c>
      <c r="Z219" s="9" t="n">
        <f aca="false">U219-X219</f>
        <v>97.46</v>
      </c>
      <c r="AA219" s="10" t="n">
        <f aca="false">IFERROR((U219-X219)/X219,"")</f>
        <v>0.9746</v>
      </c>
      <c r="AB219" s="8" t="str">
        <f aca="false">IF(ISNUMBER(AA219),IF(ABS(AA219)&gt;Assumptions!$B$19,"REVIEW",""),"")</f>
        <v>REVIEW</v>
      </c>
    </row>
    <row r="220" customFormat="false" ht="15" hidden="false" customHeight="false" outlineLevel="0" collapsed="false">
      <c r="A220" s="8" t="s">
        <v>278</v>
      </c>
      <c r="B220" s="8"/>
      <c r="C220" s="9" t="n">
        <v>70</v>
      </c>
      <c r="D220" s="9" t="n">
        <v>130</v>
      </c>
      <c r="E220" s="9" t="n">
        <v>250</v>
      </c>
      <c r="F220" s="9" t="n">
        <v>25</v>
      </c>
      <c r="G220" s="9" t="n">
        <v>15</v>
      </c>
      <c r="H220" s="9" t="n">
        <v>1.5</v>
      </c>
      <c r="I220" s="9" t="n">
        <v>1.5</v>
      </c>
      <c r="J220" s="9" t="n">
        <v>5</v>
      </c>
      <c r="K220" s="9" t="n">
        <f aca="false">C220+3*Assumptions!$B$4*F220+Assumptions!$B$7*G220+H220+I220</f>
        <v>163</v>
      </c>
      <c r="L220" s="9" t="n">
        <f aca="false">D220+3*Assumptions!$B$5*F220+Assumptions!$B$8*G220+H220+I220</f>
        <v>298</v>
      </c>
      <c r="M220" s="9" t="n">
        <f aca="false">E220+3*Assumptions!$B$6*F220+Assumptions!$B$9*G220+H220+I220</f>
        <v>575.5</v>
      </c>
      <c r="N220" s="9" t="n">
        <f aca="false">IF(AND(Assumptions!$B$17,ISNUMBER(J220)),Assumptions!$B$10*Assumptions!$B$13*J220,0)</f>
        <v>7.5</v>
      </c>
      <c r="O220" s="9" t="n">
        <f aca="false">IF(AND(Assumptions!$B$17,ISNUMBER(J220)),Assumptions!$B$11*Assumptions!$B$13*J220,0)</f>
        <v>15</v>
      </c>
      <c r="P220" s="9" t="n">
        <f aca="false">IF(AND(Assumptions!$B$17,ISNUMBER(J220)),Assumptions!$B$12*Assumptions!$B$13*J220,0)</f>
        <v>22.5</v>
      </c>
      <c r="Q220" s="9" t="n">
        <f aca="false">IF(Assumptions!$B$18,Assumptions!$B$14*K220,0)</f>
        <v>16.3</v>
      </c>
      <c r="R220" s="9" t="n">
        <f aca="false">IF(Assumptions!$B$18,Assumptions!$B$15*L220,0)</f>
        <v>59.6</v>
      </c>
      <c r="S220" s="9" t="n">
        <f aca="false">IF(Assumptions!$B$18,Assumptions!$B$16*M220,0)</f>
        <v>201.425</v>
      </c>
      <c r="T220" s="9" t="n">
        <f aca="false">K220+N220+Q220</f>
        <v>186.8</v>
      </c>
      <c r="U220" s="9" t="n">
        <f aca="false">L220+O220+R220</f>
        <v>372.6</v>
      </c>
      <c r="V220" s="9" t="n">
        <f aca="false">M220+P220+S220</f>
        <v>799.425</v>
      </c>
      <c r="W220" s="9" t="n">
        <v>75</v>
      </c>
      <c r="X220" s="9" t="n">
        <v>180</v>
      </c>
      <c r="Y220" s="9" t="n">
        <v>500</v>
      </c>
      <c r="Z220" s="9" t="n">
        <f aca="false">U220-X220</f>
        <v>192.6</v>
      </c>
      <c r="AA220" s="10" t="n">
        <f aca="false">IFERROR((U220-X220)/X220,"")</f>
        <v>1.07</v>
      </c>
      <c r="AB220" s="8" t="str">
        <f aca="false">IF(ISNUMBER(AA220),IF(ABS(AA220)&gt;Assumptions!$B$19,"REVIEW",""),"")</f>
        <v>REVIEW</v>
      </c>
    </row>
    <row r="221" customFormat="false" ht="15" hidden="false" customHeight="false" outlineLevel="0" collapsed="false">
      <c r="A221" s="8" t="s">
        <v>279</v>
      </c>
      <c r="B221" s="8"/>
      <c r="C221" s="9" t="n">
        <v>25</v>
      </c>
      <c r="D221" s="9" t="n">
        <v>70</v>
      </c>
      <c r="E221" s="9" t="n">
        <v>180</v>
      </c>
      <c r="F221" s="9" t="n">
        <v>10</v>
      </c>
      <c r="G221" s="9" t="n">
        <v>6</v>
      </c>
      <c r="H221" s="9" t="n">
        <v>2.5</v>
      </c>
      <c r="I221" s="9" t="n">
        <v>1</v>
      </c>
      <c r="J221" s="9" t="n">
        <v>2.75</v>
      </c>
      <c r="K221" s="9" t="n">
        <f aca="false">C221+3*Assumptions!$B$4*F221+Assumptions!$B$7*G221+H221+I221</f>
        <v>64.5</v>
      </c>
      <c r="L221" s="9" t="n">
        <f aca="false">D221+3*Assumptions!$B$5*F221+Assumptions!$B$8*G221+H221+I221</f>
        <v>139.5</v>
      </c>
      <c r="M221" s="9" t="n">
        <f aca="false">E221+3*Assumptions!$B$6*F221+Assumptions!$B$9*G221+H221+I221</f>
        <v>312.5</v>
      </c>
      <c r="N221" s="9" t="n">
        <f aca="false">IF(AND(Assumptions!$B$17,ISNUMBER(J221)),Assumptions!$B$10*Assumptions!$B$13*J221,0)</f>
        <v>4.125</v>
      </c>
      <c r="O221" s="9" t="n">
        <f aca="false">IF(AND(Assumptions!$B$17,ISNUMBER(J221)),Assumptions!$B$11*Assumptions!$B$13*J221,0)</f>
        <v>8.25</v>
      </c>
      <c r="P221" s="9" t="n">
        <f aca="false">IF(AND(Assumptions!$B$17,ISNUMBER(J221)),Assumptions!$B$12*Assumptions!$B$13*J221,0)</f>
        <v>12.375</v>
      </c>
      <c r="Q221" s="9" t="n">
        <f aca="false">IF(Assumptions!$B$18,Assumptions!$B$14*K221,0)</f>
        <v>6.45</v>
      </c>
      <c r="R221" s="9" t="n">
        <f aca="false">IF(Assumptions!$B$18,Assumptions!$B$15*L221,0)</f>
        <v>27.9</v>
      </c>
      <c r="S221" s="9" t="n">
        <f aca="false">IF(Assumptions!$B$18,Assumptions!$B$16*M221,0)</f>
        <v>109.375</v>
      </c>
      <c r="T221" s="9" t="n">
        <f aca="false">K221+N221+Q221</f>
        <v>75.075</v>
      </c>
      <c r="U221" s="9" t="n">
        <f aca="false">L221+O221+R221</f>
        <v>175.65</v>
      </c>
      <c r="V221" s="9" t="n">
        <f aca="false">M221+P221+S221</f>
        <v>434.25</v>
      </c>
      <c r="W221" s="9" t="n">
        <v>40</v>
      </c>
      <c r="X221" s="9" t="n">
        <v>95</v>
      </c>
      <c r="Y221" s="9" t="n">
        <v>280</v>
      </c>
      <c r="Z221" s="9" t="n">
        <f aca="false">U221-X221</f>
        <v>80.65</v>
      </c>
      <c r="AA221" s="10" t="n">
        <f aca="false">IFERROR((U221-X221)/X221,"")</f>
        <v>0.848947368421053</v>
      </c>
      <c r="AB221" s="8" t="str">
        <f aca="false">IF(ISNUMBER(AA221),IF(ABS(AA221)&gt;Assumptions!$B$19,"REVIEW",""),"")</f>
        <v>REVIEW</v>
      </c>
    </row>
    <row r="222" customFormat="false" ht="15" hidden="false" customHeight="false" outlineLevel="0" collapsed="false">
      <c r="A222" s="8" t="s">
        <v>280</v>
      </c>
      <c r="B222" s="8" t="s">
        <v>60</v>
      </c>
      <c r="C222" s="9" t="n">
        <v>15</v>
      </c>
      <c r="D222" s="9" t="n">
        <v>45</v>
      </c>
      <c r="E222" s="9" t="n">
        <v>130</v>
      </c>
      <c r="F222" s="9" t="n">
        <v>5</v>
      </c>
      <c r="G222" s="9" t="n">
        <v>3</v>
      </c>
      <c r="H222" s="9" t="n">
        <v>2</v>
      </c>
      <c r="I222" s="9" t="n">
        <v>0.5</v>
      </c>
      <c r="J222" s="9"/>
      <c r="K222" s="9" t="n">
        <f aca="false">C222+3*Assumptions!$B$4*F222+Assumptions!$B$7*G222+H222+I222</f>
        <v>35.5</v>
      </c>
      <c r="L222" s="9" t="n">
        <f aca="false">D222+3*Assumptions!$B$5*F222+Assumptions!$B$8*G222+H222+I222</f>
        <v>80.5</v>
      </c>
      <c r="M222" s="9" t="n">
        <f aca="false">E222+3*Assumptions!$B$6*F222+Assumptions!$B$9*G222+H222+I222</f>
        <v>197</v>
      </c>
      <c r="N222" s="9" t="n">
        <f aca="false">IF(AND(Assumptions!$B$17,ISNUMBER(J222)),Assumptions!$B$10*Assumptions!$B$13*J222,0)</f>
        <v>0</v>
      </c>
      <c r="O222" s="9" t="n">
        <f aca="false">IF(AND(Assumptions!$B$17,ISNUMBER(J222)),Assumptions!$B$11*Assumptions!$B$13*J222,0)</f>
        <v>0</v>
      </c>
      <c r="P222" s="9" t="n">
        <f aca="false">IF(AND(Assumptions!$B$17,ISNUMBER(J222)),Assumptions!$B$12*Assumptions!$B$13*J222,0)</f>
        <v>0</v>
      </c>
      <c r="Q222" s="9" t="n">
        <f aca="false">IF(Assumptions!$B$18,Assumptions!$B$14*K222,0)</f>
        <v>3.55</v>
      </c>
      <c r="R222" s="9" t="n">
        <f aca="false">IF(Assumptions!$B$18,Assumptions!$B$15*L222,0)</f>
        <v>16.1</v>
      </c>
      <c r="S222" s="9" t="n">
        <f aca="false">IF(Assumptions!$B$18,Assumptions!$B$16*M222,0)</f>
        <v>68.95</v>
      </c>
      <c r="T222" s="9" t="n">
        <f aca="false">K222+N222+Q222</f>
        <v>39.05</v>
      </c>
      <c r="U222" s="9" t="n">
        <f aca="false">L222+O222+R222</f>
        <v>96.6</v>
      </c>
      <c r="V222" s="9" t="n">
        <f aca="false">M222+P222+S222</f>
        <v>265.95</v>
      </c>
      <c r="W222" s="9" t="n">
        <v>30</v>
      </c>
      <c r="X222" s="9" t="n">
        <v>65</v>
      </c>
      <c r="Y222" s="9" t="n">
        <v>205</v>
      </c>
      <c r="Z222" s="9" t="n">
        <f aca="false">U222-X222</f>
        <v>31.6</v>
      </c>
      <c r="AA222" s="10" t="n">
        <f aca="false">IFERROR((U222-X222)/X222,"")</f>
        <v>0.486153846153846</v>
      </c>
      <c r="AB222" s="8" t="str">
        <f aca="false">IF(ISNUMBER(AA222),IF(ABS(AA222)&gt;Assumptions!$B$19,"REVIEW",""),"")</f>
        <v>REVIEW</v>
      </c>
    </row>
    <row r="223" customFormat="false" ht="15" hidden="false" customHeight="false" outlineLevel="0" collapsed="false">
      <c r="A223" s="8" t="s">
        <v>281</v>
      </c>
      <c r="B223" s="8"/>
      <c r="C223" s="9" t="n">
        <v>40</v>
      </c>
      <c r="D223" s="9" t="n">
        <v>90</v>
      </c>
      <c r="E223" s="9" t="n">
        <v>190</v>
      </c>
      <c r="F223" s="9" t="n">
        <v>18</v>
      </c>
      <c r="G223" s="9" t="n">
        <v>12</v>
      </c>
      <c r="H223" s="9" t="n">
        <v>2.5</v>
      </c>
      <c r="I223" s="9" t="n">
        <v>1</v>
      </c>
      <c r="J223" s="9" t="n">
        <v>3</v>
      </c>
      <c r="K223" s="9" t="n">
        <f aca="false">C223+3*Assumptions!$B$4*F223+Assumptions!$B$7*G223+H223+I223</f>
        <v>109.5</v>
      </c>
      <c r="L223" s="9" t="n">
        <f aca="false">D223+3*Assumptions!$B$5*F223+Assumptions!$B$8*G223+H223+I223</f>
        <v>214.7</v>
      </c>
      <c r="M223" s="9" t="n">
        <f aca="false">E223+3*Assumptions!$B$6*F223+Assumptions!$B$9*G223+H223+I223</f>
        <v>430.5</v>
      </c>
      <c r="N223" s="9" t="n">
        <f aca="false">IF(AND(Assumptions!$B$17,ISNUMBER(J223)),Assumptions!$B$10*Assumptions!$B$13*J223,0)</f>
        <v>4.5</v>
      </c>
      <c r="O223" s="9" t="n">
        <f aca="false">IF(AND(Assumptions!$B$17,ISNUMBER(J223)),Assumptions!$B$11*Assumptions!$B$13*J223,0)</f>
        <v>9</v>
      </c>
      <c r="P223" s="9" t="n">
        <f aca="false">IF(AND(Assumptions!$B$17,ISNUMBER(J223)),Assumptions!$B$12*Assumptions!$B$13*J223,0)</f>
        <v>13.5</v>
      </c>
      <c r="Q223" s="9" t="n">
        <f aca="false">IF(Assumptions!$B$18,Assumptions!$B$14*K223,0)</f>
        <v>10.95</v>
      </c>
      <c r="R223" s="9" t="n">
        <f aca="false">IF(Assumptions!$B$18,Assumptions!$B$15*L223,0)</f>
        <v>42.94</v>
      </c>
      <c r="S223" s="9" t="n">
        <f aca="false">IF(Assumptions!$B$18,Assumptions!$B$16*M223,0)</f>
        <v>150.675</v>
      </c>
      <c r="T223" s="9" t="n">
        <f aca="false">K223+N223+Q223</f>
        <v>124.95</v>
      </c>
      <c r="U223" s="9" t="n">
        <f aca="false">L223+O223+R223</f>
        <v>266.64</v>
      </c>
      <c r="V223" s="9" t="n">
        <f aca="false">M223+P223+S223</f>
        <v>594.675</v>
      </c>
      <c r="W223" s="9" t="n">
        <v>55</v>
      </c>
      <c r="X223" s="9" t="n">
        <v>130</v>
      </c>
      <c r="Y223" s="9" t="n">
        <v>370</v>
      </c>
      <c r="Z223" s="9" t="n">
        <f aca="false">U223-X223</f>
        <v>136.64</v>
      </c>
      <c r="AA223" s="10" t="n">
        <f aca="false">IFERROR((U223-X223)/X223,"")</f>
        <v>1.05107692307692</v>
      </c>
      <c r="AB223" s="8" t="str">
        <f aca="false">IF(ISNUMBER(AA223),IF(ABS(AA223)&gt;Assumptions!$B$19,"REVIEW",""),"")</f>
        <v>REVIEW</v>
      </c>
    </row>
    <row r="224" customFormat="false" ht="15" hidden="false" customHeight="false" outlineLevel="0" collapsed="false">
      <c r="A224" s="8" t="s">
        <v>282</v>
      </c>
      <c r="B224" s="8"/>
      <c r="C224" s="9" t="n">
        <v>40</v>
      </c>
      <c r="D224" s="9" t="n">
        <v>85</v>
      </c>
      <c r="E224" s="9" t="n">
        <v>240</v>
      </c>
      <c r="F224" s="9" t="n">
        <v>15</v>
      </c>
      <c r="G224" s="9" t="n">
        <v>18</v>
      </c>
      <c r="H224" s="9" t="n">
        <v>4</v>
      </c>
      <c r="I224" s="9" t="n">
        <v>1.5</v>
      </c>
      <c r="J224" s="9" t="n">
        <v>5</v>
      </c>
      <c r="K224" s="9" t="n">
        <f aca="false">C224+3*Assumptions!$B$4*F224+Assumptions!$B$7*G224+H224+I224</f>
        <v>108.5</v>
      </c>
      <c r="L224" s="9" t="n">
        <f aca="false">D224+3*Assumptions!$B$5*F224+Assumptions!$B$8*G224+H224+I224</f>
        <v>207.5</v>
      </c>
      <c r="M224" s="9" t="n">
        <f aca="false">E224+3*Assumptions!$B$6*F224+Assumptions!$B$9*G224+H224+I224</f>
        <v>475</v>
      </c>
      <c r="N224" s="9" t="n">
        <f aca="false">IF(AND(Assumptions!$B$17,ISNUMBER(J224)),Assumptions!$B$10*Assumptions!$B$13*J224,0)</f>
        <v>7.5</v>
      </c>
      <c r="O224" s="9" t="n">
        <f aca="false">IF(AND(Assumptions!$B$17,ISNUMBER(J224)),Assumptions!$B$11*Assumptions!$B$13*J224,0)</f>
        <v>15</v>
      </c>
      <c r="P224" s="9" t="n">
        <f aca="false">IF(AND(Assumptions!$B$17,ISNUMBER(J224)),Assumptions!$B$12*Assumptions!$B$13*J224,0)</f>
        <v>22.5</v>
      </c>
      <c r="Q224" s="9" t="n">
        <f aca="false">IF(Assumptions!$B$18,Assumptions!$B$14*K224,0)</f>
        <v>10.85</v>
      </c>
      <c r="R224" s="9" t="n">
        <f aca="false">IF(Assumptions!$B$18,Assumptions!$B$15*L224,0)</f>
        <v>41.5</v>
      </c>
      <c r="S224" s="9" t="n">
        <f aca="false">IF(Assumptions!$B$18,Assumptions!$B$16*M224,0)</f>
        <v>166.25</v>
      </c>
      <c r="T224" s="9" t="n">
        <f aca="false">K224+N224+Q224</f>
        <v>126.85</v>
      </c>
      <c r="U224" s="9" t="n">
        <f aca="false">L224+O224+R224</f>
        <v>264</v>
      </c>
      <c r="V224" s="9" t="n">
        <f aca="false">M224+P224+S224</f>
        <v>663.75</v>
      </c>
      <c r="W224" s="9" t="n">
        <v>60</v>
      </c>
      <c r="X224" s="9" t="n">
        <v>140</v>
      </c>
      <c r="Y224" s="9" t="n">
        <v>380</v>
      </c>
      <c r="Z224" s="9" t="n">
        <f aca="false">U224-X224</f>
        <v>124</v>
      </c>
      <c r="AA224" s="10" t="n">
        <f aca="false">IFERROR((U224-X224)/X224,"")</f>
        <v>0.885714285714286</v>
      </c>
      <c r="AB224" s="8" t="str">
        <f aca="false">IF(ISNUMBER(AA224),IF(ABS(AA224)&gt;Assumptions!$B$19,"REVIEW",""),"")</f>
        <v>REVIEW</v>
      </c>
    </row>
    <row r="225" customFormat="false" ht="15" hidden="false" customHeight="false" outlineLevel="0" collapsed="false">
      <c r="A225" s="8" t="s">
        <v>283</v>
      </c>
      <c r="B225" s="8"/>
      <c r="C225" s="9" t="n">
        <v>25</v>
      </c>
      <c r="D225" s="9" t="n">
        <v>75</v>
      </c>
      <c r="E225" s="9" t="n">
        <v>180</v>
      </c>
      <c r="F225" s="9" t="n">
        <v>10</v>
      </c>
      <c r="G225" s="9" t="n">
        <v>6</v>
      </c>
      <c r="H225" s="9" t="n">
        <v>1.7</v>
      </c>
      <c r="I225" s="9" t="n">
        <v>1.1</v>
      </c>
      <c r="J225" s="9" t="n">
        <v>2.5</v>
      </c>
      <c r="K225" s="9" t="n">
        <f aca="false">C225+3*Assumptions!$B$4*F225+Assumptions!$B$7*G225+H225+I225</f>
        <v>63.8</v>
      </c>
      <c r="L225" s="9" t="n">
        <f aca="false">D225+3*Assumptions!$B$5*F225+Assumptions!$B$8*G225+H225+I225</f>
        <v>143.8</v>
      </c>
      <c r="M225" s="9" t="n">
        <f aca="false">E225+3*Assumptions!$B$6*F225+Assumptions!$B$9*G225+H225+I225</f>
        <v>311.8</v>
      </c>
      <c r="N225" s="9" t="n">
        <f aca="false">IF(AND(Assumptions!$B$17,ISNUMBER(J225)),Assumptions!$B$10*Assumptions!$B$13*J225,0)</f>
        <v>3.75</v>
      </c>
      <c r="O225" s="9" t="n">
        <f aca="false">IF(AND(Assumptions!$B$17,ISNUMBER(J225)),Assumptions!$B$11*Assumptions!$B$13*J225,0)</f>
        <v>7.5</v>
      </c>
      <c r="P225" s="9" t="n">
        <f aca="false">IF(AND(Assumptions!$B$17,ISNUMBER(J225)),Assumptions!$B$12*Assumptions!$B$13*J225,0)</f>
        <v>11.25</v>
      </c>
      <c r="Q225" s="9" t="n">
        <f aca="false">IF(Assumptions!$B$18,Assumptions!$B$14*K225,0)</f>
        <v>6.38</v>
      </c>
      <c r="R225" s="9" t="n">
        <f aca="false">IF(Assumptions!$B$18,Assumptions!$B$15*L225,0)</f>
        <v>28.76</v>
      </c>
      <c r="S225" s="9" t="n">
        <f aca="false">IF(Assumptions!$B$18,Assumptions!$B$16*M225,0)</f>
        <v>109.13</v>
      </c>
      <c r="T225" s="9" t="n">
        <f aca="false">K225+N225+Q225</f>
        <v>73.93</v>
      </c>
      <c r="U225" s="9" t="n">
        <f aca="false">L225+O225+R225</f>
        <v>180.06</v>
      </c>
      <c r="V225" s="9" t="n">
        <f aca="false">M225+P225+S225</f>
        <v>432.18</v>
      </c>
      <c r="W225" s="9" t="n">
        <v>40</v>
      </c>
      <c r="X225" s="9" t="n">
        <v>95</v>
      </c>
      <c r="Y225" s="9" t="n">
        <v>280</v>
      </c>
      <c r="Z225" s="9" t="n">
        <f aca="false">U225-X225</f>
        <v>85.06</v>
      </c>
      <c r="AA225" s="10" t="n">
        <f aca="false">IFERROR((U225-X225)/X225,"")</f>
        <v>0.895368421052631</v>
      </c>
      <c r="AB225" s="8" t="str">
        <f aca="false">IF(ISNUMBER(AA225),IF(ABS(AA225)&gt;Assumptions!$B$19,"REVIEW",""),"")</f>
        <v>REVIEW</v>
      </c>
    </row>
    <row r="226" customFormat="false" ht="15" hidden="false" customHeight="false" outlineLevel="0" collapsed="false">
      <c r="A226" s="8" t="s">
        <v>284</v>
      </c>
      <c r="B226" s="8"/>
      <c r="C226" s="9" t="n">
        <v>40</v>
      </c>
      <c r="D226" s="9" t="n">
        <v>90</v>
      </c>
      <c r="E226" s="9" t="n">
        <v>250</v>
      </c>
      <c r="F226" s="9" t="n">
        <v>12</v>
      </c>
      <c r="G226" s="9" t="n">
        <v>10</v>
      </c>
      <c r="H226" s="9" t="n">
        <v>4</v>
      </c>
      <c r="I226" s="9" t="n">
        <v>1</v>
      </c>
      <c r="J226" s="9" t="n">
        <v>4.5</v>
      </c>
      <c r="K226" s="9" t="n">
        <f aca="false">C226+3*Assumptions!$B$4*F226+Assumptions!$B$7*G226+H226+I226</f>
        <v>91</v>
      </c>
      <c r="L226" s="9" t="n">
        <f aca="false">D226+3*Assumptions!$B$5*F226+Assumptions!$B$8*G226+H226+I226</f>
        <v>179.8</v>
      </c>
      <c r="M226" s="9" t="n">
        <f aca="false">E226+3*Assumptions!$B$6*F226+Assumptions!$B$9*G226+H226+I226</f>
        <v>421</v>
      </c>
      <c r="N226" s="9" t="n">
        <f aca="false">IF(AND(Assumptions!$B$17,ISNUMBER(J226)),Assumptions!$B$10*Assumptions!$B$13*J226,0)</f>
        <v>6.75</v>
      </c>
      <c r="O226" s="9" t="n">
        <f aca="false">IF(AND(Assumptions!$B$17,ISNUMBER(J226)),Assumptions!$B$11*Assumptions!$B$13*J226,0)</f>
        <v>13.5</v>
      </c>
      <c r="P226" s="9" t="n">
        <f aca="false">IF(AND(Assumptions!$B$17,ISNUMBER(J226)),Assumptions!$B$12*Assumptions!$B$13*J226,0)</f>
        <v>20.25</v>
      </c>
      <c r="Q226" s="9" t="n">
        <f aca="false">IF(Assumptions!$B$18,Assumptions!$B$14*K226,0)</f>
        <v>9.1</v>
      </c>
      <c r="R226" s="9" t="n">
        <f aca="false">IF(Assumptions!$B$18,Assumptions!$B$15*L226,0)</f>
        <v>35.96</v>
      </c>
      <c r="S226" s="9" t="n">
        <f aca="false">IF(Assumptions!$B$18,Assumptions!$B$16*M226,0)</f>
        <v>147.35</v>
      </c>
      <c r="T226" s="9" t="n">
        <f aca="false">K226+N226+Q226</f>
        <v>106.85</v>
      </c>
      <c r="U226" s="9" t="n">
        <f aca="false">L226+O226+R226</f>
        <v>229.26</v>
      </c>
      <c r="V226" s="9" t="n">
        <f aca="false">M226+P226+S226</f>
        <v>588.6</v>
      </c>
      <c r="W226" s="9" t="n">
        <v>65</v>
      </c>
      <c r="X226" s="9" t="n">
        <v>150</v>
      </c>
      <c r="Y226" s="9" t="n">
        <v>400</v>
      </c>
      <c r="Z226" s="9" t="n">
        <f aca="false">U226-X226</f>
        <v>79.26</v>
      </c>
      <c r="AA226" s="10" t="n">
        <f aca="false">IFERROR((U226-X226)/X226,"")</f>
        <v>0.5284</v>
      </c>
      <c r="AB226" s="8" t="str">
        <f aca="false">IF(ISNUMBER(AA226),IF(ABS(AA226)&gt;Assumptions!$B$19,"REVIEW",""),"")</f>
        <v>REVIEW</v>
      </c>
    </row>
    <row r="227" customFormat="false" ht="15" hidden="false" customHeight="false" outlineLevel="0" collapsed="false">
      <c r="A227" s="8" t="s">
        <v>285</v>
      </c>
      <c r="B227" s="8"/>
      <c r="C227" s="9" t="n">
        <v>55</v>
      </c>
      <c r="D227" s="9" t="n">
        <v>110</v>
      </c>
      <c r="E227" s="9" t="n">
        <v>280</v>
      </c>
      <c r="F227" s="9" t="n">
        <v>20</v>
      </c>
      <c r="G227" s="9" t="n">
        <v>18</v>
      </c>
      <c r="H227" s="9" t="n">
        <v>2</v>
      </c>
      <c r="I227" s="9" t="n">
        <v>1.5</v>
      </c>
      <c r="J227" s="9" t="n">
        <v>2.5</v>
      </c>
      <c r="K227" s="9" t="n">
        <f aca="false">C227+3*Assumptions!$B$4*F227+Assumptions!$B$7*G227+H227+I227</f>
        <v>136.5</v>
      </c>
      <c r="L227" s="9" t="n">
        <f aca="false">D227+3*Assumptions!$B$5*F227+Assumptions!$B$8*G227+H227+I227</f>
        <v>257.5</v>
      </c>
      <c r="M227" s="9" t="n">
        <f aca="false">E227+3*Assumptions!$B$6*F227+Assumptions!$B$9*G227+H227+I227</f>
        <v>565.5</v>
      </c>
      <c r="N227" s="9" t="n">
        <f aca="false">IF(AND(Assumptions!$B$17,ISNUMBER(J227)),Assumptions!$B$10*Assumptions!$B$13*J227,0)</f>
        <v>3.75</v>
      </c>
      <c r="O227" s="9" t="n">
        <f aca="false">IF(AND(Assumptions!$B$17,ISNUMBER(J227)),Assumptions!$B$11*Assumptions!$B$13*J227,0)</f>
        <v>7.5</v>
      </c>
      <c r="P227" s="9" t="n">
        <f aca="false">IF(AND(Assumptions!$B$17,ISNUMBER(J227)),Assumptions!$B$12*Assumptions!$B$13*J227,0)</f>
        <v>11.25</v>
      </c>
      <c r="Q227" s="9" t="n">
        <f aca="false">IF(Assumptions!$B$18,Assumptions!$B$14*K227,0)</f>
        <v>13.65</v>
      </c>
      <c r="R227" s="9" t="n">
        <f aca="false">IF(Assumptions!$B$18,Assumptions!$B$15*L227,0)</f>
        <v>51.5</v>
      </c>
      <c r="S227" s="9" t="n">
        <f aca="false">IF(Assumptions!$B$18,Assumptions!$B$16*M227,0)</f>
        <v>197.925</v>
      </c>
      <c r="T227" s="9" t="n">
        <f aca="false">K227+N227+Q227</f>
        <v>153.9</v>
      </c>
      <c r="U227" s="9" t="n">
        <f aca="false">L227+O227+R227</f>
        <v>316.5</v>
      </c>
      <c r="V227" s="9" t="n">
        <f aca="false">M227+P227+S227</f>
        <v>774.675</v>
      </c>
      <c r="W227" s="9" t="n">
        <v>65</v>
      </c>
      <c r="X227" s="9" t="n">
        <v>150</v>
      </c>
      <c r="Y227" s="9" t="n">
        <v>420</v>
      </c>
      <c r="Z227" s="9" t="n">
        <f aca="false">U227-X227</f>
        <v>166.5</v>
      </c>
      <c r="AA227" s="10" t="n">
        <f aca="false">IFERROR((U227-X227)/X227,"")</f>
        <v>1.11</v>
      </c>
      <c r="AB227" s="8" t="str">
        <f aca="false">IF(ISNUMBER(AA227),IF(ABS(AA227)&gt;Assumptions!$B$19,"REVIEW",""),"")</f>
        <v>REVIEW</v>
      </c>
    </row>
    <row r="228" customFormat="false" ht="15" hidden="false" customHeight="false" outlineLevel="0" collapsed="false">
      <c r="A228" s="8" t="s">
        <v>286</v>
      </c>
      <c r="B228" s="8"/>
      <c r="C228" s="9" t="n">
        <v>40</v>
      </c>
      <c r="D228" s="9" t="n">
        <v>90</v>
      </c>
      <c r="E228" s="9" t="n">
        <v>300</v>
      </c>
      <c r="F228" s="9" t="n">
        <v>15</v>
      </c>
      <c r="G228" s="9" t="n">
        <v>12</v>
      </c>
      <c r="H228" s="9" t="n">
        <v>4</v>
      </c>
      <c r="I228" s="9" t="n">
        <v>0.5</v>
      </c>
      <c r="J228" s="9" t="n">
        <v>3</v>
      </c>
      <c r="K228" s="9" t="n">
        <f aca="false">C228+3*Assumptions!$B$4*F228+Assumptions!$B$7*G228+H228+I228</f>
        <v>101.5</v>
      </c>
      <c r="L228" s="9" t="n">
        <f aca="false">D228+3*Assumptions!$B$5*F228+Assumptions!$B$8*G228+H228+I228</f>
        <v>199.5</v>
      </c>
      <c r="M228" s="9" t="n">
        <f aca="false">E228+3*Assumptions!$B$6*F228+Assumptions!$B$9*G228+H228+I228</f>
        <v>510</v>
      </c>
      <c r="N228" s="9" t="n">
        <f aca="false">IF(AND(Assumptions!$B$17,ISNUMBER(J228)),Assumptions!$B$10*Assumptions!$B$13*J228,0)</f>
        <v>4.5</v>
      </c>
      <c r="O228" s="9" t="n">
        <f aca="false">IF(AND(Assumptions!$B$17,ISNUMBER(J228)),Assumptions!$B$11*Assumptions!$B$13*J228,0)</f>
        <v>9</v>
      </c>
      <c r="P228" s="9" t="n">
        <f aca="false">IF(AND(Assumptions!$B$17,ISNUMBER(J228)),Assumptions!$B$12*Assumptions!$B$13*J228,0)</f>
        <v>13.5</v>
      </c>
      <c r="Q228" s="9" t="n">
        <f aca="false">IF(Assumptions!$B$18,Assumptions!$B$14*K228,0)</f>
        <v>10.15</v>
      </c>
      <c r="R228" s="9" t="n">
        <f aca="false">IF(Assumptions!$B$18,Assumptions!$B$15*L228,0)</f>
        <v>39.9</v>
      </c>
      <c r="S228" s="9" t="n">
        <f aca="false">IF(Assumptions!$B$18,Assumptions!$B$16*M228,0)</f>
        <v>178.5</v>
      </c>
      <c r="T228" s="9" t="n">
        <f aca="false">K228+N228+Q228</f>
        <v>116.15</v>
      </c>
      <c r="U228" s="9" t="n">
        <f aca="false">L228+O228+R228</f>
        <v>248.4</v>
      </c>
      <c r="V228" s="9" t="n">
        <f aca="false">M228+P228+S228</f>
        <v>702</v>
      </c>
      <c r="W228" s="9" t="n">
        <v>60</v>
      </c>
      <c r="X228" s="9" t="n">
        <v>150</v>
      </c>
      <c r="Y228" s="9" t="n">
        <v>420</v>
      </c>
      <c r="Z228" s="9" t="n">
        <f aca="false">U228-X228</f>
        <v>98.4</v>
      </c>
      <c r="AA228" s="10" t="n">
        <f aca="false">IFERROR((U228-X228)/X228,"")</f>
        <v>0.656</v>
      </c>
      <c r="AB228" s="8" t="str">
        <f aca="false">IF(ISNUMBER(AA228),IF(ABS(AA228)&gt;Assumptions!$B$19,"REVIEW",""),"")</f>
        <v>REVIEW</v>
      </c>
    </row>
    <row r="229" customFormat="false" ht="15" hidden="false" customHeight="false" outlineLevel="0" collapsed="false">
      <c r="A229" s="8" t="s">
        <v>287</v>
      </c>
      <c r="B229" s="8"/>
      <c r="C229" s="9" t="n">
        <v>20</v>
      </c>
      <c r="D229" s="9" t="n">
        <v>45</v>
      </c>
      <c r="E229" s="9" t="n">
        <v>110</v>
      </c>
      <c r="F229" s="9" t="n">
        <v>6</v>
      </c>
      <c r="G229" s="9" t="n">
        <v>3</v>
      </c>
      <c r="H229" s="9" t="n">
        <v>3</v>
      </c>
      <c r="I229" s="9" t="n">
        <v>0.4</v>
      </c>
      <c r="J229" s="9" t="n">
        <v>1.8</v>
      </c>
      <c r="K229" s="9" t="n">
        <f aca="false">C229+3*Assumptions!$B$4*F229+Assumptions!$B$7*G229+H229+I229</f>
        <v>44.4</v>
      </c>
      <c r="L229" s="9" t="n">
        <f aca="false">D229+3*Assumptions!$B$5*F229+Assumptions!$B$8*G229+H229+I229</f>
        <v>86.8</v>
      </c>
      <c r="M229" s="9" t="n">
        <f aca="false">E229+3*Assumptions!$B$6*F229+Assumptions!$B$9*G229+H229+I229</f>
        <v>188.4</v>
      </c>
      <c r="N229" s="9" t="n">
        <f aca="false">IF(AND(Assumptions!$B$17,ISNUMBER(J229)),Assumptions!$B$10*Assumptions!$B$13*J229,0)</f>
        <v>2.7</v>
      </c>
      <c r="O229" s="9" t="n">
        <f aca="false">IF(AND(Assumptions!$B$17,ISNUMBER(J229)),Assumptions!$B$11*Assumptions!$B$13*J229,0)</f>
        <v>5.4</v>
      </c>
      <c r="P229" s="9" t="n">
        <f aca="false">IF(AND(Assumptions!$B$17,ISNUMBER(J229)),Assumptions!$B$12*Assumptions!$B$13*J229,0)</f>
        <v>8.1</v>
      </c>
      <c r="Q229" s="9" t="n">
        <f aca="false">IF(Assumptions!$B$18,Assumptions!$B$14*K229,0)</f>
        <v>4.44</v>
      </c>
      <c r="R229" s="9" t="n">
        <f aca="false">IF(Assumptions!$B$18,Assumptions!$B$15*L229,0)</f>
        <v>17.36</v>
      </c>
      <c r="S229" s="9" t="n">
        <f aca="false">IF(Assumptions!$B$18,Assumptions!$B$16*M229,0)</f>
        <v>65.94</v>
      </c>
      <c r="T229" s="9" t="n">
        <f aca="false">K229+N229+Q229</f>
        <v>51.54</v>
      </c>
      <c r="U229" s="9" t="n">
        <f aca="false">L229+O229+R229</f>
        <v>109.56</v>
      </c>
      <c r="V229" s="9" t="n">
        <f aca="false">M229+P229+S229</f>
        <v>262.44</v>
      </c>
      <c r="W229" s="9" t="n">
        <v>30</v>
      </c>
      <c r="X229" s="9" t="n">
        <v>70</v>
      </c>
      <c r="Y229" s="9" t="n">
        <v>200</v>
      </c>
      <c r="Z229" s="9" t="n">
        <f aca="false">U229-X229</f>
        <v>39.56</v>
      </c>
      <c r="AA229" s="10" t="n">
        <f aca="false">IFERROR((U229-X229)/X229,"")</f>
        <v>0.565142857142857</v>
      </c>
      <c r="AB229" s="8" t="str">
        <f aca="false">IF(ISNUMBER(AA229),IF(ABS(AA229)&gt;Assumptions!$B$19,"REVIEW",""),"")</f>
        <v>REVIEW</v>
      </c>
    </row>
    <row r="230" customFormat="false" ht="15" hidden="false" customHeight="false" outlineLevel="0" collapsed="false">
      <c r="A230" s="8" t="s">
        <v>288</v>
      </c>
      <c r="B230" s="8" t="s">
        <v>164</v>
      </c>
      <c r="C230" s="9" t="n">
        <v>45</v>
      </c>
      <c r="D230" s="9" t="n">
        <v>90</v>
      </c>
      <c r="E230" s="9" t="n">
        <v>250</v>
      </c>
      <c r="F230" s="9" t="n">
        <v>18</v>
      </c>
      <c r="G230" s="9" t="n">
        <v>12</v>
      </c>
      <c r="H230" s="9" t="n">
        <v>3</v>
      </c>
      <c r="I230" s="9" t="n">
        <v>0.5</v>
      </c>
      <c r="J230" s="9"/>
      <c r="K230" s="9" t="n">
        <f aca="false">C230+3*Assumptions!$B$4*F230+Assumptions!$B$7*G230+H230+I230</f>
        <v>114.5</v>
      </c>
      <c r="L230" s="9" t="n">
        <f aca="false">D230+3*Assumptions!$B$5*F230+Assumptions!$B$8*G230+H230+I230</f>
        <v>214.7</v>
      </c>
      <c r="M230" s="9" t="n">
        <f aca="false">E230+3*Assumptions!$B$6*F230+Assumptions!$B$9*G230+H230+I230</f>
        <v>490.5</v>
      </c>
      <c r="N230" s="9" t="n">
        <f aca="false">IF(AND(Assumptions!$B$17,ISNUMBER(J230)),Assumptions!$B$10*Assumptions!$B$13*J230,0)</f>
        <v>0</v>
      </c>
      <c r="O230" s="9" t="n">
        <f aca="false">IF(AND(Assumptions!$B$17,ISNUMBER(J230)),Assumptions!$B$11*Assumptions!$B$13*J230,0)</f>
        <v>0</v>
      </c>
      <c r="P230" s="9" t="n">
        <f aca="false">IF(AND(Assumptions!$B$17,ISNUMBER(J230)),Assumptions!$B$12*Assumptions!$B$13*J230,0)</f>
        <v>0</v>
      </c>
      <c r="Q230" s="9" t="n">
        <f aca="false">IF(Assumptions!$B$18,Assumptions!$B$14*K230,0)</f>
        <v>11.45</v>
      </c>
      <c r="R230" s="9" t="n">
        <f aca="false">IF(Assumptions!$B$18,Assumptions!$B$15*L230,0)</f>
        <v>42.94</v>
      </c>
      <c r="S230" s="9" t="n">
        <f aca="false">IF(Assumptions!$B$18,Assumptions!$B$16*M230,0)</f>
        <v>171.675</v>
      </c>
      <c r="T230" s="9" t="n">
        <f aca="false">K230+N230+Q230</f>
        <v>125.95</v>
      </c>
      <c r="U230" s="9" t="n">
        <f aca="false">L230+O230+R230</f>
        <v>257.64</v>
      </c>
      <c r="V230" s="9" t="n">
        <f aca="false">M230+P230+S230</f>
        <v>662.175</v>
      </c>
      <c r="W230" s="9" t="n">
        <v>60</v>
      </c>
      <c r="X230" s="9" t="n">
        <v>160</v>
      </c>
      <c r="Y230" s="9" t="n">
        <v>500</v>
      </c>
      <c r="Z230" s="9" t="n">
        <f aca="false">U230-X230</f>
        <v>97.64</v>
      </c>
      <c r="AA230" s="10" t="n">
        <f aca="false">IFERROR((U230-X230)/X230,"")</f>
        <v>0.61025</v>
      </c>
      <c r="AB230" s="8" t="str">
        <f aca="false">IF(ISNUMBER(AA230),IF(ABS(AA230)&gt;Assumptions!$B$19,"REVIEW",""),"")</f>
        <v>REVIEW</v>
      </c>
    </row>
    <row r="231" customFormat="false" ht="15" hidden="false" customHeight="false" outlineLevel="0" collapsed="false">
      <c r="A231" s="8" t="s">
        <v>289</v>
      </c>
      <c r="B231" s="8"/>
      <c r="C231" s="9" t="n">
        <v>22</v>
      </c>
      <c r="D231" s="9" t="n">
        <v>55</v>
      </c>
      <c r="E231" s="9" t="n">
        <v>140</v>
      </c>
      <c r="F231" s="9" t="n">
        <v>6</v>
      </c>
      <c r="G231" s="9" t="n">
        <v>3</v>
      </c>
      <c r="H231" s="9" t="n">
        <v>3.5</v>
      </c>
      <c r="I231" s="9" t="n">
        <v>0.4</v>
      </c>
      <c r="J231" s="9" t="n">
        <v>1.2</v>
      </c>
      <c r="K231" s="9" t="n">
        <f aca="false">C231+3*Assumptions!$B$4*F231+Assumptions!$B$7*G231+H231+I231</f>
        <v>46.9</v>
      </c>
      <c r="L231" s="9" t="n">
        <f aca="false">D231+3*Assumptions!$B$5*F231+Assumptions!$B$8*G231+H231+I231</f>
        <v>97.3</v>
      </c>
      <c r="M231" s="9" t="n">
        <f aca="false">E231+3*Assumptions!$B$6*F231+Assumptions!$B$9*G231+H231+I231</f>
        <v>218.9</v>
      </c>
      <c r="N231" s="9" t="n">
        <f aca="false">IF(AND(Assumptions!$B$17,ISNUMBER(J231)),Assumptions!$B$10*Assumptions!$B$13*J231,0)</f>
        <v>1.8</v>
      </c>
      <c r="O231" s="9" t="n">
        <f aca="false">IF(AND(Assumptions!$B$17,ISNUMBER(J231)),Assumptions!$B$11*Assumptions!$B$13*J231,0)</f>
        <v>3.6</v>
      </c>
      <c r="P231" s="9" t="n">
        <f aca="false">IF(AND(Assumptions!$B$17,ISNUMBER(J231)),Assumptions!$B$12*Assumptions!$B$13*J231,0)</f>
        <v>5.4</v>
      </c>
      <c r="Q231" s="9" t="n">
        <f aca="false">IF(Assumptions!$B$18,Assumptions!$B$14*K231,0)</f>
        <v>4.69</v>
      </c>
      <c r="R231" s="9" t="n">
        <f aca="false">IF(Assumptions!$B$18,Assumptions!$B$15*L231,0)</f>
        <v>19.46</v>
      </c>
      <c r="S231" s="9" t="n">
        <f aca="false">IF(Assumptions!$B$18,Assumptions!$B$16*M231,0)</f>
        <v>76.615</v>
      </c>
      <c r="T231" s="9" t="n">
        <f aca="false">K231+N231+Q231</f>
        <v>53.39</v>
      </c>
      <c r="U231" s="9" t="n">
        <f aca="false">L231+O231+R231</f>
        <v>120.36</v>
      </c>
      <c r="V231" s="9" t="n">
        <f aca="false">M231+P231+S231</f>
        <v>300.915</v>
      </c>
      <c r="W231" s="9" t="n">
        <v>30</v>
      </c>
      <c r="X231" s="9" t="n">
        <v>75</v>
      </c>
      <c r="Y231" s="9" t="n">
        <v>220</v>
      </c>
      <c r="Z231" s="9" t="n">
        <f aca="false">U231-X231</f>
        <v>45.36</v>
      </c>
      <c r="AA231" s="10" t="n">
        <f aca="false">IFERROR((U231-X231)/X231,"")</f>
        <v>0.6048</v>
      </c>
      <c r="AB231" s="8" t="str">
        <f aca="false">IF(ISNUMBER(AA231),IF(ABS(AA231)&gt;Assumptions!$B$19,"REVIEW",""),"")</f>
        <v>REVIEW</v>
      </c>
    </row>
    <row r="232" customFormat="false" ht="15" hidden="false" customHeight="false" outlineLevel="0" collapsed="false">
      <c r="A232" s="8" t="s">
        <v>290</v>
      </c>
      <c r="B232" s="8"/>
      <c r="C232" s="9" t="n">
        <v>30</v>
      </c>
      <c r="D232" s="9" t="n">
        <v>75</v>
      </c>
      <c r="E232" s="9" t="n">
        <v>220</v>
      </c>
      <c r="F232" s="9" t="n">
        <v>12</v>
      </c>
      <c r="G232" s="9" t="n">
        <v>8</v>
      </c>
      <c r="H232" s="9" t="n">
        <v>4.5</v>
      </c>
      <c r="I232" s="9" t="n">
        <v>0.6</v>
      </c>
      <c r="J232" s="9" t="n">
        <v>3.5</v>
      </c>
      <c r="K232" s="9" t="n">
        <f aca="false">C232+3*Assumptions!$B$4*F232+Assumptions!$B$7*G232+H232+I232</f>
        <v>79.1</v>
      </c>
      <c r="L232" s="9" t="n">
        <f aca="false">D232+3*Assumptions!$B$5*F232+Assumptions!$B$8*G232+H232+I232</f>
        <v>160.9</v>
      </c>
      <c r="M232" s="9" t="n">
        <f aca="false">E232+3*Assumptions!$B$6*F232+Assumptions!$B$9*G232+H232+I232</f>
        <v>383.1</v>
      </c>
      <c r="N232" s="9" t="n">
        <f aca="false">IF(AND(Assumptions!$B$17,ISNUMBER(J232)),Assumptions!$B$10*Assumptions!$B$13*J232,0)</f>
        <v>5.25</v>
      </c>
      <c r="O232" s="9" t="n">
        <f aca="false">IF(AND(Assumptions!$B$17,ISNUMBER(J232)),Assumptions!$B$11*Assumptions!$B$13*J232,0)</f>
        <v>10.5</v>
      </c>
      <c r="P232" s="9" t="n">
        <f aca="false">IF(AND(Assumptions!$B$17,ISNUMBER(J232)),Assumptions!$B$12*Assumptions!$B$13*J232,0)</f>
        <v>15.75</v>
      </c>
      <c r="Q232" s="9" t="n">
        <f aca="false">IF(Assumptions!$B$18,Assumptions!$B$14*K232,0)</f>
        <v>7.91</v>
      </c>
      <c r="R232" s="9" t="n">
        <f aca="false">IF(Assumptions!$B$18,Assumptions!$B$15*L232,0)</f>
        <v>32.18</v>
      </c>
      <c r="S232" s="9" t="n">
        <f aca="false">IF(Assumptions!$B$18,Assumptions!$B$16*M232,0)</f>
        <v>134.085</v>
      </c>
      <c r="T232" s="9" t="n">
        <f aca="false">K232+N232+Q232</f>
        <v>92.26</v>
      </c>
      <c r="U232" s="9" t="n">
        <f aca="false">L232+O232+R232</f>
        <v>203.58</v>
      </c>
      <c r="V232" s="9" t="n">
        <f aca="false">M232+P232+S232</f>
        <v>532.935</v>
      </c>
      <c r="W232" s="9" t="n">
        <v>55</v>
      </c>
      <c r="X232" s="9" t="n">
        <v>135</v>
      </c>
      <c r="Y232" s="9" t="n">
        <v>380</v>
      </c>
      <c r="Z232" s="9" t="n">
        <f aca="false">U232-X232</f>
        <v>68.58</v>
      </c>
      <c r="AA232" s="10" t="n">
        <f aca="false">IFERROR((U232-X232)/X232,"")</f>
        <v>0.508</v>
      </c>
      <c r="AB232" s="8" t="str">
        <f aca="false">IF(ISNUMBER(AA232),IF(ABS(AA232)&gt;Assumptions!$B$19,"REVIEW",""),"")</f>
        <v>REVIEW</v>
      </c>
    </row>
    <row r="233" customFormat="false" ht="15" hidden="false" customHeight="false" outlineLevel="0" collapsed="false">
      <c r="A233" s="8" t="s">
        <v>291</v>
      </c>
      <c r="B233" s="8"/>
      <c r="C233" s="9" t="n">
        <v>15</v>
      </c>
      <c r="D233" s="9" t="n">
        <v>45</v>
      </c>
      <c r="E233" s="9" t="n">
        <v>300</v>
      </c>
      <c r="F233" s="9" t="n">
        <v>6</v>
      </c>
      <c r="G233" s="9" t="n">
        <v>4</v>
      </c>
      <c r="H233" s="9" t="n">
        <v>2.5</v>
      </c>
      <c r="I233" s="9" t="n">
        <v>0.5</v>
      </c>
      <c r="J233" s="9" t="n">
        <v>1.5</v>
      </c>
      <c r="K233" s="9" t="n">
        <f aca="false">C233+3*Assumptions!$B$4*F233+Assumptions!$B$7*G233+H233+I233</f>
        <v>40</v>
      </c>
      <c r="L233" s="9" t="n">
        <f aca="false">D233+3*Assumptions!$B$5*F233+Assumptions!$B$8*G233+H233+I233</f>
        <v>88.4</v>
      </c>
      <c r="M233" s="9" t="n">
        <f aca="false">E233+3*Assumptions!$B$6*F233+Assumptions!$B$9*G233+H233+I233</f>
        <v>382</v>
      </c>
      <c r="N233" s="9" t="n">
        <f aca="false">IF(AND(Assumptions!$B$17,ISNUMBER(J233)),Assumptions!$B$10*Assumptions!$B$13*J233,0)</f>
        <v>2.25</v>
      </c>
      <c r="O233" s="9" t="n">
        <f aca="false">IF(AND(Assumptions!$B$17,ISNUMBER(J233)),Assumptions!$B$11*Assumptions!$B$13*J233,0)</f>
        <v>4.5</v>
      </c>
      <c r="P233" s="9" t="n">
        <f aca="false">IF(AND(Assumptions!$B$17,ISNUMBER(J233)),Assumptions!$B$12*Assumptions!$B$13*J233,0)</f>
        <v>6.75</v>
      </c>
      <c r="Q233" s="9" t="n">
        <f aca="false">IF(Assumptions!$B$18,Assumptions!$B$14*K233,0)</f>
        <v>4</v>
      </c>
      <c r="R233" s="9" t="n">
        <f aca="false">IF(Assumptions!$B$18,Assumptions!$B$15*L233,0)</f>
        <v>17.68</v>
      </c>
      <c r="S233" s="9" t="n">
        <f aca="false">IF(Assumptions!$B$18,Assumptions!$B$16*M233,0)</f>
        <v>133.7</v>
      </c>
      <c r="T233" s="9" t="n">
        <f aca="false">K233+N233+Q233</f>
        <v>46.25</v>
      </c>
      <c r="U233" s="9" t="n">
        <f aca="false">L233+O233+R233</f>
        <v>110.58</v>
      </c>
      <c r="V233" s="9" t="n">
        <f aca="false">M233+P233+S233</f>
        <v>522.45</v>
      </c>
      <c r="W233" s="9" t="n">
        <v>35</v>
      </c>
      <c r="X233" s="9" t="n">
        <v>90</v>
      </c>
      <c r="Y233" s="9" t="n">
        <v>285</v>
      </c>
      <c r="Z233" s="9" t="n">
        <f aca="false">U233-X233</f>
        <v>20.58</v>
      </c>
      <c r="AA233" s="10" t="n">
        <f aca="false">IFERROR((U233-X233)/X233,"")</f>
        <v>0.228666666666667</v>
      </c>
      <c r="AB233" s="8" t="str">
        <f aca="false">IF(ISNUMBER(AA233),IF(ABS(AA233)&gt;Assumptions!$B$19,"REVIEW",""),"")</f>
        <v/>
      </c>
    </row>
    <row r="234" customFormat="false" ht="15" hidden="false" customHeight="false" outlineLevel="0" collapsed="false">
      <c r="A234" s="8" t="s">
        <v>292</v>
      </c>
      <c r="B234" s="8"/>
      <c r="C234" s="9" t="n">
        <v>65</v>
      </c>
      <c r="D234" s="9" t="n">
        <v>140</v>
      </c>
      <c r="E234" s="9" t="n">
        <v>330</v>
      </c>
      <c r="F234" s="9" t="n">
        <v>22</v>
      </c>
      <c r="G234" s="9" t="n">
        <v>10</v>
      </c>
      <c r="H234" s="9" t="n">
        <v>4.5</v>
      </c>
      <c r="I234" s="9" t="n">
        <v>1.2</v>
      </c>
      <c r="J234" s="9" t="n">
        <v>9</v>
      </c>
      <c r="K234" s="9" t="n">
        <f aca="false">C234+3*Assumptions!$B$4*F234+Assumptions!$B$7*G234+H234+I234</f>
        <v>146.7</v>
      </c>
      <c r="L234" s="9" t="n">
        <f aca="false">D234+3*Assumptions!$B$5*F234+Assumptions!$B$8*G234+H234+I234</f>
        <v>284.5</v>
      </c>
      <c r="M234" s="9" t="n">
        <f aca="false">E234+3*Assumptions!$B$6*F234+Assumptions!$B$9*G234+H234+I234</f>
        <v>606.7</v>
      </c>
      <c r="N234" s="9" t="n">
        <f aca="false">IF(AND(Assumptions!$B$17,ISNUMBER(J234)),Assumptions!$B$10*Assumptions!$B$13*J234,0)</f>
        <v>13.5</v>
      </c>
      <c r="O234" s="9" t="n">
        <f aca="false">IF(AND(Assumptions!$B$17,ISNUMBER(J234)),Assumptions!$B$11*Assumptions!$B$13*J234,0)</f>
        <v>27</v>
      </c>
      <c r="P234" s="9" t="n">
        <f aca="false">IF(AND(Assumptions!$B$17,ISNUMBER(J234)),Assumptions!$B$12*Assumptions!$B$13*J234,0)</f>
        <v>40.5</v>
      </c>
      <c r="Q234" s="9" t="n">
        <f aca="false">IF(Assumptions!$B$18,Assumptions!$B$14*K234,0)</f>
        <v>14.67</v>
      </c>
      <c r="R234" s="9" t="n">
        <f aca="false">IF(Assumptions!$B$18,Assumptions!$B$15*L234,0)</f>
        <v>56.9</v>
      </c>
      <c r="S234" s="9" t="n">
        <f aca="false">IF(Assumptions!$B$18,Assumptions!$B$16*M234,0)</f>
        <v>212.345</v>
      </c>
      <c r="T234" s="9" t="n">
        <f aca="false">K234+N234+Q234</f>
        <v>174.87</v>
      </c>
      <c r="U234" s="9" t="n">
        <f aca="false">L234+O234+R234</f>
        <v>368.4</v>
      </c>
      <c r="V234" s="9" t="n">
        <f aca="false">M234+P234+S234</f>
        <v>859.545</v>
      </c>
      <c r="W234" s="9" t="n">
        <v>70</v>
      </c>
      <c r="X234" s="9" t="n">
        <v>180</v>
      </c>
      <c r="Y234" s="9" t="n">
        <v>500</v>
      </c>
      <c r="Z234" s="9" t="n">
        <f aca="false">U234-X234</f>
        <v>188.4</v>
      </c>
      <c r="AA234" s="10" t="n">
        <f aca="false">IFERROR((U234-X234)/X234,"")</f>
        <v>1.04666666666667</v>
      </c>
      <c r="AB234" s="8" t="str">
        <f aca="false">IF(ISNUMBER(AA234),IF(ABS(AA234)&gt;Assumptions!$B$19,"REVIEW",""),"")</f>
        <v>REVIEW</v>
      </c>
    </row>
    <row r="235" customFormat="false" ht="15" hidden="false" customHeight="false" outlineLevel="0" collapsed="false">
      <c r="A235" s="8" t="s">
        <v>293</v>
      </c>
      <c r="B235" s="8"/>
      <c r="C235" s="9" t="n">
        <v>25</v>
      </c>
      <c r="D235" s="9" t="n">
        <v>60</v>
      </c>
      <c r="E235" s="9" t="n">
        <v>150</v>
      </c>
      <c r="F235" s="9" t="n">
        <v>12</v>
      </c>
      <c r="G235" s="9" t="n">
        <v>4</v>
      </c>
      <c r="H235" s="9" t="n">
        <v>2</v>
      </c>
      <c r="I235" s="9" t="n">
        <v>1</v>
      </c>
      <c r="J235" s="9" t="n">
        <v>3</v>
      </c>
      <c r="K235" s="9" t="n">
        <f aca="false">C235+3*Assumptions!$B$4*F235+Assumptions!$B$7*G235+H235+I235</f>
        <v>68</v>
      </c>
      <c r="L235" s="9" t="n">
        <f aca="false">D235+3*Assumptions!$B$5*F235+Assumptions!$B$8*G235+H235+I235</f>
        <v>135.8</v>
      </c>
      <c r="M235" s="9" t="n">
        <f aca="false">E235+3*Assumptions!$B$6*F235+Assumptions!$B$9*G235+H235+I235</f>
        <v>295</v>
      </c>
      <c r="N235" s="9" t="n">
        <f aca="false">IF(AND(Assumptions!$B$17,ISNUMBER(J235)),Assumptions!$B$10*Assumptions!$B$13*J235,0)</f>
        <v>4.5</v>
      </c>
      <c r="O235" s="9" t="n">
        <f aca="false">IF(AND(Assumptions!$B$17,ISNUMBER(J235)),Assumptions!$B$11*Assumptions!$B$13*J235,0)</f>
        <v>9</v>
      </c>
      <c r="P235" s="9" t="n">
        <f aca="false">IF(AND(Assumptions!$B$17,ISNUMBER(J235)),Assumptions!$B$12*Assumptions!$B$13*J235,0)</f>
        <v>13.5</v>
      </c>
      <c r="Q235" s="9" t="n">
        <f aca="false">IF(Assumptions!$B$18,Assumptions!$B$14*K235,0)</f>
        <v>6.8</v>
      </c>
      <c r="R235" s="9" t="n">
        <f aca="false">IF(Assumptions!$B$18,Assumptions!$B$15*L235,0)</f>
        <v>27.16</v>
      </c>
      <c r="S235" s="9" t="n">
        <f aca="false">IF(Assumptions!$B$18,Assumptions!$B$16*M235,0)</f>
        <v>103.25</v>
      </c>
      <c r="T235" s="9" t="n">
        <f aca="false">K235+N235+Q235</f>
        <v>79.3</v>
      </c>
      <c r="U235" s="9" t="n">
        <f aca="false">L235+O235+R235</f>
        <v>171.96</v>
      </c>
      <c r="V235" s="9" t="n">
        <f aca="false">M235+P235+S235</f>
        <v>411.75</v>
      </c>
      <c r="W235" s="9" t="n">
        <v>40</v>
      </c>
      <c r="X235" s="9" t="n">
        <v>95</v>
      </c>
      <c r="Y235" s="9" t="n">
        <v>280</v>
      </c>
      <c r="Z235" s="9" t="n">
        <f aca="false">U235-X235</f>
        <v>76.96</v>
      </c>
      <c r="AA235" s="10" t="n">
        <f aca="false">IFERROR((U235-X235)/X235,"")</f>
        <v>0.810105263157895</v>
      </c>
      <c r="AB235" s="8" t="str">
        <f aca="false">IF(ISNUMBER(AA235),IF(ABS(AA235)&gt;Assumptions!$B$19,"REVIEW",""),"")</f>
        <v>REVIEW</v>
      </c>
    </row>
    <row r="236" customFormat="false" ht="15" hidden="false" customHeight="false" outlineLevel="0" collapsed="false">
      <c r="A236" s="8" t="s">
        <v>294</v>
      </c>
      <c r="B236" s="8"/>
      <c r="C236" s="9" t="n">
        <v>30</v>
      </c>
      <c r="D236" s="9" t="n">
        <v>75</v>
      </c>
      <c r="E236" s="9" t="n">
        <v>150</v>
      </c>
      <c r="F236" s="9" t="n">
        <v>12</v>
      </c>
      <c r="G236" s="9" t="n">
        <v>6</v>
      </c>
      <c r="H236" s="9" t="n">
        <v>2.5</v>
      </c>
      <c r="I236" s="9" t="n">
        <v>1</v>
      </c>
      <c r="J236" s="9" t="n">
        <v>2.5</v>
      </c>
      <c r="K236" s="9" t="n">
        <f aca="false">C236+3*Assumptions!$B$4*F236+Assumptions!$B$7*G236+H236+I236</f>
        <v>75.5</v>
      </c>
      <c r="L236" s="9" t="n">
        <f aca="false">D236+3*Assumptions!$B$5*F236+Assumptions!$B$8*G236+H236+I236</f>
        <v>155.3</v>
      </c>
      <c r="M236" s="9" t="n">
        <f aca="false">E236+3*Assumptions!$B$6*F236+Assumptions!$B$9*G236+H236+I236</f>
        <v>303.5</v>
      </c>
      <c r="N236" s="9" t="n">
        <f aca="false">IF(AND(Assumptions!$B$17,ISNUMBER(J236)),Assumptions!$B$10*Assumptions!$B$13*J236,0)</f>
        <v>3.75</v>
      </c>
      <c r="O236" s="9" t="n">
        <f aca="false">IF(AND(Assumptions!$B$17,ISNUMBER(J236)),Assumptions!$B$11*Assumptions!$B$13*J236,0)</f>
        <v>7.5</v>
      </c>
      <c r="P236" s="9" t="n">
        <f aca="false">IF(AND(Assumptions!$B$17,ISNUMBER(J236)),Assumptions!$B$12*Assumptions!$B$13*J236,0)</f>
        <v>11.25</v>
      </c>
      <c r="Q236" s="9" t="n">
        <f aca="false">IF(Assumptions!$B$18,Assumptions!$B$14*K236,0)</f>
        <v>7.55</v>
      </c>
      <c r="R236" s="9" t="n">
        <f aca="false">IF(Assumptions!$B$18,Assumptions!$B$15*L236,0)</f>
        <v>31.06</v>
      </c>
      <c r="S236" s="9" t="n">
        <f aca="false">IF(Assumptions!$B$18,Assumptions!$B$16*M236,0)</f>
        <v>106.225</v>
      </c>
      <c r="T236" s="9" t="n">
        <f aca="false">K236+N236+Q236</f>
        <v>86.8</v>
      </c>
      <c r="U236" s="9" t="n">
        <f aca="false">L236+O236+R236</f>
        <v>193.86</v>
      </c>
      <c r="V236" s="9" t="n">
        <f aca="false">M236+P236+S236</f>
        <v>420.975</v>
      </c>
      <c r="W236" s="9" t="n">
        <v>40</v>
      </c>
      <c r="X236" s="9" t="n">
        <v>100</v>
      </c>
      <c r="Y236" s="9" t="n">
        <v>290</v>
      </c>
      <c r="Z236" s="9" t="n">
        <f aca="false">U236-X236</f>
        <v>93.86</v>
      </c>
      <c r="AA236" s="10" t="n">
        <f aca="false">IFERROR((U236-X236)/X236,"")</f>
        <v>0.9386</v>
      </c>
      <c r="AB236" s="8" t="str">
        <f aca="false">IF(ISNUMBER(AA236),IF(ABS(AA236)&gt;Assumptions!$B$19,"REVIEW",""),"")</f>
        <v>REVIEW</v>
      </c>
    </row>
    <row r="237" customFormat="false" ht="15" hidden="false" customHeight="false" outlineLevel="0" collapsed="false">
      <c r="A237" s="8" t="s">
        <v>295</v>
      </c>
      <c r="B237" s="8"/>
      <c r="C237" s="9" t="n">
        <v>90</v>
      </c>
      <c r="D237" s="9" t="n">
        <v>180</v>
      </c>
      <c r="E237" s="9" t="n">
        <v>450</v>
      </c>
      <c r="F237" s="9" t="n">
        <v>30</v>
      </c>
      <c r="G237" s="9" t="n">
        <v>15</v>
      </c>
      <c r="H237" s="9" t="n">
        <v>3.4</v>
      </c>
      <c r="I237" s="9" t="n">
        <v>1.4</v>
      </c>
      <c r="J237" s="9" t="n">
        <v>4</v>
      </c>
      <c r="K237" s="9" t="n">
        <f aca="false">C237+3*Assumptions!$B$4*F237+Assumptions!$B$7*G237+H237+I237</f>
        <v>199.8</v>
      </c>
      <c r="L237" s="9" t="n">
        <f aca="false">D237+3*Assumptions!$B$5*F237+Assumptions!$B$8*G237+H237+I237</f>
        <v>376.8</v>
      </c>
      <c r="M237" s="9" t="n">
        <f aca="false">E237+3*Assumptions!$B$6*F237+Assumptions!$B$9*G237+H237+I237</f>
        <v>829.8</v>
      </c>
      <c r="N237" s="9" t="n">
        <f aca="false">IF(AND(Assumptions!$B$17,ISNUMBER(J237)),Assumptions!$B$10*Assumptions!$B$13*J237,0)</f>
        <v>6</v>
      </c>
      <c r="O237" s="9" t="n">
        <f aca="false">IF(AND(Assumptions!$B$17,ISNUMBER(J237)),Assumptions!$B$11*Assumptions!$B$13*J237,0)</f>
        <v>12</v>
      </c>
      <c r="P237" s="9" t="n">
        <f aca="false">IF(AND(Assumptions!$B$17,ISNUMBER(J237)),Assumptions!$B$12*Assumptions!$B$13*J237,0)</f>
        <v>18</v>
      </c>
      <c r="Q237" s="9" t="n">
        <f aca="false">IF(Assumptions!$B$18,Assumptions!$B$14*K237,0)</f>
        <v>19.98</v>
      </c>
      <c r="R237" s="9" t="n">
        <f aca="false">IF(Assumptions!$B$18,Assumptions!$B$15*L237,0)</f>
        <v>75.36</v>
      </c>
      <c r="S237" s="9" t="n">
        <f aca="false">IF(Assumptions!$B$18,Assumptions!$B$16*M237,0)</f>
        <v>290.43</v>
      </c>
      <c r="T237" s="9" t="n">
        <f aca="false">K237+N237+Q237</f>
        <v>225.78</v>
      </c>
      <c r="U237" s="9" t="n">
        <f aca="false">L237+O237+R237</f>
        <v>464.16</v>
      </c>
      <c r="V237" s="9" t="n">
        <f aca="false">M237+P237+S237</f>
        <v>1138.23</v>
      </c>
      <c r="W237" s="9" t="n">
        <v>90</v>
      </c>
      <c r="X237" s="9" t="n">
        <v>230</v>
      </c>
      <c r="Y237" s="9" t="n">
        <v>655</v>
      </c>
      <c r="Z237" s="9" t="n">
        <f aca="false">U237-X237</f>
        <v>234.16</v>
      </c>
      <c r="AA237" s="10" t="n">
        <f aca="false">IFERROR((U237-X237)/X237,"")</f>
        <v>1.01808695652174</v>
      </c>
      <c r="AB237" s="8" t="str">
        <f aca="false">IF(ISNUMBER(AA237),IF(ABS(AA237)&gt;Assumptions!$B$19,"REVIEW",""),"")</f>
        <v>REVIEW</v>
      </c>
    </row>
    <row r="238" customFormat="false" ht="15" hidden="false" customHeight="false" outlineLevel="0" collapsed="false">
      <c r="A238" s="8" t="s">
        <v>296</v>
      </c>
      <c r="B238" s="8"/>
      <c r="C238" s="9" t="n">
        <v>75</v>
      </c>
      <c r="D238" s="9" t="n">
        <v>180</v>
      </c>
      <c r="E238" s="9" t="n">
        <v>450</v>
      </c>
      <c r="F238" s="9" t="n">
        <v>28</v>
      </c>
      <c r="G238" s="9" t="n">
        <v>15</v>
      </c>
      <c r="H238" s="9" t="n">
        <v>3</v>
      </c>
      <c r="I238" s="9" t="n">
        <v>1.5</v>
      </c>
      <c r="J238" s="9" t="n">
        <v>5</v>
      </c>
      <c r="K238" s="9" t="n">
        <f aca="false">C238+3*Assumptions!$B$4*F238+Assumptions!$B$7*G238+H238+I238</f>
        <v>178.5</v>
      </c>
      <c r="L238" s="9" t="n">
        <f aca="false">D238+3*Assumptions!$B$5*F238+Assumptions!$B$8*G238+H238+I238</f>
        <v>365.7</v>
      </c>
      <c r="M238" s="9" t="n">
        <f aca="false">E238+3*Assumptions!$B$6*F238+Assumptions!$B$9*G238+H238+I238</f>
        <v>808.5</v>
      </c>
      <c r="N238" s="9" t="n">
        <f aca="false">IF(AND(Assumptions!$B$17,ISNUMBER(J238)),Assumptions!$B$10*Assumptions!$B$13*J238,0)</f>
        <v>7.5</v>
      </c>
      <c r="O238" s="9" t="n">
        <f aca="false">IF(AND(Assumptions!$B$17,ISNUMBER(J238)),Assumptions!$B$11*Assumptions!$B$13*J238,0)</f>
        <v>15</v>
      </c>
      <c r="P238" s="9" t="n">
        <f aca="false">IF(AND(Assumptions!$B$17,ISNUMBER(J238)),Assumptions!$B$12*Assumptions!$B$13*J238,0)</f>
        <v>22.5</v>
      </c>
      <c r="Q238" s="9" t="n">
        <f aca="false">IF(Assumptions!$B$18,Assumptions!$B$14*K238,0)</f>
        <v>17.85</v>
      </c>
      <c r="R238" s="9" t="n">
        <f aca="false">IF(Assumptions!$B$18,Assumptions!$B$15*L238,0)</f>
        <v>73.14</v>
      </c>
      <c r="S238" s="9" t="n">
        <f aca="false">IF(Assumptions!$B$18,Assumptions!$B$16*M238,0)</f>
        <v>282.975</v>
      </c>
      <c r="T238" s="9" t="n">
        <f aca="false">K238+N238+Q238</f>
        <v>203.85</v>
      </c>
      <c r="U238" s="9" t="n">
        <f aca="false">L238+O238+R238</f>
        <v>453.84</v>
      </c>
      <c r="V238" s="9" t="n">
        <f aca="false">M238+P238+S238</f>
        <v>1113.975</v>
      </c>
      <c r="W238" s="9" t="n">
        <v>85</v>
      </c>
      <c r="X238" s="9" t="n">
        <v>210</v>
      </c>
      <c r="Y238" s="9" t="n">
        <v>620</v>
      </c>
      <c r="Z238" s="9" t="n">
        <f aca="false">U238-X238</f>
        <v>243.84</v>
      </c>
      <c r="AA238" s="10" t="n">
        <f aca="false">IFERROR((U238-X238)/X238,"")</f>
        <v>1.16114285714286</v>
      </c>
      <c r="AB238" s="8" t="str">
        <f aca="false">IF(ISNUMBER(AA238),IF(ABS(AA238)&gt;Assumptions!$B$19,"REVIEW",""),"")</f>
        <v>REVIEW</v>
      </c>
    </row>
    <row r="239" customFormat="false" ht="15" hidden="false" customHeight="false" outlineLevel="0" collapsed="false">
      <c r="A239" s="8" t="s">
        <v>297</v>
      </c>
      <c r="B239" s="8"/>
      <c r="C239" s="9" t="n">
        <v>90</v>
      </c>
      <c r="D239" s="9" t="n">
        <v>160</v>
      </c>
      <c r="E239" s="9" t="n">
        <v>380</v>
      </c>
      <c r="F239" s="9" t="n">
        <v>28</v>
      </c>
      <c r="G239" s="9" t="n">
        <v>40</v>
      </c>
      <c r="H239" s="9" t="n">
        <v>4.5</v>
      </c>
      <c r="I239" s="9" t="n">
        <v>2.5</v>
      </c>
      <c r="J239" s="9" t="n">
        <v>7</v>
      </c>
      <c r="K239" s="9" t="n">
        <f aca="false">C239+3*Assumptions!$B$4*F239+Assumptions!$B$7*G239+H239+I239</f>
        <v>221</v>
      </c>
      <c r="L239" s="9" t="n">
        <f aca="false">D239+3*Assumptions!$B$5*F239+Assumptions!$B$8*G239+H239+I239</f>
        <v>398.2</v>
      </c>
      <c r="M239" s="9" t="n">
        <f aca="false">E239+3*Assumptions!$B$6*F239+Assumptions!$B$9*G239+H239+I239</f>
        <v>841</v>
      </c>
      <c r="N239" s="9" t="n">
        <f aca="false">IF(AND(Assumptions!$B$17,ISNUMBER(J239)),Assumptions!$B$10*Assumptions!$B$13*J239,0)</f>
        <v>10.5</v>
      </c>
      <c r="O239" s="9" t="n">
        <f aca="false">IF(AND(Assumptions!$B$17,ISNUMBER(J239)),Assumptions!$B$11*Assumptions!$B$13*J239,0)</f>
        <v>21</v>
      </c>
      <c r="P239" s="9" t="n">
        <f aca="false">IF(AND(Assumptions!$B$17,ISNUMBER(J239)),Assumptions!$B$12*Assumptions!$B$13*J239,0)</f>
        <v>31.5</v>
      </c>
      <c r="Q239" s="9" t="n">
        <f aca="false">IF(Assumptions!$B$18,Assumptions!$B$14*K239,0)</f>
        <v>22.1</v>
      </c>
      <c r="R239" s="9" t="n">
        <f aca="false">IF(Assumptions!$B$18,Assumptions!$B$15*L239,0)</f>
        <v>79.64</v>
      </c>
      <c r="S239" s="9" t="n">
        <f aca="false">IF(Assumptions!$B$18,Assumptions!$B$16*M239,0)</f>
        <v>294.35</v>
      </c>
      <c r="T239" s="9" t="n">
        <f aca="false">K239+N239+Q239</f>
        <v>253.6</v>
      </c>
      <c r="U239" s="9" t="n">
        <f aca="false">L239+O239+R239</f>
        <v>498.84</v>
      </c>
      <c r="V239" s="9" t="n">
        <f aca="false">M239+P239+S239</f>
        <v>1166.85</v>
      </c>
      <c r="W239" s="9" t="n">
        <v>95</v>
      </c>
      <c r="X239" s="9" t="n">
        <v>230</v>
      </c>
      <c r="Y239" s="9" t="n">
        <v>620</v>
      </c>
      <c r="Z239" s="9" t="n">
        <f aca="false">U239-X239</f>
        <v>268.84</v>
      </c>
      <c r="AA239" s="10" t="n">
        <f aca="false">IFERROR((U239-X239)/X239,"")</f>
        <v>1.16886956521739</v>
      </c>
      <c r="AB239" s="8" t="str">
        <f aca="false">IF(ISNUMBER(AA239),IF(ABS(AA239)&gt;Assumptions!$B$19,"REVIEW",""),"")</f>
        <v>REVIEW</v>
      </c>
    </row>
    <row r="240" customFormat="false" ht="15" hidden="false" customHeight="false" outlineLevel="0" collapsed="false">
      <c r="A240" s="8" t="s">
        <v>298</v>
      </c>
      <c r="B240" s="8"/>
      <c r="C240" s="9" t="n">
        <v>22</v>
      </c>
      <c r="D240" s="9" t="n">
        <v>70</v>
      </c>
      <c r="E240" s="9" t="n">
        <v>150</v>
      </c>
      <c r="F240" s="9" t="n">
        <v>8</v>
      </c>
      <c r="G240" s="9" t="n">
        <v>4</v>
      </c>
      <c r="H240" s="9" t="n">
        <v>4</v>
      </c>
      <c r="I240" s="9" t="n">
        <v>0.5</v>
      </c>
      <c r="J240" s="9" t="n">
        <v>2</v>
      </c>
      <c r="K240" s="9" t="n">
        <f aca="false">C240+3*Assumptions!$B$4*F240+Assumptions!$B$7*G240+H240+I240</f>
        <v>54.5</v>
      </c>
      <c r="L240" s="9" t="n">
        <f aca="false">D240+3*Assumptions!$B$5*F240+Assumptions!$B$8*G240+H240+I240</f>
        <v>125.7</v>
      </c>
      <c r="M240" s="9" t="n">
        <f aca="false">E240+3*Assumptions!$B$6*F240+Assumptions!$B$9*G240+H240+I240</f>
        <v>254.5</v>
      </c>
      <c r="N240" s="9" t="n">
        <f aca="false">IF(AND(Assumptions!$B$17,ISNUMBER(J240)),Assumptions!$B$10*Assumptions!$B$13*J240,0)</f>
        <v>3</v>
      </c>
      <c r="O240" s="9" t="n">
        <f aca="false">IF(AND(Assumptions!$B$17,ISNUMBER(J240)),Assumptions!$B$11*Assumptions!$B$13*J240,0)</f>
        <v>6</v>
      </c>
      <c r="P240" s="9" t="n">
        <f aca="false">IF(AND(Assumptions!$B$17,ISNUMBER(J240)),Assumptions!$B$12*Assumptions!$B$13*J240,0)</f>
        <v>9</v>
      </c>
      <c r="Q240" s="9" t="n">
        <f aca="false">IF(Assumptions!$B$18,Assumptions!$B$14*K240,0)</f>
        <v>5.45</v>
      </c>
      <c r="R240" s="9" t="n">
        <f aca="false">IF(Assumptions!$B$18,Assumptions!$B$15*L240,0)</f>
        <v>25.14</v>
      </c>
      <c r="S240" s="9" t="n">
        <f aca="false">IF(Assumptions!$B$18,Assumptions!$B$16*M240,0)</f>
        <v>89.075</v>
      </c>
      <c r="T240" s="9" t="n">
        <f aca="false">K240+N240+Q240</f>
        <v>62.95</v>
      </c>
      <c r="U240" s="9" t="n">
        <f aca="false">L240+O240+R240</f>
        <v>156.84</v>
      </c>
      <c r="V240" s="9" t="n">
        <f aca="false">M240+P240+S240</f>
        <v>352.575</v>
      </c>
      <c r="W240" s="9" t="n">
        <v>40</v>
      </c>
      <c r="X240" s="9" t="n">
        <v>100</v>
      </c>
      <c r="Y240" s="9" t="n">
        <v>300</v>
      </c>
      <c r="Z240" s="9" t="n">
        <f aca="false">U240-X240</f>
        <v>56.84</v>
      </c>
      <c r="AA240" s="10" t="n">
        <f aca="false">IFERROR((U240-X240)/X240,"")</f>
        <v>0.5684</v>
      </c>
      <c r="AB240" s="8" t="str">
        <f aca="false">IF(ISNUMBER(AA240),IF(ABS(AA240)&gt;Assumptions!$B$19,"REVIEW",""),"")</f>
        <v>REVIEW</v>
      </c>
    </row>
    <row r="241" customFormat="false" ht="15" hidden="false" customHeight="false" outlineLevel="0" collapsed="false">
      <c r="A241" s="8" t="s">
        <v>299</v>
      </c>
      <c r="B241" s="8"/>
      <c r="C241" s="9" t="n">
        <v>75</v>
      </c>
      <c r="D241" s="9" t="n">
        <v>150</v>
      </c>
      <c r="E241" s="9" t="n">
        <v>350</v>
      </c>
      <c r="F241" s="9" t="n">
        <v>28</v>
      </c>
      <c r="G241" s="9" t="n">
        <v>22</v>
      </c>
      <c r="H241" s="9" t="n">
        <v>4</v>
      </c>
      <c r="I241" s="9" t="n">
        <v>1.8</v>
      </c>
      <c r="J241" s="9" t="n">
        <v>7</v>
      </c>
      <c r="K241" s="9" t="n">
        <f aca="false">C241+3*Assumptions!$B$4*F241+Assumptions!$B$7*G241+H241+I241</f>
        <v>186.8</v>
      </c>
      <c r="L241" s="9" t="n">
        <f aca="false">D241+3*Assumptions!$B$5*F241+Assumptions!$B$8*G241+H241+I241</f>
        <v>351</v>
      </c>
      <c r="M241" s="9" t="n">
        <f aca="false">E241+3*Assumptions!$B$6*F241+Assumptions!$B$9*G241+H241+I241</f>
        <v>737.8</v>
      </c>
      <c r="N241" s="9" t="n">
        <f aca="false">IF(AND(Assumptions!$B$17,ISNUMBER(J241)),Assumptions!$B$10*Assumptions!$B$13*J241,0)</f>
        <v>10.5</v>
      </c>
      <c r="O241" s="9" t="n">
        <f aca="false">IF(AND(Assumptions!$B$17,ISNUMBER(J241)),Assumptions!$B$11*Assumptions!$B$13*J241,0)</f>
        <v>21</v>
      </c>
      <c r="P241" s="9" t="n">
        <f aca="false">IF(AND(Assumptions!$B$17,ISNUMBER(J241)),Assumptions!$B$12*Assumptions!$B$13*J241,0)</f>
        <v>31.5</v>
      </c>
      <c r="Q241" s="9" t="n">
        <f aca="false">IF(Assumptions!$B$18,Assumptions!$B$14*K241,0)</f>
        <v>18.68</v>
      </c>
      <c r="R241" s="9" t="n">
        <f aca="false">IF(Assumptions!$B$18,Assumptions!$B$15*L241,0)</f>
        <v>70.2</v>
      </c>
      <c r="S241" s="9" t="n">
        <f aca="false">IF(Assumptions!$B$18,Assumptions!$B$16*M241,0)</f>
        <v>258.23</v>
      </c>
      <c r="T241" s="9" t="n">
        <f aca="false">K241+N241+Q241</f>
        <v>215.98</v>
      </c>
      <c r="U241" s="9" t="n">
        <f aca="false">L241+O241+R241</f>
        <v>442.2</v>
      </c>
      <c r="V241" s="9" t="n">
        <f aca="false">M241+P241+S241</f>
        <v>1027.53</v>
      </c>
      <c r="W241" s="9" t="n">
        <v>90</v>
      </c>
      <c r="X241" s="9" t="n">
        <v>220</v>
      </c>
      <c r="Y241" s="9" t="n">
        <v>600</v>
      </c>
      <c r="Z241" s="9" t="n">
        <f aca="false">U241-X241</f>
        <v>222.2</v>
      </c>
      <c r="AA241" s="10" t="n">
        <f aca="false">IFERROR((U241-X241)/X241,"")</f>
        <v>1.01</v>
      </c>
      <c r="AB241" s="8" t="str">
        <f aca="false">IF(ISNUMBER(AA241),IF(ABS(AA241)&gt;Assumptions!$B$19,"REVIEW",""),"")</f>
        <v>REVIEW</v>
      </c>
    </row>
    <row r="242" customFormat="false" ht="15" hidden="false" customHeight="false" outlineLevel="0" collapsed="false">
      <c r="A242" s="8" t="s">
        <v>300</v>
      </c>
      <c r="B242" s="8"/>
      <c r="C242" s="9" t="n">
        <v>40</v>
      </c>
      <c r="D242" s="9" t="n">
        <v>80</v>
      </c>
      <c r="E242" s="9" t="n">
        <v>280</v>
      </c>
      <c r="F242" s="9" t="n">
        <v>15</v>
      </c>
      <c r="G242" s="9" t="n">
        <v>15</v>
      </c>
      <c r="H242" s="9" t="n">
        <v>2</v>
      </c>
      <c r="I242" s="9" t="n">
        <v>1</v>
      </c>
      <c r="J242" s="9" t="n">
        <v>2.5</v>
      </c>
      <c r="K242" s="9" t="n">
        <f aca="false">C242+3*Assumptions!$B$4*F242+Assumptions!$B$7*G242+H242+I242</f>
        <v>103</v>
      </c>
      <c r="L242" s="9" t="n">
        <f aca="false">D242+3*Assumptions!$B$5*F242+Assumptions!$B$8*G242+H242+I242</f>
        <v>194</v>
      </c>
      <c r="M242" s="9" t="n">
        <f aca="false">E242+3*Assumptions!$B$6*F242+Assumptions!$B$9*G242+H242+I242</f>
        <v>500.5</v>
      </c>
      <c r="N242" s="9" t="n">
        <f aca="false">IF(AND(Assumptions!$B$17,ISNUMBER(J242)),Assumptions!$B$10*Assumptions!$B$13*J242,0)</f>
        <v>3.75</v>
      </c>
      <c r="O242" s="9" t="n">
        <f aca="false">IF(AND(Assumptions!$B$17,ISNUMBER(J242)),Assumptions!$B$11*Assumptions!$B$13*J242,0)</f>
        <v>7.5</v>
      </c>
      <c r="P242" s="9" t="n">
        <f aca="false">IF(AND(Assumptions!$B$17,ISNUMBER(J242)),Assumptions!$B$12*Assumptions!$B$13*J242,0)</f>
        <v>11.25</v>
      </c>
      <c r="Q242" s="9" t="n">
        <f aca="false">IF(Assumptions!$B$18,Assumptions!$B$14*K242,0)</f>
        <v>10.3</v>
      </c>
      <c r="R242" s="9" t="n">
        <f aca="false">IF(Assumptions!$B$18,Assumptions!$B$15*L242,0)</f>
        <v>38.8</v>
      </c>
      <c r="S242" s="9" t="n">
        <f aca="false">IF(Assumptions!$B$18,Assumptions!$B$16*M242,0)</f>
        <v>175.175</v>
      </c>
      <c r="T242" s="9" t="n">
        <f aca="false">K242+N242+Q242</f>
        <v>117.05</v>
      </c>
      <c r="U242" s="9" t="n">
        <f aca="false">L242+O242+R242</f>
        <v>240.3</v>
      </c>
      <c r="V242" s="9" t="n">
        <f aca="false">M242+P242+S242</f>
        <v>686.925</v>
      </c>
      <c r="W242" s="9" t="n">
        <v>45</v>
      </c>
      <c r="X242" s="9" t="n">
        <v>110</v>
      </c>
      <c r="Y242" s="9" t="n">
        <v>320</v>
      </c>
      <c r="Z242" s="9" t="n">
        <f aca="false">U242-X242</f>
        <v>130.3</v>
      </c>
      <c r="AA242" s="10" t="n">
        <f aca="false">IFERROR((U242-X242)/X242,"")</f>
        <v>1.18454545454545</v>
      </c>
      <c r="AB242" s="8" t="str">
        <f aca="false">IF(ISNUMBER(AA242),IF(ABS(AA242)&gt;Assumptions!$B$19,"REVIEW",""),"")</f>
        <v>REVIEW</v>
      </c>
    </row>
    <row r="243" customFormat="false" ht="15" hidden="false" customHeight="false" outlineLevel="0" collapsed="false">
      <c r="A243" s="8" t="s">
        <v>301</v>
      </c>
      <c r="B243" s="8"/>
      <c r="C243" s="9" t="n">
        <v>25</v>
      </c>
      <c r="D243" s="9" t="n">
        <v>90</v>
      </c>
      <c r="E243" s="9" t="n">
        <v>220</v>
      </c>
      <c r="F243" s="9" t="n">
        <v>15</v>
      </c>
      <c r="G243" s="9" t="n">
        <v>5</v>
      </c>
      <c r="H243" s="9" t="n">
        <v>2</v>
      </c>
      <c r="I243" s="9" t="n">
        <v>1</v>
      </c>
      <c r="J243" s="9" t="n">
        <v>3</v>
      </c>
      <c r="K243" s="9" t="n">
        <f aca="false">C243+3*Assumptions!$B$4*F243+Assumptions!$B$7*G243+H243+I243</f>
        <v>78</v>
      </c>
      <c r="L243" s="9" t="n">
        <f aca="false">D243+3*Assumptions!$B$5*F243+Assumptions!$B$8*G243+H243+I243</f>
        <v>184</v>
      </c>
      <c r="M243" s="9" t="n">
        <f aca="false">E243+3*Assumptions!$B$6*F243+Assumptions!$B$9*G243+H243+I243</f>
        <v>400.5</v>
      </c>
      <c r="N243" s="9" t="n">
        <f aca="false">IF(AND(Assumptions!$B$17,ISNUMBER(J243)),Assumptions!$B$10*Assumptions!$B$13*J243,0)</f>
        <v>4.5</v>
      </c>
      <c r="O243" s="9" t="n">
        <f aca="false">IF(AND(Assumptions!$B$17,ISNUMBER(J243)),Assumptions!$B$11*Assumptions!$B$13*J243,0)</f>
        <v>9</v>
      </c>
      <c r="P243" s="9" t="n">
        <f aca="false">IF(AND(Assumptions!$B$17,ISNUMBER(J243)),Assumptions!$B$12*Assumptions!$B$13*J243,0)</f>
        <v>13.5</v>
      </c>
      <c r="Q243" s="9" t="n">
        <f aca="false">IF(Assumptions!$B$18,Assumptions!$B$14*K243,0)</f>
        <v>7.8</v>
      </c>
      <c r="R243" s="9" t="n">
        <f aca="false">IF(Assumptions!$B$18,Assumptions!$B$15*L243,0)</f>
        <v>36.8</v>
      </c>
      <c r="S243" s="9" t="n">
        <f aca="false">IF(Assumptions!$B$18,Assumptions!$B$16*M243,0)</f>
        <v>140.175</v>
      </c>
      <c r="T243" s="9" t="n">
        <f aca="false">K243+N243+Q243</f>
        <v>90.3</v>
      </c>
      <c r="U243" s="9" t="n">
        <f aca="false">L243+O243+R243</f>
        <v>229.8</v>
      </c>
      <c r="V243" s="9" t="n">
        <f aca="false">M243+P243+S243</f>
        <v>554.175</v>
      </c>
      <c r="W243" s="9" t="n">
        <v>45</v>
      </c>
      <c r="X243" s="9" t="n">
        <v>110</v>
      </c>
      <c r="Y243" s="9" t="n">
        <v>340</v>
      </c>
      <c r="Z243" s="9" t="n">
        <f aca="false">U243-X243</f>
        <v>119.8</v>
      </c>
      <c r="AA243" s="10" t="n">
        <f aca="false">IFERROR((U243-X243)/X243,"")</f>
        <v>1.08909090909091</v>
      </c>
      <c r="AB243" s="8" t="str">
        <f aca="false">IF(ISNUMBER(AA243),IF(ABS(AA243)&gt;Assumptions!$B$19,"REVIEW",""),"")</f>
        <v>REVIEW</v>
      </c>
    </row>
    <row r="244" customFormat="false" ht="15" hidden="false" customHeight="false" outlineLevel="0" collapsed="false">
      <c r="A244" s="8" t="s">
        <v>302</v>
      </c>
      <c r="B244" s="8"/>
      <c r="C244" s="9" t="n">
        <v>20</v>
      </c>
      <c r="D244" s="9" t="n">
        <v>45</v>
      </c>
      <c r="E244" s="9" t="n">
        <v>90</v>
      </c>
      <c r="F244" s="9" t="n">
        <v>6</v>
      </c>
      <c r="G244" s="9" t="n">
        <v>3</v>
      </c>
      <c r="H244" s="9" t="n">
        <v>3.5</v>
      </c>
      <c r="I244" s="9" t="n">
        <v>0.5</v>
      </c>
      <c r="J244" s="9" t="n">
        <v>1</v>
      </c>
      <c r="K244" s="9" t="n">
        <f aca="false">C244+3*Assumptions!$B$4*F244+Assumptions!$B$7*G244+H244+I244</f>
        <v>45</v>
      </c>
      <c r="L244" s="9" t="n">
        <f aca="false">D244+3*Assumptions!$B$5*F244+Assumptions!$B$8*G244+H244+I244</f>
        <v>87.4</v>
      </c>
      <c r="M244" s="9" t="n">
        <f aca="false">E244+3*Assumptions!$B$6*F244+Assumptions!$B$9*G244+H244+I244</f>
        <v>169</v>
      </c>
      <c r="N244" s="9" t="n">
        <f aca="false">IF(AND(Assumptions!$B$17,ISNUMBER(J244)),Assumptions!$B$10*Assumptions!$B$13*J244,0)</f>
        <v>1.5</v>
      </c>
      <c r="O244" s="9" t="n">
        <f aca="false">IF(AND(Assumptions!$B$17,ISNUMBER(J244)),Assumptions!$B$11*Assumptions!$B$13*J244,0)</f>
        <v>3</v>
      </c>
      <c r="P244" s="9" t="n">
        <f aca="false">IF(AND(Assumptions!$B$17,ISNUMBER(J244)),Assumptions!$B$12*Assumptions!$B$13*J244,0)</f>
        <v>4.5</v>
      </c>
      <c r="Q244" s="9" t="n">
        <f aca="false">IF(Assumptions!$B$18,Assumptions!$B$14*K244,0)</f>
        <v>4.5</v>
      </c>
      <c r="R244" s="9" t="n">
        <f aca="false">IF(Assumptions!$B$18,Assumptions!$B$15*L244,0)</f>
        <v>17.48</v>
      </c>
      <c r="S244" s="9" t="n">
        <f aca="false">IF(Assumptions!$B$18,Assumptions!$B$16*M244,0)</f>
        <v>59.15</v>
      </c>
      <c r="T244" s="9" t="n">
        <f aca="false">K244+N244+Q244</f>
        <v>51</v>
      </c>
      <c r="U244" s="9" t="n">
        <f aca="false">L244+O244+R244</f>
        <v>107.88</v>
      </c>
      <c r="V244" s="9" t="n">
        <f aca="false">M244+P244+S244</f>
        <v>232.65</v>
      </c>
      <c r="W244" s="9" t="n">
        <v>30</v>
      </c>
      <c r="X244" s="9" t="n">
        <v>70</v>
      </c>
      <c r="Y244" s="9" t="n">
        <v>180</v>
      </c>
      <c r="Z244" s="9" t="n">
        <f aca="false">U244-X244</f>
        <v>37.88</v>
      </c>
      <c r="AA244" s="10" t="n">
        <f aca="false">IFERROR((U244-X244)/X244,"")</f>
        <v>0.541142857142857</v>
      </c>
      <c r="AB244" s="8" t="str">
        <f aca="false">IF(ISNUMBER(AA244),IF(ABS(AA244)&gt;Assumptions!$B$19,"REVIEW",""),"")</f>
        <v>REVIEW</v>
      </c>
    </row>
    <row r="245" customFormat="false" ht="15" hidden="false" customHeight="false" outlineLevel="0" collapsed="false">
      <c r="A245" s="8" t="s">
        <v>303</v>
      </c>
      <c r="B245" s="8"/>
      <c r="C245" s="9" t="n">
        <v>45</v>
      </c>
      <c r="D245" s="9" t="n">
        <v>90</v>
      </c>
      <c r="E245" s="9" t="n">
        <v>220</v>
      </c>
      <c r="F245" s="9" t="n">
        <v>12</v>
      </c>
      <c r="G245" s="9" t="n">
        <v>15</v>
      </c>
      <c r="H245" s="9" t="n">
        <v>2.5</v>
      </c>
      <c r="I245" s="9" t="n">
        <v>0.7</v>
      </c>
      <c r="J245" s="9" t="n">
        <v>2.5</v>
      </c>
      <c r="K245" s="9" t="n">
        <f aca="false">C245+3*Assumptions!$B$4*F245+Assumptions!$B$7*G245+H245+I245</f>
        <v>99.2</v>
      </c>
      <c r="L245" s="9" t="n">
        <f aca="false">D245+3*Assumptions!$B$5*F245+Assumptions!$B$8*G245+H245+I245</f>
        <v>188</v>
      </c>
      <c r="M245" s="9" t="n">
        <f aca="false">E245+3*Assumptions!$B$6*F245+Assumptions!$B$9*G245+H245+I245</f>
        <v>409.2</v>
      </c>
      <c r="N245" s="9" t="n">
        <f aca="false">IF(AND(Assumptions!$B$17,ISNUMBER(J245)),Assumptions!$B$10*Assumptions!$B$13*J245,0)</f>
        <v>3.75</v>
      </c>
      <c r="O245" s="9" t="n">
        <f aca="false">IF(AND(Assumptions!$B$17,ISNUMBER(J245)),Assumptions!$B$11*Assumptions!$B$13*J245,0)</f>
        <v>7.5</v>
      </c>
      <c r="P245" s="9" t="n">
        <f aca="false">IF(AND(Assumptions!$B$17,ISNUMBER(J245)),Assumptions!$B$12*Assumptions!$B$13*J245,0)</f>
        <v>11.25</v>
      </c>
      <c r="Q245" s="9" t="n">
        <f aca="false">IF(Assumptions!$B$18,Assumptions!$B$14*K245,0)</f>
        <v>9.92</v>
      </c>
      <c r="R245" s="9" t="n">
        <f aca="false">IF(Assumptions!$B$18,Assumptions!$B$15*L245,0)</f>
        <v>37.6</v>
      </c>
      <c r="S245" s="9" t="n">
        <f aca="false">IF(Assumptions!$B$18,Assumptions!$B$16*M245,0)</f>
        <v>143.22</v>
      </c>
      <c r="T245" s="9" t="n">
        <f aca="false">K245+N245+Q245</f>
        <v>112.87</v>
      </c>
      <c r="U245" s="9" t="n">
        <f aca="false">L245+O245+R245</f>
        <v>233.1</v>
      </c>
      <c r="V245" s="9" t="n">
        <f aca="false">M245+P245+S245</f>
        <v>563.67</v>
      </c>
      <c r="W245" s="9" t="n">
        <v>50</v>
      </c>
      <c r="X245" s="9" t="n">
        <v>120</v>
      </c>
      <c r="Y245" s="9" t="n">
        <v>330</v>
      </c>
      <c r="Z245" s="9" t="n">
        <f aca="false">U245-X245</f>
        <v>113.1</v>
      </c>
      <c r="AA245" s="10" t="n">
        <f aca="false">IFERROR((U245-X245)/X245,"")</f>
        <v>0.9425</v>
      </c>
      <c r="AB245" s="8" t="str">
        <f aca="false">IF(ISNUMBER(AA245),IF(ABS(AA245)&gt;Assumptions!$B$19,"REVIEW",""),"")</f>
        <v>REVIEW</v>
      </c>
    </row>
    <row r="246" customFormat="false" ht="15" hidden="false" customHeight="false" outlineLevel="0" collapsed="false">
      <c r="A246" s="8" t="s">
        <v>304</v>
      </c>
      <c r="B246" s="8"/>
      <c r="C246" s="9" t="n">
        <v>45</v>
      </c>
      <c r="D246" s="9" t="n">
        <v>100</v>
      </c>
      <c r="E246" s="9" t="n">
        <v>190</v>
      </c>
      <c r="F246" s="9" t="n">
        <v>18</v>
      </c>
      <c r="G246" s="9" t="n">
        <v>15</v>
      </c>
      <c r="H246" s="9" t="n">
        <v>3</v>
      </c>
      <c r="I246" s="9" t="n">
        <v>1</v>
      </c>
      <c r="J246" s="9" t="n">
        <v>4</v>
      </c>
      <c r="K246" s="9" t="n">
        <f aca="false">C246+3*Assumptions!$B$4*F246+Assumptions!$B$7*G246+H246+I246</f>
        <v>118</v>
      </c>
      <c r="L246" s="9" t="n">
        <f aca="false">D246+3*Assumptions!$B$5*F246+Assumptions!$B$8*G246+H246+I246</f>
        <v>231.2</v>
      </c>
      <c r="M246" s="9" t="n">
        <f aca="false">E246+3*Assumptions!$B$6*F246+Assumptions!$B$9*G246+H246+I246</f>
        <v>443</v>
      </c>
      <c r="N246" s="9" t="n">
        <f aca="false">IF(AND(Assumptions!$B$17,ISNUMBER(J246)),Assumptions!$B$10*Assumptions!$B$13*J246,0)</f>
        <v>6</v>
      </c>
      <c r="O246" s="9" t="n">
        <f aca="false">IF(AND(Assumptions!$B$17,ISNUMBER(J246)),Assumptions!$B$11*Assumptions!$B$13*J246,0)</f>
        <v>12</v>
      </c>
      <c r="P246" s="9" t="n">
        <f aca="false">IF(AND(Assumptions!$B$17,ISNUMBER(J246)),Assumptions!$B$12*Assumptions!$B$13*J246,0)</f>
        <v>18</v>
      </c>
      <c r="Q246" s="9" t="n">
        <f aca="false">IF(Assumptions!$B$18,Assumptions!$B$14*K246,0)</f>
        <v>11.8</v>
      </c>
      <c r="R246" s="9" t="n">
        <f aca="false">IF(Assumptions!$B$18,Assumptions!$B$15*L246,0)</f>
        <v>46.24</v>
      </c>
      <c r="S246" s="9" t="n">
        <f aca="false">IF(Assumptions!$B$18,Assumptions!$B$16*M246,0)</f>
        <v>155.05</v>
      </c>
      <c r="T246" s="9" t="n">
        <f aca="false">K246+N246+Q246</f>
        <v>135.8</v>
      </c>
      <c r="U246" s="9" t="n">
        <f aca="false">L246+O246+R246</f>
        <v>289.44</v>
      </c>
      <c r="V246" s="9" t="n">
        <f aca="false">M246+P246+S246</f>
        <v>616.05</v>
      </c>
      <c r="W246" s="9" t="n">
        <v>65</v>
      </c>
      <c r="X246" s="9" t="n">
        <v>150</v>
      </c>
      <c r="Y246" s="9" t="n">
        <v>420</v>
      </c>
      <c r="Z246" s="9" t="n">
        <f aca="false">U246-X246</f>
        <v>139.44</v>
      </c>
      <c r="AA246" s="10" t="n">
        <f aca="false">IFERROR((U246-X246)/X246,"")</f>
        <v>0.9296</v>
      </c>
      <c r="AB246" s="8" t="str">
        <f aca="false">IF(ISNUMBER(AA246),IF(ABS(AA246)&gt;Assumptions!$B$19,"REVIEW",""),"")</f>
        <v>REVIEW</v>
      </c>
    </row>
    <row r="247" customFormat="false" ht="15" hidden="false" customHeight="false" outlineLevel="0" collapsed="false">
      <c r="A247" s="8" t="s">
        <v>305</v>
      </c>
      <c r="B247" s="8"/>
      <c r="C247" s="9" t="n">
        <v>45</v>
      </c>
      <c r="D247" s="9" t="n">
        <v>90</v>
      </c>
      <c r="E247" s="9" t="n">
        <v>150</v>
      </c>
      <c r="F247" s="9" t="n">
        <v>15</v>
      </c>
      <c r="G247" s="9" t="n">
        <v>5</v>
      </c>
      <c r="H247" s="9" t="n">
        <v>3</v>
      </c>
      <c r="I247" s="9" t="n">
        <v>1.5</v>
      </c>
      <c r="J247" s="9" t="n">
        <v>5</v>
      </c>
      <c r="K247" s="9" t="n">
        <f aca="false">C247+3*Assumptions!$B$4*F247+Assumptions!$B$7*G247+H247+I247</f>
        <v>99.5</v>
      </c>
      <c r="L247" s="9" t="n">
        <f aca="false">D247+3*Assumptions!$B$5*F247+Assumptions!$B$8*G247+H247+I247</f>
        <v>185.5</v>
      </c>
      <c r="M247" s="9" t="n">
        <f aca="false">E247+3*Assumptions!$B$6*F247+Assumptions!$B$9*G247+H247+I247</f>
        <v>332</v>
      </c>
      <c r="N247" s="9" t="n">
        <f aca="false">IF(AND(Assumptions!$B$17,ISNUMBER(J247)),Assumptions!$B$10*Assumptions!$B$13*J247,0)</f>
        <v>7.5</v>
      </c>
      <c r="O247" s="9" t="n">
        <f aca="false">IF(AND(Assumptions!$B$17,ISNUMBER(J247)),Assumptions!$B$11*Assumptions!$B$13*J247,0)</f>
        <v>15</v>
      </c>
      <c r="P247" s="9" t="n">
        <f aca="false">IF(AND(Assumptions!$B$17,ISNUMBER(J247)),Assumptions!$B$12*Assumptions!$B$13*J247,0)</f>
        <v>22.5</v>
      </c>
      <c r="Q247" s="9" t="n">
        <f aca="false">IF(Assumptions!$B$18,Assumptions!$B$14*K247,0)</f>
        <v>9.95</v>
      </c>
      <c r="R247" s="9" t="n">
        <f aca="false">IF(Assumptions!$B$18,Assumptions!$B$15*L247,0)</f>
        <v>37.1</v>
      </c>
      <c r="S247" s="9" t="n">
        <f aca="false">IF(Assumptions!$B$18,Assumptions!$B$16*M247,0)</f>
        <v>116.2</v>
      </c>
      <c r="T247" s="9" t="n">
        <f aca="false">K247+N247+Q247</f>
        <v>116.95</v>
      </c>
      <c r="U247" s="9" t="n">
        <f aca="false">L247+O247+R247</f>
        <v>237.6</v>
      </c>
      <c r="V247" s="9" t="n">
        <f aca="false">M247+P247+S247</f>
        <v>470.7</v>
      </c>
      <c r="W247" s="9" t="n">
        <v>50</v>
      </c>
      <c r="X247" s="9" t="n">
        <v>120</v>
      </c>
      <c r="Y247" s="9" t="n">
        <v>335</v>
      </c>
      <c r="Z247" s="9" t="n">
        <f aca="false">U247-X247</f>
        <v>117.6</v>
      </c>
      <c r="AA247" s="10" t="n">
        <f aca="false">IFERROR((U247-X247)/X247,"")</f>
        <v>0.98</v>
      </c>
      <c r="AB247" s="8" t="str">
        <f aca="false">IF(ISNUMBER(AA247),IF(ABS(AA247)&gt;Assumptions!$B$19,"REVIEW",""),"")</f>
        <v>REVIEW</v>
      </c>
    </row>
    <row r="248" customFormat="false" ht="15" hidden="false" customHeight="false" outlineLevel="0" collapsed="false">
      <c r="A248" s="8" t="s">
        <v>306</v>
      </c>
      <c r="B248" s="8"/>
      <c r="C248" s="9" t="n">
        <v>15</v>
      </c>
      <c r="D248" s="9" t="n">
        <v>70</v>
      </c>
      <c r="E248" s="9" t="n">
        <v>250</v>
      </c>
      <c r="F248" s="9" t="n">
        <v>10</v>
      </c>
      <c r="G248" s="9" t="n">
        <v>3</v>
      </c>
      <c r="H248" s="9" t="n">
        <v>2</v>
      </c>
      <c r="I248" s="9" t="n">
        <v>0.5</v>
      </c>
      <c r="J248" s="9" t="n">
        <v>2</v>
      </c>
      <c r="K248" s="9" t="n">
        <f aca="false">C248+3*Assumptions!$B$4*F248+Assumptions!$B$7*G248+H248+I248</f>
        <v>50.5</v>
      </c>
      <c r="L248" s="9" t="n">
        <f aca="false">D248+3*Assumptions!$B$5*F248+Assumptions!$B$8*G248+H248+I248</f>
        <v>132.5</v>
      </c>
      <c r="M248" s="9" t="n">
        <f aca="false">E248+3*Assumptions!$B$6*F248+Assumptions!$B$9*G248+H248+I248</f>
        <v>369.5</v>
      </c>
      <c r="N248" s="9" t="n">
        <f aca="false">IF(AND(Assumptions!$B$17,ISNUMBER(J248)),Assumptions!$B$10*Assumptions!$B$13*J248,0)</f>
        <v>3</v>
      </c>
      <c r="O248" s="9" t="n">
        <f aca="false">IF(AND(Assumptions!$B$17,ISNUMBER(J248)),Assumptions!$B$11*Assumptions!$B$13*J248,0)</f>
        <v>6</v>
      </c>
      <c r="P248" s="9" t="n">
        <f aca="false">IF(AND(Assumptions!$B$17,ISNUMBER(J248)),Assumptions!$B$12*Assumptions!$B$13*J248,0)</f>
        <v>9</v>
      </c>
      <c r="Q248" s="9" t="n">
        <f aca="false">IF(Assumptions!$B$18,Assumptions!$B$14*K248,0)</f>
        <v>5.05</v>
      </c>
      <c r="R248" s="9" t="n">
        <f aca="false">IF(Assumptions!$B$18,Assumptions!$B$15*L248,0)</f>
        <v>26.5</v>
      </c>
      <c r="S248" s="9" t="n">
        <f aca="false">IF(Assumptions!$B$18,Assumptions!$B$16*M248,0)</f>
        <v>129.325</v>
      </c>
      <c r="T248" s="9" t="n">
        <f aca="false">K248+N248+Q248</f>
        <v>58.55</v>
      </c>
      <c r="U248" s="9" t="n">
        <f aca="false">L248+O248+R248</f>
        <v>165</v>
      </c>
      <c r="V248" s="9" t="n">
        <f aca="false">M248+P248+S248</f>
        <v>507.825</v>
      </c>
      <c r="W248" s="9" t="n">
        <v>35</v>
      </c>
      <c r="X248" s="9" t="n">
        <v>95</v>
      </c>
      <c r="Y248" s="9" t="n">
        <v>295</v>
      </c>
      <c r="Z248" s="9" t="n">
        <f aca="false">U248-X248</f>
        <v>70</v>
      </c>
      <c r="AA248" s="10" t="n">
        <f aca="false">IFERROR((U248-X248)/X248,"")</f>
        <v>0.736842105263158</v>
      </c>
      <c r="AB248" s="8" t="str">
        <f aca="false">IF(ISNUMBER(AA248),IF(ABS(AA248)&gt;Assumptions!$B$19,"REVIEW",""),"")</f>
        <v>REVIEW</v>
      </c>
    </row>
    <row r="249" customFormat="false" ht="15" hidden="false" customHeight="false" outlineLevel="0" collapsed="false">
      <c r="A249" s="8" t="s">
        <v>307</v>
      </c>
      <c r="B249" s="8"/>
      <c r="C249" s="9" t="n">
        <v>30</v>
      </c>
      <c r="D249" s="9" t="n">
        <v>70</v>
      </c>
      <c r="E249" s="9" t="n">
        <v>150</v>
      </c>
      <c r="F249" s="9" t="n">
        <v>12</v>
      </c>
      <c r="G249" s="9" t="n">
        <v>8</v>
      </c>
      <c r="H249" s="9" t="n">
        <v>2</v>
      </c>
      <c r="I249" s="9" t="n">
        <v>0.3</v>
      </c>
      <c r="J249" s="9" t="n">
        <v>1.5</v>
      </c>
      <c r="K249" s="9" t="n">
        <f aca="false">C249+3*Assumptions!$B$4*F249+Assumptions!$B$7*G249+H249+I249</f>
        <v>76.3</v>
      </c>
      <c r="L249" s="9" t="n">
        <f aca="false">D249+3*Assumptions!$B$5*F249+Assumptions!$B$8*G249+H249+I249</f>
        <v>153.1</v>
      </c>
      <c r="M249" s="9" t="n">
        <f aca="false">E249+3*Assumptions!$B$6*F249+Assumptions!$B$9*G249+H249+I249</f>
        <v>310.3</v>
      </c>
      <c r="N249" s="9" t="n">
        <f aca="false">IF(AND(Assumptions!$B$17,ISNUMBER(J249)),Assumptions!$B$10*Assumptions!$B$13*J249,0)</f>
        <v>2.25</v>
      </c>
      <c r="O249" s="9" t="n">
        <f aca="false">IF(AND(Assumptions!$B$17,ISNUMBER(J249)),Assumptions!$B$11*Assumptions!$B$13*J249,0)</f>
        <v>4.5</v>
      </c>
      <c r="P249" s="9" t="n">
        <f aca="false">IF(AND(Assumptions!$B$17,ISNUMBER(J249)),Assumptions!$B$12*Assumptions!$B$13*J249,0)</f>
        <v>6.75</v>
      </c>
      <c r="Q249" s="9" t="n">
        <f aca="false">IF(Assumptions!$B$18,Assumptions!$B$14*K249,0)</f>
        <v>7.63</v>
      </c>
      <c r="R249" s="9" t="n">
        <f aca="false">IF(Assumptions!$B$18,Assumptions!$B$15*L249,0)</f>
        <v>30.62</v>
      </c>
      <c r="S249" s="9" t="n">
        <f aca="false">IF(Assumptions!$B$18,Assumptions!$B$16*M249,0)</f>
        <v>108.605</v>
      </c>
      <c r="T249" s="9" t="n">
        <f aca="false">K249+N249+Q249</f>
        <v>86.18</v>
      </c>
      <c r="U249" s="9" t="n">
        <f aca="false">L249+O249+R249</f>
        <v>188.22</v>
      </c>
      <c r="V249" s="9" t="n">
        <f aca="false">M249+P249+S249</f>
        <v>425.655</v>
      </c>
      <c r="W249" s="9" t="n">
        <v>35</v>
      </c>
      <c r="X249" s="9" t="n">
        <v>85</v>
      </c>
      <c r="Y249" s="9" t="n">
        <v>260</v>
      </c>
      <c r="Z249" s="9" t="n">
        <f aca="false">U249-X249</f>
        <v>103.22</v>
      </c>
      <c r="AA249" s="10" t="n">
        <f aca="false">IFERROR((U249-X249)/X249,"")</f>
        <v>1.21435294117647</v>
      </c>
      <c r="AB249" s="8" t="str">
        <f aca="false">IF(ISNUMBER(AA249),IF(ABS(AA249)&gt;Assumptions!$B$19,"REVIEW",""),"")</f>
        <v>REVIEW</v>
      </c>
    </row>
    <row r="250" customFormat="false" ht="15" hidden="false" customHeight="false" outlineLevel="0" collapsed="false">
      <c r="A250" s="8" t="s">
        <v>308</v>
      </c>
      <c r="B250" s="8"/>
      <c r="C250" s="9" t="n">
        <v>18</v>
      </c>
      <c r="D250" s="9" t="n">
        <v>75</v>
      </c>
      <c r="E250" s="9" t="n">
        <v>150</v>
      </c>
      <c r="F250" s="9" t="n">
        <v>10</v>
      </c>
      <c r="G250" s="9" t="n">
        <v>5</v>
      </c>
      <c r="H250" s="9" t="n">
        <v>2.5</v>
      </c>
      <c r="I250" s="9" t="n">
        <v>1</v>
      </c>
      <c r="J250" s="9" t="n">
        <v>2.5</v>
      </c>
      <c r="K250" s="9" t="n">
        <f aca="false">C250+3*Assumptions!$B$4*F250+Assumptions!$B$7*G250+H250+I250</f>
        <v>56.5</v>
      </c>
      <c r="L250" s="9" t="n">
        <f aca="false">D250+3*Assumptions!$B$5*F250+Assumptions!$B$8*G250+H250+I250</f>
        <v>142.5</v>
      </c>
      <c r="M250" s="9" t="n">
        <f aca="false">E250+3*Assumptions!$B$6*F250+Assumptions!$B$9*G250+H250+I250</f>
        <v>278.5</v>
      </c>
      <c r="N250" s="9" t="n">
        <f aca="false">IF(AND(Assumptions!$B$17,ISNUMBER(J250)),Assumptions!$B$10*Assumptions!$B$13*J250,0)</f>
        <v>3.75</v>
      </c>
      <c r="O250" s="9" t="n">
        <f aca="false">IF(AND(Assumptions!$B$17,ISNUMBER(J250)),Assumptions!$B$11*Assumptions!$B$13*J250,0)</f>
        <v>7.5</v>
      </c>
      <c r="P250" s="9" t="n">
        <f aca="false">IF(AND(Assumptions!$B$17,ISNUMBER(J250)),Assumptions!$B$12*Assumptions!$B$13*J250,0)</f>
        <v>11.25</v>
      </c>
      <c r="Q250" s="9" t="n">
        <f aca="false">IF(Assumptions!$B$18,Assumptions!$B$14*K250,0)</f>
        <v>5.65</v>
      </c>
      <c r="R250" s="9" t="n">
        <f aca="false">IF(Assumptions!$B$18,Assumptions!$B$15*L250,0)</f>
        <v>28.5</v>
      </c>
      <c r="S250" s="9" t="n">
        <f aca="false">IF(Assumptions!$B$18,Assumptions!$B$16*M250,0)</f>
        <v>97.475</v>
      </c>
      <c r="T250" s="9" t="n">
        <f aca="false">K250+N250+Q250</f>
        <v>65.9</v>
      </c>
      <c r="U250" s="9" t="n">
        <f aca="false">L250+O250+R250</f>
        <v>178.5</v>
      </c>
      <c r="V250" s="9" t="n">
        <f aca="false">M250+P250+S250</f>
        <v>387.225</v>
      </c>
      <c r="W250" s="9" t="n">
        <v>35</v>
      </c>
      <c r="X250" s="9" t="n">
        <v>85</v>
      </c>
      <c r="Y250" s="9" t="n">
        <v>255</v>
      </c>
      <c r="Z250" s="9" t="n">
        <f aca="false">U250-X250</f>
        <v>93.5</v>
      </c>
      <c r="AA250" s="10" t="n">
        <f aca="false">IFERROR((U250-X250)/X250,"")</f>
        <v>1.1</v>
      </c>
      <c r="AB250" s="8" t="str">
        <f aca="false">IF(ISNUMBER(AA250),IF(ABS(AA250)&gt;Assumptions!$B$19,"REVIEW",""),"")</f>
        <v>REVIEW</v>
      </c>
    </row>
    <row r="251" customFormat="false" ht="15" hidden="false" customHeight="false" outlineLevel="0" collapsed="false">
      <c r="A251" s="8" t="s">
        <v>309</v>
      </c>
      <c r="B251" s="8" t="s">
        <v>60</v>
      </c>
      <c r="C251" s="9" t="n">
        <v>22</v>
      </c>
      <c r="D251" s="9" t="n">
        <v>55</v>
      </c>
      <c r="E251" s="9" t="n">
        <v>180</v>
      </c>
      <c r="F251" s="9" t="n">
        <v>9</v>
      </c>
      <c r="G251" s="9" t="n">
        <v>4</v>
      </c>
      <c r="H251" s="9" t="n">
        <v>3</v>
      </c>
      <c r="I251" s="9" t="n">
        <v>0.5</v>
      </c>
      <c r="J251" s="9"/>
      <c r="K251" s="9" t="n">
        <f aca="false">C251+3*Assumptions!$B$4*F251+Assumptions!$B$7*G251+H251+I251</f>
        <v>56.5</v>
      </c>
      <c r="L251" s="9" t="n">
        <f aca="false">D251+3*Assumptions!$B$5*F251+Assumptions!$B$8*G251+H251+I251</f>
        <v>115.1</v>
      </c>
      <c r="M251" s="9" t="n">
        <f aca="false">E251+3*Assumptions!$B$6*F251+Assumptions!$B$9*G251+H251+I251</f>
        <v>294</v>
      </c>
      <c r="N251" s="9" t="n">
        <f aca="false">IF(AND(Assumptions!$B$17,ISNUMBER(J251)),Assumptions!$B$10*Assumptions!$B$13*J251,0)</f>
        <v>0</v>
      </c>
      <c r="O251" s="9" t="n">
        <f aca="false">IF(AND(Assumptions!$B$17,ISNUMBER(J251)),Assumptions!$B$11*Assumptions!$B$13*J251,0)</f>
        <v>0</v>
      </c>
      <c r="P251" s="9" t="n">
        <f aca="false">IF(AND(Assumptions!$B$17,ISNUMBER(J251)),Assumptions!$B$12*Assumptions!$B$13*J251,0)</f>
        <v>0</v>
      </c>
      <c r="Q251" s="9" t="n">
        <f aca="false">IF(Assumptions!$B$18,Assumptions!$B$14*K251,0)</f>
        <v>5.65</v>
      </c>
      <c r="R251" s="9" t="n">
        <f aca="false">IF(Assumptions!$B$18,Assumptions!$B$15*L251,0)</f>
        <v>23.02</v>
      </c>
      <c r="S251" s="9" t="n">
        <f aca="false">IF(Assumptions!$B$18,Assumptions!$B$16*M251,0)</f>
        <v>102.9</v>
      </c>
      <c r="T251" s="9" t="n">
        <f aca="false">K251+N251+Q251</f>
        <v>62.15</v>
      </c>
      <c r="U251" s="9" t="n">
        <f aca="false">L251+O251+R251</f>
        <v>138.12</v>
      </c>
      <c r="V251" s="9" t="n">
        <f aca="false">M251+P251+S251</f>
        <v>396.9</v>
      </c>
      <c r="W251" s="9" t="n">
        <v>35</v>
      </c>
      <c r="X251" s="9" t="n">
        <v>90</v>
      </c>
      <c r="Y251" s="9" t="n">
        <v>265</v>
      </c>
      <c r="Z251" s="9" t="n">
        <f aca="false">U251-X251</f>
        <v>48.12</v>
      </c>
      <c r="AA251" s="10" t="n">
        <f aca="false">IFERROR((U251-X251)/X251,"")</f>
        <v>0.534666666666667</v>
      </c>
      <c r="AB251" s="8" t="str">
        <f aca="false">IF(ISNUMBER(AA251),IF(ABS(AA251)&gt;Assumptions!$B$19,"REVIEW",""),"")</f>
        <v>REVIEW</v>
      </c>
    </row>
    <row r="252" customFormat="false" ht="15" hidden="false" customHeight="false" outlineLevel="0" collapsed="false">
      <c r="A252" s="8" t="s">
        <v>310</v>
      </c>
      <c r="B252" s="8"/>
      <c r="C252" s="9" t="n">
        <v>110</v>
      </c>
      <c r="D252" s="9" t="n">
        <v>220</v>
      </c>
      <c r="E252" s="9" t="n">
        <v>500</v>
      </c>
      <c r="F252" s="9" t="n">
        <v>35</v>
      </c>
      <c r="G252" s="9" t="n">
        <v>25</v>
      </c>
      <c r="H252" s="9" t="n">
        <v>3.5</v>
      </c>
      <c r="I252" s="9" t="n">
        <v>1.5</v>
      </c>
      <c r="J252" s="9" t="n">
        <v>7</v>
      </c>
      <c r="K252" s="9" t="n">
        <f aca="false">C252+3*Assumptions!$B$4*F252+Assumptions!$B$7*G252+H252+I252</f>
        <v>245</v>
      </c>
      <c r="L252" s="9" t="n">
        <f aca="false">D252+3*Assumptions!$B$5*F252+Assumptions!$B$8*G252+H252+I252</f>
        <v>464</v>
      </c>
      <c r="M252" s="9" t="n">
        <f aca="false">E252+3*Assumptions!$B$6*F252+Assumptions!$B$9*G252+H252+I252</f>
        <v>972.5</v>
      </c>
      <c r="N252" s="9" t="n">
        <f aca="false">IF(AND(Assumptions!$B$17,ISNUMBER(J252)),Assumptions!$B$10*Assumptions!$B$13*J252,0)</f>
        <v>10.5</v>
      </c>
      <c r="O252" s="9" t="n">
        <f aca="false">IF(AND(Assumptions!$B$17,ISNUMBER(J252)),Assumptions!$B$11*Assumptions!$B$13*J252,0)</f>
        <v>21</v>
      </c>
      <c r="P252" s="9" t="n">
        <f aca="false">IF(AND(Assumptions!$B$17,ISNUMBER(J252)),Assumptions!$B$12*Assumptions!$B$13*J252,0)</f>
        <v>31.5</v>
      </c>
      <c r="Q252" s="9" t="n">
        <f aca="false">IF(Assumptions!$B$18,Assumptions!$B$14*K252,0)</f>
        <v>24.5</v>
      </c>
      <c r="R252" s="9" t="n">
        <f aca="false">IF(Assumptions!$B$18,Assumptions!$B$15*L252,0)</f>
        <v>92.8</v>
      </c>
      <c r="S252" s="9" t="n">
        <f aca="false">IF(Assumptions!$B$18,Assumptions!$B$16*M252,0)</f>
        <v>340.375</v>
      </c>
      <c r="T252" s="9" t="n">
        <f aca="false">K252+N252+Q252</f>
        <v>280</v>
      </c>
      <c r="U252" s="9" t="n">
        <f aca="false">L252+O252+R252</f>
        <v>577.8</v>
      </c>
      <c r="V252" s="9" t="n">
        <f aca="false">M252+P252+S252</f>
        <v>1344.375</v>
      </c>
      <c r="W252" s="9" t="n">
        <v>110</v>
      </c>
      <c r="X252" s="9" t="n">
        <v>260</v>
      </c>
      <c r="Y252" s="9" t="n">
        <v>750</v>
      </c>
      <c r="Z252" s="9" t="n">
        <f aca="false">U252-X252</f>
        <v>317.8</v>
      </c>
      <c r="AA252" s="10" t="n">
        <f aca="false">IFERROR((U252-X252)/X252,"")</f>
        <v>1.22230769230769</v>
      </c>
      <c r="AB252" s="8" t="str">
        <f aca="false">IF(ISNUMBER(AA252),IF(ABS(AA252)&gt;Assumptions!$B$19,"REVIEW",""),"")</f>
        <v>REVIEW</v>
      </c>
    </row>
    <row r="253" customFormat="false" ht="15" hidden="false" customHeight="false" outlineLevel="0" collapsed="false">
      <c r="A253" s="8" t="s">
        <v>311</v>
      </c>
      <c r="B253" s="8"/>
      <c r="C253" s="9" t="n">
        <v>45</v>
      </c>
      <c r="D253" s="9" t="n">
        <v>90</v>
      </c>
      <c r="E253" s="9" t="n">
        <v>180</v>
      </c>
      <c r="F253" s="9" t="n">
        <v>18</v>
      </c>
      <c r="G253" s="9" t="n">
        <v>15</v>
      </c>
      <c r="H253" s="9" t="n">
        <v>3</v>
      </c>
      <c r="I253" s="9" t="n">
        <v>0.5</v>
      </c>
      <c r="J253" s="9" t="n">
        <v>4</v>
      </c>
      <c r="K253" s="9" t="n">
        <f aca="false">C253+3*Assumptions!$B$4*F253+Assumptions!$B$7*G253+H253+I253</f>
        <v>117.5</v>
      </c>
      <c r="L253" s="9" t="n">
        <f aca="false">D253+3*Assumptions!$B$5*F253+Assumptions!$B$8*G253+H253+I253</f>
        <v>220.7</v>
      </c>
      <c r="M253" s="9" t="n">
        <f aca="false">E253+3*Assumptions!$B$6*F253+Assumptions!$B$9*G253+H253+I253</f>
        <v>432.5</v>
      </c>
      <c r="N253" s="9" t="n">
        <f aca="false">IF(AND(Assumptions!$B$17,ISNUMBER(J253)),Assumptions!$B$10*Assumptions!$B$13*J253,0)</f>
        <v>6</v>
      </c>
      <c r="O253" s="9" t="n">
        <f aca="false">IF(AND(Assumptions!$B$17,ISNUMBER(J253)),Assumptions!$B$11*Assumptions!$B$13*J253,0)</f>
        <v>12</v>
      </c>
      <c r="P253" s="9" t="n">
        <f aca="false">IF(AND(Assumptions!$B$17,ISNUMBER(J253)),Assumptions!$B$12*Assumptions!$B$13*J253,0)</f>
        <v>18</v>
      </c>
      <c r="Q253" s="9" t="n">
        <f aca="false">IF(Assumptions!$B$18,Assumptions!$B$14*K253,0)</f>
        <v>11.75</v>
      </c>
      <c r="R253" s="9" t="n">
        <f aca="false">IF(Assumptions!$B$18,Assumptions!$B$15*L253,0)</f>
        <v>44.14</v>
      </c>
      <c r="S253" s="9" t="n">
        <f aca="false">IF(Assumptions!$B$18,Assumptions!$B$16*M253,0)</f>
        <v>151.375</v>
      </c>
      <c r="T253" s="9" t="n">
        <f aca="false">K253+N253+Q253</f>
        <v>135.25</v>
      </c>
      <c r="U253" s="9" t="n">
        <f aca="false">L253+O253+R253</f>
        <v>276.84</v>
      </c>
      <c r="V253" s="9" t="n">
        <f aca="false">M253+P253+S253</f>
        <v>601.875</v>
      </c>
      <c r="W253" s="9" t="n">
        <v>55</v>
      </c>
      <c r="X253" s="9" t="n">
        <v>130</v>
      </c>
      <c r="Y253" s="9" t="n">
        <v>370</v>
      </c>
      <c r="Z253" s="9" t="n">
        <f aca="false">U253-X253</f>
        <v>146.84</v>
      </c>
      <c r="AA253" s="10" t="n">
        <f aca="false">IFERROR((U253-X253)/X253,"")</f>
        <v>1.12953846153846</v>
      </c>
      <c r="AB253" s="8" t="str">
        <f aca="false">IF(ISNUMBER(AA253),IF(ABS(AA253)&gt;Assumptions!$B$19,"REVIEW",""),"")</f>
        <v>REVIEW</v>
      </c>
    </row>
    <row r="254" customFormat="false" ht="15" hidden="false" customHeight="false" outlineLevel="0" collapsed="false">
      <c r="A254" s="8" t="s">
        <v>312</v>
      </c>
      <c r="B254" s="8"/>
      <c r="C254" s="9" t="n">
        <v>25</v>
      </c>
      <c r="D254" s="9" t="n">
        <v>90</v>
      </c>
      <c r="E254" s="9" t="n">
        <v>350</v>
      </c>
      <c r="F254" s="9" t="n">
        <v>12</v>
      </c>
      <c r="G254" s="9" t="n">
        <v>4</v>
      </c>
      <c r="H254" s="9" t="n">
        <v>3</v>
      </c>
      <c r="I254" s="9" t="n">
        <v>0.6</v>
      </c>
      <c r="J254" s="9" t="n">
        <v>4</v>
      </c>
      <c r="K254" s="9" t="n">
        <f aca="false">C254+3*Assumptions!$B$4*F254+Assumptions!$B$7*G254+H254+I254</f>
        <v>68.6</v>
      </c>
      <c r="L254" s="9" t="n">
        <f aca="false">D254+3*Assumptions!$B$5*F254+Assumptions!$B$8*G254+H254+I254</f>
        <v>166.4</v>
      </c>
      <c r="M254" s="9" t="n">
        <f aca="false">E254+3*Assumptions!$B$6*F254+Assumptions!$B$9*G254+H254+I254</f>
        <v>495.6</v>
      </c>
      <c r="N254" s="9" t="n">
        <f aca="false">IF(AND(Assumptions!$B$17,ISNUMBER(J254)),Assumptions!$B$10*Assumptions!$B$13*J254,0)</f>
        <v>6</v>
      </c>
      <c r="O254" s="9" t="n">
        <f aca="false">IF(AND(Assumptions!$B$17,ISNUMBER(J254)),Assumptions!$B$11*Assumptions!$B$13*J254,0)</f>
        <v>12</v>
      </c>
      <c r="P254" s="9" t="n">
        <f aca="false">IF(AND(Assumptions!$B$17,ISNUMBER(J254)),Assumptions!$B$12*Assumptions!$B$13*J254,0)</f>
        <v>18</v>
      </c>
      <c r="Q254" s="9" t="n">
        <f aca="false">IF(Assumptions!$B$18,Assumptions!$B$14*K254,0)</f>
        <v>6.86</v>
      </c>
      <c r="R254" s="9" t="n">
        <f aca="false">IF(Assumptions!$B$18,Assumptions!$B$15*L254,0)</f>
        <v>33.28</v>
      </c>
      <c r="S254" s="9" t="n">
        <f aca="false">IF(Assumptions!$B$18,Assumptions!$B$16*M254,0)</f>
        <v>173.46</v>
      </c>
      <c r="T254" s="9" t="n">
        <f aca="false">K254+N254+Q254</f>
        <v>81.46</v>
      </c>
      <c r="U254" s="9" t="n">
        <f aca="false">L254+O254+R254</f>
        <v>211.68</v>
      </c>
      <c r="V254" s="9" t="n">
        <f aca="false">M254+P254+S254</f>
        <v>687.06</v>
      </c>
      <c r="W254" s="9" t="n">
        <v>45</v>
      </c>
      <c r="X254" s="9" t="n">
        <v>115</v>
      </c>
      <c r="Y254" s="9" t="n">
        <v>370</v>
      </c>
      <c r="Z254" s="9" t="n">
        <f aca="false">U254-X254</f>
        <v>96.68</v>
      </c>
      <c r="AA254" s="10" t="n">
        <f aca="false">IFERROR((U254-X254)/X254,"")</f>
        <v>0.840695652173913</v>
      </c>
      <c r="AB254" s="8" t="str">
        <f aca="false">IF(ISNUMBER(AA254),IF(ABS(AA254)&gt;Assumptions!$B$19,"REVIEW",""),"")</f>
        <v>REVIEW</v>
      </c>
    </row>
    <row r="255" customFormat="false" ht="15" hidden="false" customHeight="false" outlineLevel="0" collapsed="false">
      <c r="A255" s="8" t="s">
        <v>313</v>
      </c>
      <c r="B255" s="8"/>
      <c r="C255" s="9" t="n">
        <v>20</v>
      </c>
      <c r="D255" s="9" t="n">
        <v>55</v>
      </c>
      <c r="E255" s="9" t="n">
        <v>130</v>
      </c>
      <c r="F255" s="9" t="n">
        <v>6</v>
      </c>
      <c r="G255" s="9" t="n">
        <v>3</v>
      </c>
      <c r="H255" s="9" t="n">
        <v>4</v>
      </c>
      <c r="I255" s="9" t="n">
        <v>0.4</v>
      </c>
      <c r="J255" s="9" t="n">
        <v>2</v>
      </c>
      <c r="K255" s="9" t="n">
        <f aca="false">C255+3*Assumptions!$B$4*F255+Assumptions!$B$7*G255+H255+I255</f>
        <v>45.4</v>
      </c>
      <c r="L255" s="9" t="n">
        <f aca="false">D255+3*Assumptions!$B$5*F255+Assumptions!$B$8*G255+H255+I255</f>
        <v>97.8</v>
      </c>
      <c r="M255" s="9" t="n">
        <f aca="false">E255+3*Assumptions!$B$6*F255+Assumptions!$B$9*G255+H255+I255</f>
        <v>209.4</v>
      </c>
      <c r="N255" s="9" t="n">
        <f aca="false">IF(AND(Assumptions!$B$17,ISNUMBER(J255)),Assumptions!$B$10*Assumptions!$B$13*J255,0)</f>
        <v>3</v>
      </c>
      <c r="O255" s="9" t="n">
        <f aca="false">IF(AND(Assumptions!$B$17,ISNUMBER(J255)),Assumptions!$B$11*Assumptions!$B$13*J255,0)</f>
        <v>6</v>
      </c>
      <c r="P255" s="9" t="n">
        <f aca="false">IF(AND(Assumptions!$B$17,ISNUMBER(J255)),Assumptions!$B$12*Assumptions!$B$13*J255,0)</f>
        <v>9</v>
      </c>
      <c r="Q255" s="9" t="n">
        <f aca="false">IF(Assumptions!$B$18,Assumptions!$B$14*K255,0)</f>
        <v>4.54</v>
      </c>
      <c r="R255" s="9" t="n">
        <f aca="false">IF(Assumptions!$B$18,Assumptions!$B$15*L255,0)</f>
        <v>19.56</v>
      </c>
      <c r="S255" s="9" t="n">
        <f aca="false">IF(Assumptions!$B$18,Assumptions!$B$16*M255,0)</f>
        <v>73.29</v>
      </c>
      <c r="T255" s="9" t="n">
        <f aca="false">K255+N255+Q255</f>
        <v>52.94</v>
      </c>
      <c r="U255" s="9" t="n">
        <f aca="false">L255+O255+R255</f>
        <v>123.36</v>
      </c>
      <c r="V255" s="9" t="n">
        <f aca="false">M255+P255+S255</f>
        <v>291.69</v>
      </c>
      <c r="W255" s="9" t="n">
        <v>30</v>
      </c>
      <c r="X255" s="9" t="n">
        <v>75</v>
      </c>
      <c r="Y255" s="9" t="n">
        <v>220</v>
      </c>
      <c r="Z255" s="9" t="n">
        <f aca="false">U255-X255</f>
        <v>48.36</v>
      </c>
      <c r="AA255" s="10" t="n">
        <f aca="false">IFERROR((U255-X255)/X255,"")</f>
        <v>0.6448</v>
      </c>
      <c r="AB255" s="8" t="str">
        <f aca="false">IF(ISNUMBER(AA255),IF(ABS(AA255)&gt;Assumptions!$B$19,"REVIEW",""),"")</f>
        <v>REVIEW</v>
      </c>
    </row>
    <row r="256" customFormat="false" ht="15" hidden="false" customHeight="false" outlineLevel="0" collapsed="false">
      <c r="A256" s="8" t="s">
        <v>314</v>
      </c>
      <c r="B256" s="8"/>
      <c r="C256" s="9" t="n">
        <v>18</v>
      </c>
      <c r="D256" s="9" t="n">
        <v>40</v>
      </c>
      <c r="E256" s="9" t="n">
        <v>70</v>
      </c>
      <c r="F256" s="9" t="n">
        <v>6</v>
      </c>
      <c r="G256" s="9" t="n">
        <v>3</v>
      </c>
      <c r="H256" s="9" t="n">
        <v>3</v>
      </c>
      <c r="I256" s="9" t="n">
        <v>0.4</v>
      </c>
      <c r="J256" s="9" t="n">
        <v>1.5</v>
      </c>
      <c r="K256" s="9" t="n">
        <f aca="false">C256+3*Assumptions!$B$4*F256+Assumptions!$B$7*G256+H256+I256</f>
        <v>42.4</v>
      </c>
      <c r="L256" s="9" t="n">
        <f aca="false">D256+3*Assumptions!$B$5*F256+Assumptions!$B$8*G256+H256+I256</f>
        <v>81.8</v>
      </c>
      <c r="M256" s="9" t="n">
        <f aca="false">E256+3*Assumptions!$B$6*F256+Assumptions!$B$9*G256+H256+I256</f>
        <v>148.4</v>
      </c>
      <c r="N256" s="9" t="n">
        <f aca="false">IF(AND(Assumptions!$B$17,ISNUMBER(J256)),Assumptions!$B$10*Assumptions!$B$13*J256,0)</f>
        <v>2.25</v>
      </c>
      <c r="O256" s="9" t="n">
        <f aca="false">IF(AND(Assumptions!$B$17,ISNUMBER(J256)),Assumptions!$B$11*Assumptions!$B$13*J256,0)</f>
        <v>4.5</v>
      </c>
      <c r="P256" s="9" t="n">
        <f aca="false">IF(AND(Assumptions!$B$17,ISNUMBER(J256)),Assumptions!$B$12*Assumptions!$B$13*J256,0)</f>
        <v>6.75</v>
      </c>
      <c r="Q256" s="9" t="n">
        <f aca="false">IF(Assumptions!$B$18,Assumptions!$B$14*K256,0)</f>
        <v>4.24</v>
      </c>
      <c r="R256" s="9" t="n">
        <f aca="false">IF(Assumptions!$B$18,Assumptions!$B$15*L256,0)</f>
        <v>16.36</v>
      </c>
      <c r="S256" s="9" t="n">
        <f aca="false">IF(Assumptions!$B$18,Assumptions!$B$16*M256,0)</f>
        <v>51.94</v>
      </c>
      <c r="T256" s="9" t="n">
        <f aca="false">K256+N256+Q256</f>
        <v>48.89</v>
      </c>
      <c r="U256" s="9" t="n">
        <f aca="false">L256+O256+R256</f>
        <v>102.66</v>
      </c>
      <c r="V256" s="9" t="n">
        <f aca="false">M256+P256+S256</f>
        <v>207.09</v>
      </c>
      <c r="W256" s="9" t="n">
        <v>25</v>
      </c>
      <c r="X256" s="9" t="n">
        <v>60</v>
      </c>
      <c r="Y256" s="9" t="n">
        <v>160</v>
      </c>
      <c r="Z256" s="9" t="n">
        <f aca="false">U256-X256</f>
        <v>42.66</v>
      </c>
      <c r="AA256" s="10" t="n">
        <f aca="false">IFERROR((U256-X256)/X256,"")</f>
        <v>0.711</v>
      </c>
      <c r="AB256" s="8" t="str">
        <f aca="false">IF(ISNUMBER(AA256),IF(ABS(AA256)&gt;Assumptions!$B$19,"REVIEW",""),"")</f>
        <v>REVIEW</v>
      </c>
    </row>
    <row r="257" customFormat="false" ht="15" hidden="false" customHeight="false" outlineLevel="0" collapsed="false">
      <c r="A257" s="8" t="s">
        <v>315</v>
      </c>
      <c r="B257" s="8"/>
      <c r="C257" s="9" t="n">
        <v>25</v>
      </c>
      <c r="D257" s="9" t="n">
        <v>65</v>
      </c>
      <c r="E257" s="9" t="n">
        <v>150</v>
      </c>
      <c r="F257" s="9" t="n">
        <v>8</v>
      </c>
      <c r="G257" s="9" t="n">
        <v>4</v>
      </c>
      <c r="H257" s="9" t="n">
        <v>1.3</v>
      </c>
      <c r="I257" s="9" t="n">
        <v>0.7</v>
      </c>
      <c r="J257" s="9" t="n">
        <v>2.5</v>
      </c>
      <c r="K257" s="9" t="n">
        <f aca="false">C257+3*Assumptions!$B$4*F257+Assumptions!$B$7*G257+H257+I257</f>
        <v>55</v>
      </c>
      <c r="L257" s="9" t="n">
        <f aca="false">D257+3*Assumptions!$B$5*F257+Assumptions!$B$8*G257+H257+I257</f>
        <v>118.2</v>
      </c>
      <c r="M257" s="9" t="n">
        <f aca="false">E257+3*Assumptions!$B$6*F257+Assumptions!$B$9*G257+H257+I257</f>
        <v>252</v>
      </c>
      <c r="N257" s="9" t="n">
        <f aca="false">IF(AND(Assumptions!$B$17,ISNUMBER(J257)),Assumptions!$B$10*Assumptions!$B$13*J257,0)</f>
        <v>3.75</v>
      </c>
      <c r="O257" s="9" t="n">
        <f aca="false">IF(AND(Assumptions!$B$17,ISNUMBER(J257)),Assumptions!$B$11*Assumptions!$B$13*J257,0)</f>
        <v>7.5</v>
      </c>
      <c r="P257" s="9" t="n">
        <f aca="false">IF(AND(Assumptions!$B$17,ISNUMBER(J257)),Assumptions!$B$12*Assumptions!$B$13*J257,0)</f>
        <v>11.25</v>
      </c>
      <c r="Q257" s="9" t="n">
        <f aca="false">IF(Assumptions!$B$18,Assumptions!$B$14*K257,0)</f>
        <v>5.5</v>
      </c>
      <c r="R257" s="9" t="n">
        <f aca="false">IF(Assumptions!$B$18,Assumptions!$B$15*L257,0)</f>
        <v>23.64</v>
      </c>
      <c r="S257" s="9" t="n">
        <f aca="false">IF(Assumptions!$B$18,Assumptions!$B$16*M257,0)</f>
        <v>88.2</v>
      </c>
      <c r="T257" s="9" t="n">
        <f aca="false">K257+N257+Q257</f>
        <v>64.25</v>
      </c>
      <c r="U257" s="9" t="n">
        <f aca="false">L257+O257+R257</f>
        <v>149.34</v>
      </c>
      <c r="V257" s="9" t="n">
        <f aca="false">M257+P257+S257</f>
        <v>351.45</v>
      </c>
      <c r="W257" s="9" t="n">
        <v>35</v>
      </c>
      <c r="X257" s="9" t="n">
        <v>85</v>
      </c>
      <c r="Y257" s="9" t="n">
        <v>250</v>
      </c>
      <c r="Z257" s="9" t="n">
        <f aca="false">U257-X257</f>
        <v>64.34</v>
      </c>
      <c r="AA257" s="10" t="n">
        <f aca="false">IFERROR((U257-X257)/X257,"")</f>
        <v>0.756941176470588</v>
      </c>
      <c r="AB257" s="8" t="str">
        <f aca="false">IF(ISNUMBER(AA257),IF(ABS(AA257)&gt;Assumptions!$B$19,"REVIEW",""),"")</f>
        <v>REVIEW</v>
      </c>
    </row>
    <row r="258" customFormat="false" ht="15" hidden="false" customHeight="false" outlineLevel="0" collapsed="false">
      <c r="A258" s="8" t="s">
        <v>316</v>
      </c>
      <c r="B258" s="8"/>
      <c r="C258" s="9" t="n">
        <v>50</v>
      </c>
      <c r="D258" s="9" t="n">
        <v>110</v>
      </c>
      <c r="E258" s="9" t="n">
        <v>300</v>
      </c>
      <c r="F258" s="9" t="n">
        <v>15</v>
      </c>
      <c r="G258" s="9" t="n">
        <v>25</v>
      </c>
      <c r="H258" s="9" t="n">
        <v>3.5</v>
      </c>
      <c r="I258" s="9" t="n">
        <v>1</v>
      </c>
      <c r="J258" s="9" t="n">
        <v>5</v>
      </c>
      <c r="K258" s="9" t="n">
        <f aca="false">C258+3*Assumptions!$B$4*F258+Assumptions!$B$7*G258+H258+I258</f>
        <v>124.5</v>
      </c>
      <c r="L258" s="9" t="n">
        <f aca="false">D258+3*Assumptions!$B$5*F258+Assumptions!$B$8*G258+H258+I258</f>
        <v>245.5</v>
      </c>
      <c r="M258" s="9" t="n">
        <f aca="false">E258+3*Assumptions!$B$6*F258+Assumptions!$B$9*G258+H258+I258</f>
        <v>562</v>
      </c>
      <c r="N258" s="9" t="n">
        <f aca="false">IF(AND(Assumptions!$B$17,ISNUMBER(J258)),Assumptions!$B$10*Assumptions!$B$13*J258,0)</f>
        <v>7.5</v>
      </c>
      <c r="O258" s="9" t="n">
        <f aca="false">IF(AND(Assumptions!$B$17,ISNUMBER(J258)),Assumptions!$B$11*Assumptions!$B$13*J258,0)</f>
        <v>15</v>
      </c>
      <c r="P258" s="9" t="n">
        <f aca="false">IF(AND(Assumptions!$B$17,ISNUMBER(J258)),Assumptions!$B$12*Assumptions!$B$13*J258,0)</f>
        <v>22.5</v>
      </c>
      <c r="Q258" s="9" t="n">
        <f aca="false">IF(Assumptions!$B$18,Assumptions!$B$14*K258,0)</f>
        <v>12.45</v>
      </c>
      <c r="R258" s="9" t="n">
        <f aca="false">IF(Assumptions!$B$18,Assumptions!$B$15*L258,0)</f>
        <v>49.1</v>
      </c>
      <c r="S258" s="9" t="n">
        <f aca="false">IF(Assumptions!$B$18,Assumptions!$B$16*M258,0)</f>
        <v>196.7</v>
      </c>
      <c r="T258" s="9" t="n">
        <f aca="false">K258+N258+Q258</f>
        <v>144.45</v>
      </c>
      <c r="U258" s="9" t="n">
        <f aca="false">L258+O258+R258</f>
        <v>309.6</v>
      </c>
      <c r="V258" s="9" t="n">
        <f aca="false">M258+P258+S258</f>
        <v>781.2</v>
      </c>
      <c r="W258" s="9" t="n">
        <v>70</v>
      </c>
      <c r="X258" s="9" t="n">
        <v>165</v>
      </c>
      <c r="Y258" s="9" t="n">
        <v>450</v>
      </c>
      <c r="Z258" s="9" t="n">
        <f aca="false">U258-X258</f>
        <v>144.6</v>
      </c>
      <c r="AA258" s="10" t="n">
        <f aca="false">IFERROR((U258-X258)/X258,"")</f>
        <v>0.876363636363637</v>
      </c>
      <c r="AB258" s="8" t="str">
        <f aca="false">IF(ISNUMBER(AA258),IF(ABS(AA258)&gt;Assumptions!$B$19,"REVIEW",""),"")</f>
        <v>REVIEW</v>
      </c>
    </row>
    <row r="259" customFormat="false" ht="15" hidden="false" customHeight="false" outlineLevel="0" collapsed="false">
      <c r="A259" s="8" t="s">
        <v>317</v>
      </c>
      <c r="B259" s="8"/>
      <c r="C259" s="9" t="n">
        <v>80</v>
      </c>
      <c r="D259" s="9" t="n">
        <v>150</v>
      </c>
      <c r="E259" s="9" t="n">
        <v>320</v>
      </c>
      <c r="F259" s="9" t="n">
        <v>22</v>
      </c>
      <c r="G259" s="9" t="n">
        <v>28</v>
      </c>
      <c r="H259" s="9" t="n">
        <v>3.5</v>
      </c>
      <c r="I259" s="9" t="n">
        <v>2</v>
      </c>
      <c r="J259" s="9" t="n">
        <v>6.5</v>
      </c>
      <c r="K259" s="9" t="n">
        <f aca="false">C259+3*Assumptions!$B$4*F259+Assumptions!$B$7*G259+H259+I259</f>
        <v>179.5</v>
      </c>
      <c r="L259" s="9" t="n">
        <f aca="false">D259+3*Assumptions!$B$5*F259+Assumptions!$B$8*G259+H259+I259</f>
        <v>330.3</v>
      </c>
      <c r="M259" s="9" t="n">
        <f aca="false">E259+3*Assumptions!$B$6*F259+Assumptions!$B$9*G259+H259+I259</f>
        <v>668.5</v>
      </c>
      <c r="N259" s="9" t="n">
        <f aca="false">IF(AND(Assumptions!$B$17,ISNUMBER(J259)),Assumptions!$B$10*Assumptions!$B$13*J259,0)</f>
        <v>9.75</v>
      </c>
      <c r="O259" s="9" t="n">
        <f aca="false">IF(AND(Assumptions!$B$17,ISNUMBER(J259)),Assumptions!$B$11*Assumptions!$B$13*J259,0)</f>
        <v>19.5</v>
      </c>
      <c r="P259" s="9" t="n">
        <f aca="false">IF(AND(Assumptions!$B$17,ISNUMBER(J259)),Assumptions!$B$12*Assumptions!$B$13*J259,0)</f>
        <v>29.25</v>
      </c>
      <c r="Q259" s="9" t="n">
        <f aca="false">IF(Assumptions!$B$18,Assumptions!$B$14*K259,0)</f>
        <v>17.95</v>
      </c>
      <c r="R259" s="9" t="n">
        <f aca="false">IF(Assumptions!$B$18,Assumptions!$B$15*L259,0)</f>
        <v>66.06</v>
      </c>
      <c r="S259" s="9" t="n">
        <f aca="false">IF(Assumptions!$B$18,Assumptions!$B$16*M259,0)</f>
        <v>233.975</v>
      </c>
      <c r="T259" s="9" t="n">
        <f aca="false">K259+N259+Q259</f>
        <v>207.2</v>
      </c>
      <c r="U259" s="9" t="n">
        <f aca="false">L259+O259+R259</f>
        <v>415.86</v>
      </c>
      <c r="V259" s="9" t="n">
        <f aca="false">M259+P259+S259</f>
        <v>931.725</v>
      </c>
      <c r="W259" s="9" t="n">
        <v>85</v>
      </c>
      <c r="X259" s="9" t="n">
        <v>210</v>
      </c>
      <c r="Y259" s="9" t="n">
        <v>570</v>
      </c>
      <c r="Z259" s="9" t="n">
        <f aca="false">U259-X259</f>
        <v>205.86</v>
      </c>
      <c r="AA259" s="10" t="n">
        <f aca="false">IFERROR((U259-X259)/X259,"")</f>
        <v>0.980285714285714</v>
      </c>
      <c r="AB259" s="8" t="str">
        <f aca="false">IF(ISNUMBER(AA259),IF(ABS(AA259)&gt;Assumptions!$B$19,"REVIEW",""),"")</f>
        <v>REVIEW</v>
      </c>
    </row>
    <row r="260" customFormat="false" ht="15" hidden="false" customHeight="false" outlineLevel="0" collapsed="false">
      <c r="A260" s="8" t="s">
        <v>318</v>
      </c>
      <c r="B260" s="8" t="s">
        <v>60</v>
      </c>
      <c r="C260" s="9" t="n">
        <v>50</v>
      </c>
      <c r="D260" s="9" t="n">
        <v>130</v>
      </c>
      <c r="E260" s="9" t="n">
        <v>280</v>
      </c>
      <c r="F260" s="9" t="n">
        <v>10</v>
      </c>
      <c r="G260" s="9" t="n">
        <v>5</v>
      </c>
      <c r="H260" s="9" t="n">
        <v>1.5</v>
      </c>
      <c r="I260" s="9" t="n">
        <v>0.3</v>
      </c>
      <c r="J260" s="9"/>
      <c r="K260" s="9" t="n">
        <f aca="false">C260+3*Assumptions!$B$4*F260+Assumptions!$B$7*G260+H260+I260</f>
        <v>86.8</v>
      </c>
      <c r="L260" s="9" t="n">
        <f aca="false">D260+3*Assumptions!$B$5*F260+Assumptions!$B$8*G260+H260+I260</f>
        <v>195.8</v>
      </c>
      <c r="M260" s="9" t="n">
        <f aca="false">E260+3*Assumptions!$B$6*F260+Assumptions!$B$9*G260+H260+I260</f>
        <v>406.8</v>
      </c>
      <c r="N260" s="9" t="n">
        <f aca="false">IF(AND(Assumptions!$B$17,ISNUMBER(J260)),Assumptions!$B$10*Assumptions!$B$13*J260,0)</f>
        <v>0</v>
      </c>
      <c r="O260" s="9" t="n">
        <f aca="false">IF(AND(Assumptions!$B$17,ISNUMBER(J260)),Assumptions!$B$11*Assumptions!$B$13*J260,0)</f>
        <v>0</v>
      </c>
      <c r="P260" s="9" t="n">
        <f aca="false">IF(AND(Assumptions!$B$17,ISNUMBER(J260)),Assumptions!$B$12*Assumptions!$B$13*J260,0)</f>
        <v>0</v>
      </c>
      <c r="Q260" s="9" t="n">
        <f aca="false">IF(Assumptions!$B$18,Assumptions!$B$14*K260,0)</f>
        <v>8.68</v>
      </c>
      <c r="R260" s="9" t="n">
        <f aca="false">IF(Assumptions!$B$18,Assumptions!$B$15*L260,0)</f>
        <v>39.16</v>
      </c>
      <c r="S260" s="9" t="n">
        <f aca="false">IF(Assumptions!$B$18,Assumptions!$B$16*M260,0)</f>
        <v>142.38</v>
      </c>
      <c r="T260" s="9" t="n">
        <f aca="false">K260+N260+Q260</f>
        <v>95.48</v>
      </c>
      <c r="U260" s="9" t="n">
        <f aca="false">L260+O260+R260</f>
        <v>234.96</v>
      </c>
      <c r="V260" s="9" t="n">
        <f aca="false">M260+P260+S260</f>
        <v>549.18</v>
      </c>
      <c r="W260" s="9" t="n">
        <v>50</v>
      </c>
      <c r="X260" s="9" t="n">
        <v>125</v>
      </c>
      <c r="Y260" s="9" t="n">
        <v>360</v>
      </c>
      <c r="Z260" s="9" t="n">
        <f aca="false">U260-X260</f>
        <v>109.96</v>
      </c>
      <c r="AA260" s="10" t="n">
        <f aca="false">IFERROR((U260-X260)/X260,"")</f>
        <v>0.87968</v>
      </c>
      <c r="AB260" s="8" t="str">
        <f aca="false">IF(ISNUMBER(AA260),IF(ABS(AA260)&gt;Assumptions!$B$19,"REVIEW",""),"")</f>
        <v>REVIEW</v>
      </c>
    </row>
    <row r="261" customFormat="false" ht="15" hidden="false" customHeight="false" outlineLevel="0" collapsed="false">
      <c r="A261" s="8" t="s">
        <v>319</v>
      </c>
      <c r="B261" s="8"/>
      <c r="C261" s="9" t="n">
        <v>30</v>
      </c>
      <c r="D261" s="9" t="n">
        <v>75</v>
      </c>
      <c r="E261" s="9" t="n">
        <v>320</v>
      </c>
      <c r="F261" s="9" t="n">
        <v>12</v>
      </c>
      <c r="G261" s="9" t="n">
        <v>4</v>
      </c>
      <c r="H261" s="9" t="n">
        <v>1.05</v>
      </c>
      <c r="I261" s="9" t="n">
        <v>0.35</v>
      </c>
      <c r="J261" s="9" t="n">
        <v>1.7</v>
      </c>
      <c r="K261" s="9" t="n">
        <f aca="false">C261+3*Assumptions!$B$4*F261+Assumptions!$B$7*G261+H261+I261</f>
        <v>71.4</v>
      </c>
      <c r="L261" s="9" t="n">
        <f aca="false">D261+3*Assumptions!$B$5*F261+Assumptions!$B$8*G261+H261+I261</f>
        <v>149.2</v>
      </c>
      <c r="M261" s="9" t="n">
        <f aca="false">E261+3*Assumptions!$B$6*F261+Assumptions!$B$9*G261+H261+I261</f>
        <v>463.4</v>
      </c>
      <c r="N261" s="9" t="n">
        <f aca="false">IF(AND(Assumptions!$B$17,ISNUMBER(J261)),Assumptions!$B$10*Assumptions!$B$13*J261,0)</f>
        <v>2.55</v>
      </c>
      <c r="O261" s="9" t="n">
        <f aca="false">IF(AND(Assumptions!$B$17,ISNUMBER(J261)),Assumptions!$B$11*Assumptions!$B$13*J261,0)</f>
        <v>5.1</v>
      </c>
      <c r="P261" s="9" t="n">
        <f aca="false">IF(AND(Assumptions!$B$17,ISNUMBER(J261)),Assumptions!$B$12*Assumptions!$B$13*J261,0)</f>
        <v>7.65</v>
      </c>
      <c r="Q261" s="9" t="n">
        <f aca="false">IF(Assumptions!$B$18,Assumptions!$B$14*K261,0)</f>
        <v>7.14</v>
      </c>
      <c r="R261" s="9" t="n">
        <f aca="false">IF(Assumptions!$B$18,Assumptions!$B$15*L261,0)</f>
        <v>29.84</v>
      </c>
      <c r="S261" s="9" t="n">
        <f aca="false">IF(Assumptions!$B$18,Assumptions!$B$16*M261,0)</f>
        <v>162.19</v>
      </c>
      <c r="T261" s="9" t="n">
        <f aca="false">K261+N261+Q261</f>
        <v>81.09</v>
      </c>
      <c r="U261" s="9" t="n">
        <f aca="false">L261+O261+R261</f>
        <v>184.14</v>
      </c>
      <c r="V261" s="9" t="n">
        <f aca="false">M261+P261+S261</f>
        <v>633.24</v>
      </c>
      <c r="W261" s="9" t="n">
        <v>45</v>
      </c>
      <c r="X261" s="9" t="n">
        <v>115</v>
      </c>
      <c r="Y261" s="9" t="n">
        <v>365</v>
      </c>
      <c r="Z261" s="9" t="n">
        <f aca="false">U261-X261</f>
        <v>69.14</v>
      </c>
      <c r="AA261" s="10" t="n">
        <f aca="false">IFERROR((U261-X261)/X261,"")</f>
        <v>0.601217391304348</v>
      </c>
      <c r="AB261" s="8" t="str">
        <f aca="false">IF(ISNUMBER(AA261),IF(ABS(AA261)&gt;Assumptions!$B$19,"REVIEW",""),"")</f>
        <v>REVIEW</v>
      </c>
    </row>
    <row r="262" customFormat="false" ht="15" hidden="false" customHeight="false" outlineLevel="0" collapsed="false">
      <c r="A262" s="8" t="s">
        <v>320</v>
      </c>
      <c r="B262" s="8"/>
      <c r="C262" s="9" t="n">
        <v>25</v>
      </c>
      <c r="D262" s="9" t="n">
        <v>70</v>
      </c>
      <c r="E262" s="9" t="n">
        <v>180</v>
      </c>
      <c r="F262" s="9" t="n">
        <v>8</v>
      </c>
      <c r="G262" s="9" t="n">
        <v>4</v>
      </c>
      <c r="H262" s="9" t="n">
        <v>3</v>
      </c>
      <c r="I262" s="9" t="n">
        <v>0.6</v>
      </c>
      <c r="J262" s="9" t="n">
        <v>3</v>
      </c>
      <c r="K262" s="9" t="n">
        <f aca="false">C262+3*Assumptions!$B$4*F262+Assumptions!$B$7*G262+H262+I262</f>
        <v>56.6</v>
      </c>
      <c r="L262" s="9" t="n">
        <f aca="false">D262+3*Assumptions!$B$5*F262+Assumptions!$B$8*G262+H262+I262</f>
        <v>124.8</v>
      </c>
      <c r="M262" s="9" t="n">
        <f aca="false">E262+3*Assumptions!$B$6*F262+Assumptions!$B$9*G262+H262+I262</f>
        <v>283.6</v>
      </c>
      <c r="N262" s="9" t="n">
        <f aca="false">IF(AND(Assumptions!$B$17,ISNUMBER(J262)),Assumptions!$B$10*Assumptions!$B$13*J262,0)</f>
        <v>4.5</v>
      </c>
      <c r="O262" s="9" t="n">
        <f aca="false">IF(AND(Assumptions!$B$17,ISNUMBER(J262)),Assumptions!$B$11*Assumptions!$B$13*J262,0)</f>
        <v>9</v>
      </c>
      <c r="P262" s="9" t="n">
        <f aca="false">IF(AND(Assumptions!$B$17,ISNUMBER(J262)),Assumptions!$B$12*Assumptions!$B$13*J262,0)</f>
        <v>13.5</v>
      </c>
      <c r="Q262" s="9" t="n">
        <f aca="false">IF(Assumptions!$B$18,Assumptions!$B$14*K262,0)</f>
        <v>5.66</v>
      </c>
      <c r="R262" s="9" t="n">
        <f aca="false">IF(Assumptions!$B$18,Assumptions!$B$15*L262,0)</f>
        <v>24.96</v>
      </c>
      <c r="S262" s="9" t="n">
        <f aca="false">IF(Assumptions!$B$18,Assumptions!$B$16*M262,0)</f>
        <v>99.26</v>
      </c>
      <c r="T262" s="9" t="n">
        <f aca="false">K262+N262+Q262</f>
        <v>66.76</v>
      </c>
      <c r="U262" s="9" t="n">
        <f aca="false">L262+O262+R262</f>
        <v>158.76</v>
      </c>
      <c r="V262" s="9" t="n">
        <f aca="false">M262+P262+S262</f>
        <v>396.36</v>
      </c>
      <c r="W262" s="9" t="n">
        <v>35</v>
      </c>
      <c r="X262" s="9" t="n">
        <v>90</v>
      </c>
      <c r="Y262" s="9" t="n">
        <v>265</v>
      </c>
      <c r="Z262" s="9" t="n">
        <f aca="false">U262-X262</f>
        <v>68.76</v>
      </c>
      <c r="AA262" s="10" t="n">
        <f aca="false">IFERROR((U262-X262)/X262,"")</f>
        <v>0.764</v>
      </c>
      <c r="AB262" s="8" t="str">
        <f aca="false">IF(ISNUMBER(AA262),IF(ABS(AA262)&gt;Assumptions!$B$19,"REVIEW",""),"")</f>
        <v>REVIEW</v>
      </c>
    </row>
    <row r="263" customFormat="false" ht="15" hidden="false" customHeight="false" outlineLevel="0" collapsed="false">
      <c r="A263" s="8" t="s">
        <v>321</v>
      </c>
      <c r="B263" s="8"/>
      <c r="C263" s="9" t="n">
        <v>90</v>
      </c>
      <c r="D263" s="9" t="n">
        <v>190</v>
      </c>
      <c r="E263" s="9" t="n">
        <v>300</v>
      </c>
      <c r="F263" s="9" t="n">
        <v>30</v>
      </c>
      <c r="G263" s="9" t="n">
        <v>25</v>
      </c>
      <c r="H263" s="9" t="n">
        <v>4.5</v>
      </c>
      <c r="I263" s="9" t="n">
        <v>3</v>
      </c>
      <c r="J263" s="9" t="n">
        <v>6.5</v>
      </c>
      <c r="K263" s="9" t="n">
        <f aca="false">C263+3*Assumptions!$B$4*F263+Assumptions!$B$7*G263+H263+I263</f>
        <v>212.5</v>
      </c>
      <c r="L263" s="9" t="n">
        <f aca="false">D263+3*Assumptions!$B$5*F263+Assumptions!$B$8*G263+H263+I263</f>
        <v>409.5</v>
      </c>
      <c r="M263" s="9" t="n">
        <f aca="false">E263+3*Assumptions!$B$6*F263+Assumptions!$B$9*G263+H263+I263</f>
        <v>722.5</v>
      </c>
      <c r="N263" s="9" t="n">
        <f aca="false">IF(AND(Assumptions!$B$17,ISNUMBER(J263)),Assumptions!$B$10*Assumptions!$B$13*J263,0)</f>
        <v>9.75</v>
      </c>
      <c r="O263" s="9" t="n">
        <f aca="false">IF(AND(Assumptions!$B$17,ISNUMBER(J263)),Assumptions!$B$11*Assumptions!$B$13*J263,0)</f>
        <v>19.5</v>
      </c>
      <c r="P263" s="9" t="n">
        <f aca="false">IF(AND(Assumptions!$B$17,ISNUMBER(J263)),Assumptions!$B$12*Assumptions!$B$13*J263,0)</f>
        <v>29.25</v>
      </c>
      <c r="Q263" s="9" t="n">
        <f aca="false">IF(Assumptions!$B$18,Assumptions!$B$14*K263,0)</f>
        <v>21.25</v>
      </c>
      <c r="R263" s="9" t="n">
        <f aca="false">IF(Assumptions!$B$18,Assumptions!$B$15*L263,0)</f>
        <v>81.9</v>
      </c>
      <c r="S263" s="9" t="n">
        <f aca="false">IF(Assumptions!$B$18,Assumptions!$B$16*M263,0)</f>
        <v>252.875</v>
      </c>
      <c r="T263" s="9" t="n">
        <f aca="false">K263+N263+Q263</f>
        <v>243.5</v>
      </c>
      <c r="U263" s="9" t="n">
        <f aca="false">L263+O263+R263</f>
        <v>510.9</v>
      </c>
      <c r="V263" s="9" t="n">
        <f aca="false">M263+P263+S263</f>
        <v>1004.625</v>
      </c>
      <c r="W263" s="9" t="n">
        <v>90</v>
      </c>
      <c r="X263" s="9" t="n">
        <v>220</v>
      </c>
      <c r="Y263" s="9" t="n">
        <v>595</v>
      </c>
      <c r="Z263" s="9" t="n">
        <f aca="false">U263-X263</f>
        <v>290.9</v>
      </c>
      <c r="AA263" s="10" t="n">
        <f aca="false">IFERROR((U263-X263)/X263,"")</f>
        <v>1.32227272727273</v>
      </c>
      <c r="AB263" s="8" t="str">
        <f aca="false">IF(ISNUMBER(AA263),IF(ABS(AA263)&gt;Assumptions!$B$19,"REVIEW",""),"")</f>
        <v>REVIEW</v>
      </c>
    </row>
    <row r="264" customFormat="false" ht="15" hidden="false" customHeight="false" outlineLevel="0" collapsed="false">
      <c r="A264" s="8" t="s">
        <v>322</v>
      </c>
      <c r="B264" s="8"/>
      <c r="C264" s="9" t="n">
        <v>50</v>
      </c>
      <c r="D264" s="9" t="n">
        <v>100</v>
      </c>
      <c r="E264" s="9" t="n">
        <v>260</v>
      </c>
      <c r="F264" s="9" t="n">
        <v>18</v>
      </c>
      <c r="G264" s="9" t="n">
        <v>18</v>
      </c>
      <c r="H264" s="9" t="n">
        <v>2</v>
      </c>
      <c r="I264" s="9" t="n">
        <v>1.5</v>
      </c>
      <c r="J264" s="9" t="n">
        <v>2.5</v>
      </c>
      <c r="K264" s="9" t="n">
        <f aca="false">C264+3*Assumptions!$B$4*F264+Assumptions!$B$7*G264+H264+I264</f>
        <v>125.5</v>
      </c>
      <c r="L264" s="9" t="n">
        <f aca="false">D264+3*Assumptions!$B$5*F264+Assumptions!$B$8*G264+H264+I264</f>
        <v>236.7</v>
      </c>
      <c r="M264" s="9" t="n">
        <f aca="false">E264+3*Assumptions!$B$6*F264+Assumptions!$B$9*G264+H264+I264</f>
        <v>524.5</v>
      </c>
      <c r="N264" s="9" t="n">
        <f aca="false">IF(AND(Assumptions!$B$17,ISNUMBER(J264)),Assumptions!$B$10*Assumptions!$B$13*J264,0)</f>
        <v>3.75</v>
      </c>
      <c r="O264" s="9" t="n">
        <f aca="false">IF(AND(Assumptions!$B$17,ISNUMBER(J264)),Assumptions!$B$11*Assumptions!$B$13*J264,0)</f>
        <v>7.5</v>
      </c>
      <c r="P264" s="9" t="n">
        <f aca="false">IF(AND(Assumptions!$B$17,ISNUMBER(J264)),Assumptions!$B$12*Assumptions!$B$13*J264,0)</f>
        <v>11.25</v>
      </c>
      <c r="Q264" s="9" t="n">
        <f aca="false">IF(Assumptions!$B$18,Assumptions!$B$14*K264,0)</f>
        <v>12.55</v>
      </c>
      <c r="R264" s="9" t="n">
        <f aca="false">IF(Assumptions!$B$18,Assumptions!$B$15*L264,0)</f>
        <v>47.34</v>
      </c>
      <c r="S264" s="9" t="n">
        <f aca="false">IF(Assumptions!$B$18,Assumptions!$B$16*M264,0)</f>
        <v>183.575</v>
      </c>
      <c r="T264" s="9" t="n">
        <f aca="false">K264+N264+Q264</f>
        <v>141.8</v>
      </c>
      <c r="U264" s="9" t="n">
        <f aca="false">L264+O264+R264</f>
        <v>291.54</v>
      </c>
      <c r="V264" s="9" t="n">
        <f aca="false">M264+P264+S264</f>
        <v>719.325</v>
      </c>
      <c r="W264" s="9" t="n">
        <v>65</v>
      </c>
      <c r="X264" s="9" t="n">
        <v>155</v>
      </c>
      <c r="Y264" s="9" t="n">
        <v>430</v>
      </c>
      <c r="Z264" s="9" t="n">
        <f aca="false">U264-X264</f>
        <v>136.54</v>
      </c>
      <c r="AA264" s="10" t="n">
        <f aca="false">IFERROR((U264-X264)/X264,"")</f>
        <v>0.880903225806451</v>
      </c>
      <c r="AB264" s="8" t="str">
        <f aca="false">IF(ISNUMBER(AA264),IF(ABS(AA264)&gt;Assumptions!$B$19,"REVIEW",""),"")</f>
        <v>REVIEW</v>
      </c>
    </row>
    <row r="265" customFormat="false" ht="15" hidden="false" customHeight="false" outlineLevel="0" collapsed="false">
      <c r="A265" s="8" t="s">
        <v>323</v>
      </c>
      <c r="B265" s="8"/>
      <c r="C265" s="9" t="n">
        <v>65</v>
      </c>
      <c r="D265" s="9" t="n">
        <v>130</v>
      </c>
      <c r="E265" s="9" t="n">
        <v>380</v>
      </c>
      <c r="F265" s="9" t="n">
        <v>30</v>
      </c>
      <c r="G265" s="9" t="n">
        <v>13</v>
      </c>
      <c r="H265" s="9" t="n">
        <v>2.4</v>
      </c>
      <c r="I265" s="9" t="n">
        <v>1.3</v>
      </c>
      <c r="J265" s="9" t="n">
        <v>4.8</v>
      </c>
      <c r="K265" s="9" t="n">
        <f aca="false">C265+3*Assumptions!$B$4*F265+Assumptions!$B$7*G265+H265+I265</f>
        <v>171.7</v>
      </c>
      <c r="L265" s="9" t="n">
        <f aca="false">D265+3*Assumptions!$B$5*F265+Assumptions!$B$8*G265+H265+I265</f>
        <v>321.7</v>
      </c>
      <c r="M265" s="9" t="n">
        <f aca="false">E265+3*Assumptions!$B$6*F265+Assumptions!$B$9*G265+H265+I265</f>
        <v>750.7</v>
      </c>
      <c r="N265" s="9" t="n">
        <f aca="false">IF(AND(Assumptions!$B$17,ISNUMBER(J265)),Assumptions!$B$10*Assumptions!$B$13*J265,0)</f>
        <v>7.2</v>
      </c>
      <c r="O265" s="9" t="n">
        <f aca="false">IF(AND(Assumptions!$B$17,ISNUMBER(J265)),Assumptions!$B$11*Assumptions!$B$13*J265,0)</f>
        <v>14.4</v>
      </c>
      <c r="P265" s="9" t="n">
        <f aca="false">IF(AND(Assumptions!$B$17,ISNUMBER(J265)),Assumptions!$B$12*Assumptions!$B$13*J265,0)</f>
        <v>21.6</v>
      </c>
      <c r="Q265" s="9" t="n">
        <f aca="false">IF(Assumptions!$B$18,Assumptions!$B$14*K265,0)</f>
        <v>17.17</v>
      </c>
      <c r="R265" s="9" t="n">
        <f aca="false">IF(Assumptions!$B$18,Assumptions!$B$15*L265,0)</f>
        <v>64.34</v>
      </c>
      <c r="S265" s="9" t="n">
        <f aca="false">IF(Assumptions!$B$18,Assumptions!$B$16*M265,0)</f>
        <v>262.745</v>
      </c>
      <c r="T265" s="9" t="n">
        <f aca="false">K265+N265+Q265</f>
        <v>196.07</v>
      </c>
      <c r="U265" s="9" t="n">
        <f aca="false">L265+O265+R265</f>
        <v>400.44</v>
      </c>
      <c r="V265" s="9" t="n">
        <f aca="false">M265+P265+S265</f>
        <v>1035.045</v>
      </c>
      <c r="W265" s="9" t="n">
        <v>80</v>
      </c>
      <c r="X265" s="9" t="n">
        <v>200</v>
      </c>
      <c r="Y265" s="9" t="n">
        <v>590</v>
      </c>
      <c r="Z265" s="9" t="n">
        <f aca="false">U265-X265</f>
        <v>200.44</v>
      </c>
      <c r="AA265" s="10" t="n">
        <f aca="false">IFERROR((U265-X265)/X265,"")</f>
        <v>1.0022</v>
      </c>
      <c r="AB265" s="8" t="str">
        <f aca="false">IF(ISNUMBER(AA265),IF(ABS(AA265)&gt;Assumptions!$B$19,"REVIEW",""),"")</f>
        <v>REVIEW</v>
      </c>
    </row>
    <row r="266" customFormat="false" ht="15" hidden="false" customHeight="false" outlineLevel="0" collapsed="false">
      <c r="A266" s="8" t="s">
        <v>324</v>
      </c>
      <c r="B266" s="8"/>
      <c r="C266" s="9" t="n">
        <v>100</v>
      </c>
      <c r="D266" s="9" t="n">
        <v>180</v>
      </c>
      <c r="E266" s="9" t="n">
        <v>400</v>
      </c>
      <c r="F266" s="9" t="n">
        <v>25</v>
      </c>
      <c r="G266" s="9" t="n">
        <v>28</v>
      </c>
      <c r="H266" s="9" t="n">
        <v>4</v>
      </c>
      <c r="I266" s="9" t="n">
        <v>2</v>
      </c>
      <c r="J266" s="9" t="n">
        <v>6.5</v>
      </c>
      <c r="K266" s="9" t="n">
        <f aca="false">C266+3*Assumptions!$B$4*F266+Assumptions!$B$7*G266+H266+I266</f>
        <v>209</v>
      </c>
      <c r="L266" s="9" t="n">
        <f aca="false">D266+3*Assumptions!$B$5*F266+Assumptions!$B$8*G266+H266+I266</f>
        <v>377</v>
      </c>
      <c r="M266" s="9" t="n">
        <f aca="false">E266+3*Assumptions!$B$6*F266+Assumptions!$B$9*G266+H266+I266</f>
        <v>780.5</v>
      </c>
      <c r="N266" s="9" t="n">
        <f aca="false">IF(AND(Assumptions!$B$17,ISNUMBER(J266)),Assumptions!$B$10*Assumptions!$B$13*J266,0)</f>
        <v>9.75</v>
      </c>
      <c r="O266" s="9" t="n">
        <f aca="false">IF(AND(Assumptions!$B$17,ISNUMBER(J266)),Assumptions!$B$11*Assumptions!$B$13*J266,0)</f>
        <v>19.5</v>
      </c>
      <c r="P266" s="9" t="n">
        <f aca="false">IF(AND(Assumptions!$B$17,ISNUMBER(J266)),Assumptions!$B$12*Assumptions!$B$13*J266,0)</f>
        <v>29.25</v>
      </c>
      <c r="Q266" s="9" t="n">
        <f aca="false">IF(Assumptions!$B$18,Assumptions!$B$14*K266,0)</f>
        <v>20.9</v>
      </c>
      <c r="R266" s="9" t="n">
        <f aca="false">IF(Assumptions!$B$18,Assumptions!$B$15*L266,0)</f>
        <v>75.4</v>
      </c>
      <c r="S266" s="9" t="n">
        <f aca="false">IF(Assumptions!$B$18,Assumptions!$B$16*M266,0)</f>
        <v>273.175</v>
      </c>
      <c r="T266" s="9" t="n">
        <f aca="false">K266+N266+Q266</f>
        <v>239.65</v>
      </c>
      <c r="U266" s="9" t="n">
        <f aca="false">L266+O266+R266</f>
        <v>471.9</v>
      </c>
      <c r="V266" s="9" t="n">
        <f aca="false">M266+P266+S266</f>
        <v>1082.925</v>
      </c>
      <c r="W266" s="9" t="n">
        <v>90</v>
      </c>
      <c r="X266" s="9" t="n">
        <v>220</v>
      </c>
      <c r="Y266" s="9" t="n">
        <v>600</v>
      </c>
      <c r="Z266" s="9" t="n">
        <f aca="false">U266-X266</f>
        <v>251.9</v>
      </c>
      <c r="AA266" s="10" t="n">
        <f aca="false">IFERROR((U266-X266)/X266,"")</f>
        <v>1.145</v>
      </c>
      <c r="AB266" s="8" t="str">
        <f aca="false">IF(ISNUMBER(AA266),IF(ABS(AA266)&gt;Assumptions!$B$19,"REVIEW",""),"")</f>
        <v>REVIEW</v>
      </c>
    </row>
    <row r="267" customFormat="false" ht="15" hidden="false" customHeight="false" outlineLevel="0" collapsed="false">
      <c r="A267" s="8" t="s">
        <v>325</v>
      </c>
      <c r="B267" s="8"/>
      <c r="C267" s="9" t="n">
        <v>90</v>
      </c>
      <c r="D267" s="9" t="n">
        <v>160</v>
      </c>
      <c r="E267" s="9" t="n">
        <v>400</v>
      </c>
      <c r="F267" s="9" t="n">
        <v>28</v>
      </c>
      <c r="G267" s="9" t="n">
        <v>35</v>
      </c>
      <c r="H267" s="9" t="n">
        <v>1.5</v>
      </c>
      <c r="I267" s="9" t="n">
        <v>1.5</v>
      </c>
      <c r="J267" s="9" t="n">
        <v>5</v>
      </c>
      <c r="K267" s="9" t="n">
        <f aca="false">C267+3*Assumptions!$B$4*F267+Assumptions!$B$7*G267+H267+I267</f>
        <v>212</v>
      </c>
      <c r="L267" s="9" t="n">
        <f aca="false">D267+3*Assumptions!$B$5*F267+Assumptions!$B$8*G267+H267+I267</f>
        <v>384.2</v>
      </c>
      <c r="M267" s="9" t="n">
        <f aca="false">E267+3*Assumptions!$B$6*F267+Assumptions!$B$9*G267+H267+I267</f>
        <v>837</v>
      </c>
      <c r="N267" s="9" t="n">
        <f aca="false">IF(AND(Assumptions!$B$17,ISNUMBER(J267)),Assumptions!$B$10*Assumptions!$B$13*J267,0)</f>
        <v>7.5</v>
      </c>
      <c r="O267" s="9" t="n">
        <f aca="false">IF(AND(Assumptions!$B$17,ISNUMBER(J267)),Assumptions!$B$11*Assumptions!$B$13*J267,0)</f>
        <v>15</v>
      </c>
      <c r="P267" s="9" t="n">
        <f aca="false">IF(AND(Assumptions!$B$17,ISNUMBER(J267)),Assumptions!$B$12*Assumptions!$B$13*J267,0)</f>
        <v>22.5</v>
      </c>
      <c r="Q267" s="9" t="n">
        <f aca="false">IF(Assumptions!$B$18,Assumptions!$B$14*K267,0)</f>
        <v>21.2</v>
      </c>
      <c r="R267" s="9" t="n">
        <f aca="false">IF(Assumptions!$B$18,Assumptions!$B$15*L267,0)</f>
        <v>76.84</v>
      </c>
      <c r="S267" s="9" t="n">
        <f aca="false">IF(Assumptions!$B$18,Assumptions!$B$16*M267,0)</f>
        <v>292.95</v>
      </c>
      <c r="T267" s="9" t="n">
        <f aca="false">K267+N267+Q267</f>
        <v>240.7</v>
      </c>
      <c r="U267" s="9" t="n">
        <f aca="false">L267+O267+R267</f>
        <v>476.04</v>
      </c>
      <c r="V267" s="9" t="n">
        <f aca="false">M267+P267+S267</f>
        <v>1152.45</v>
      </c>
      <c r="W267" s="9" t="n">
        <v>90</v>
      </c>
      <c r="X267" s="9" t="n">
        <v>210</v>
      </c>
      <c r="Y267" s="9" t="n">
        <v>600</v>
      </c>
      <c r="Z267" s="9" t="n">
        <f aca="false">U267-X267</f>
        <v>266.04</v>
      </c>
      <c r="AA267" s="10" t="n">
        <f aca="false">IFERROR((U267-X267)/X267,"")</f>
        <v>1.26685714285714</v>
      </c>
      <c r="AB267" s="8" t="str">
        <f aca="false">IF(ISNUMBER(AA267),IF(ABS(AA267)&gt;Assumptions!$B$19,"REVIEW",""),"")</f>
        <v>REVIEW</v>
      </c>
    </row>
    <row r="268" customFormat="false" ht="15" hidden="false" customHeight="false" outlineLevel="0" collapsed="false">
      <c r="A268" s="8" t="s">
        <v>326</v>
      </c>
      <c r="B268" s="8"/>
      <c r="C268" s="9" t="n">
        <v>70</v>
      </c>
      <c r="D268" s="9" t="n">
        <v>130</v>
      </c>
      <c r="E268" s="9" t="n">
        <v>320</v>
      </c>
      <c r="F268" s="9" t="n">
        <v>28</v>
      </c>
      <c r="G268" s="9" t="n">
        <v>25</v>
      </c>
      <c r="H268" s="9" t="n">
        <v>1.4</v>
      </c>
      <c r="I268" s="9" t="n">
        <v>1</v>
      </c>
      <c r="J268" s="9" t="n">
        <v>5.5</v>
      </c>
      <c r="K268" s="9" t="n">
        <f aca="false">C268+3*Assumptions!$B$4*F268+Assumptions!$B$7*G268+H268+I268</f>
        <v>181.4</v>
      </c>
      <c r="L268" s="9" t="n">
        <f aca="false">D268+3*Assumptions!$B$5*F268+Assumptions!$B$8*G268+H268+I268</f>
        <v>333.6</v>
      </c>
      <c r="M268" s="9" t="n">
        <f aca="false">E268+3*Assumptions!$B$6*F268+Assumptions!$B$9*G268+H268+I268</f>
        <v>716.4</v>
      </c>
      <c r="N268" s="9" t="n">
        <f aca="false">IF(AND(Assumptions!$B$17,ISNUMBER(J268)),Assumptions!$B$10*Assumptions!$B$13*J268,0)</f>
        <v>8.25</v>
      </c>
      <c r="O268" s="9" t="n">
        <f aca="false">IF(AND(Assumptions!$B$17,ISNUMBER(J268)),Assumptions!$B$11*Assumptions!$B$13*J268,0)</f>
        <v>16.5</v>
      </c>
      <c r="P268" s="9" t="n">
        <f aca="false">IF(AND(Assumptions!$B$17,ISNUMBER(J268)),Assumptions!$B$12*Assumptions!$B$13*J268,0)</f>
        <v>24.75</v>
      </c>
      <c r="Q268" s="9" t="n">
        <f aca="false">IF(Assumptions!$B$18,Assumptions!$B$14*K268,0)</f>
        <v>18.14</v>
      </c>
      <c r="R268" s="9" t="n">
        <f aca="false">IF(Assumptions!$B$18,Assumptions!$B$15*L268,0)</f>
        <v>66.72</v>
      </c>
      <c r="S268" s="9" t="n">
        <f aca="false">IF(Assumptions!$B$18,Assumptions!$B$16*M268,0)</f>
        <v>250.74</v>
      </c>
      <c r="T268" s="9" t="n">
        <f aca="false">K268+N268+Q268</f>
        <v>207.79</v>
      </c>
      <c r="U268" s="9" t="n">
        <f aca="false">L268+O268+R268</f>
        <v>416.82</v>
      </c>
      <c r="V268" s="9" t="n">
        <f aca="false">M268+P268+S268</f>
        <v>991.89</v>
      </c>
      <c r="W268" s="9" t="n">
        <v>70</v>
      </c>
      <c r="X268" s="9" t="n">
        <v>165</v>
      </c>
      <c r="Y268" s="9" t="n">
        <v>450</v>
      </c>
      <c r="Z268" s="9" t="n">
        <f aca="false">U268-X268</f>
        <v>251.82</v>
      </c>
      <c r="AA268" s="10" t="n">
        <f aca="false">IFERROR((U268-X268)/X268,"")</f>
        <v>1.52618181818182</v>
      </c>
      <c r="AB268" s="8" t="str">
        <f aca="false">IF(ISNUMBER(AA268),IF(ABS(AA268)&gt;Assumptions!$B$19,"REVIEW",""),"")</f>
        <v>REVIEW</v>
      </c>
    </row>
    <row r="269" customFormat="false" ht="15" hidden="false" customHeight="false" outlineLevel="0" collapsed="false">
      <c r="A269" s="8" t="s">
        <v>327</v>
      </c>
      <c r="B269" s="8"/>
      <c r="C269" s="9" t="n">
        <v>45</v>
      </c>
      <c r="D269" s="9" t="n">
        <v>140</v>
      </c>
      <c r="E269" s="9" t="n">
        <v>350</v>
      </c>
      <c r="F269" s="9" t="n">
        <v>18</v>
      </c>
      <c r="G269" s="9" t="n">
        <v>12</v>
      </c>
      <c r="H269" s="9" t="n">
        <v>3.5</v>
      </c>
      <c r="I269" s="9" t="n">
        <v>1.2</v>
      </c>
      <c r="J269" s="9" t="n">
        <v>4.5</v>
      </c>
      <c r="K269" s="9" t="n">
        <f aca="false">C269+3*Assumptions!$B$4*F269+Assumptions!$B$7*G269+H269+I269</f>
        <v>115.7</v>
      </c>
      <c r="L269" s="9" t="n">
        <f aca="false">D269+3*Assumptions!$B$5*F269+Assumptions!$B$8*G269+H269+I269</f>
        <v>265.9</v>
      </c>
      <c r="M269" s="9" t="n">
        <f aca="false">E269+3*Assumptions!$B$6*F269+Assumptions!$B$9*G269+H269+I269</f>
        <v>591.7</v>
      </c>
      <c r="N269" s="9" t="n">
        <f aca="false">IF(AND(Assumptions!$B$17,ISNUMBER(J269)),Assumptions!$B$10*Assumptions!$B$13*J269,0)</f>
        <v>6.75</v>
      </c>
      <c r="O269" s="9" t="n">
        <f aca="false">IF(AND(Assumptions!$B$17,ISNUMBER(J269)),Assumptions!$B$11*Assumptions!$B$13*J269,0)</f>
        <v>13.5</v>
      </c>
      <c r="P269" s="9" t="n">
        <f aca="false">IF(AND(Assumptions!$B$17,ISNUMBER(J269)),Assumptions!$B$12*Assumptions!$B$13*J269,0)</f>
        <v>20.25</v>
      </c>
      <c r="Q269" s="9" t="n">
        <f aca="false">IF(Assumptions!$B$18,Assumptions!$B$14*K269,0)</f>
        <v>11.57</v>
      </c>
      <c r="R269" s="9" t="n">
        <f aca="false">IF(Assumptions!$B$18,Assumptions!$B$15*L269,0)</f>
        <v>53.18</v>
      </c>
      <c r="S269" s="9" t="n">
        <f aca="false">IF(Assumptions!$B$18,Assumptions!$B$16*M269,0)</f>
        <v>207.095</v>
      </c>
      <c r="T269" s="9" t="n">
        <f aca="false">K269+N269+Q269</f>
        <v>134.02</v>
      </c>
      <c r="U269" s="9" t="n">
        <f aca="false">L269+O269+R269</f>
        <v>332.58</v>
      </c>
      <c r="V269" s="9" t="n">
        <f aca="false">M269+P269+S269</f>
        <v>819.045</v>
      </c>
      <c r="W269" s="9" t="n">
        <v>60</v>
      </c>
      <c r="X269" s="9" t="n">
        <v>150</v>
      </c>
      <c r="Y269" s="9" t="n">
        <v>450</v>
      </c>
      <c r="Z269" s="9" t="n">
        <f aca="false">U269-X269</f>
        <v>182.58</v>
      </c>
      <c r="AA269" s="10" t="n">
        <f aca="false">IFERROR((U269-X269)/X269,"")</f>
        <v>1.2172</v>
      </c>
      <c r="AB269" s="8" t="str">
        <f aca="false">IF(ISNUMBER(AA269),IF(ABS(AA269)&gt;Assumptions!$B$19,"REVIEW",""),"")</f>
        <v>REVIEW</v>
      </c>
    </row>
    <row r="270" customFormat="false" ht="15" hidden="false" customHeight="false" outlineLevel="0" collapsed="false">
      <c r="A270" s="8" t="s">
        <v>328</v>
      </c>
      <c r="B270" s="8"/>
      <c r="C270" s="9" t="n">
        <v>18</v>
      </c>
      <c r="D270" s="9" t="n">
        <v>130</v>
      </c>
      <c r="E270" s="9" t="n">
        <v>550</v>
      </c>
      <c r="F270" s="9" t="n">
        <v>15</v>
      </c>
      <c r="G270" s="9" t="n">
        <v>6</v>
      </c>
      <c r="H270" s="9" t="n">
        <v>3</v>
      </c>
      <c r="I270" s="9" t="n">
        <v>1.5</v>
      </c>
      <c r="J270" s="9" t="n">
        <v>3</v>
      </c>
      <c r="K270" s="9" t="n">
        <f aca="false">C270+3*Assumptions!$B$4*F270+Assumptions!$B$7*G270+H270+I270</f>
        <v>73.5</v>
      </c>
      <c r="L270" s="9" t="n">
        <f aca="false">D270+3*Assumptions!$B$5*F270+Assumptions!$B$8*G270+H270+I270</f>
        <v>227.5</v>
      </c>
      <c r="M270" s="9" t="n">
        <f aca="false">E270+3*Assumptions!$B$6*F270+Assumptions!$B$9*G270+H270+I270</f>
        <v>736</v>
      </c>
      <c r="N270" s="9" t="n">
        <f aca="false">IF(AND(Assumptions!$B$17,ISNUMBER(J270)),Assumptions!$B$10*Assumptions!$B$13*J270,0)</f>
        <v>4.5</v>
      </c>
      <c r="O270" s="9" t="n">
        <f aca="false">IF(AND(Assumptions!$B$17,ISNUMBER(J270)),Assumptions!$B$11*Assumptions!$B$13*J270,0)</f>
        <v>9</v>
      </c>
      <c r="P270" s="9" t="n">
        <f aca="false">IF(AND(Assumptions!$B$17,ISNUMBER(J270)),Assumptions!$B$12*Assumptions!$B$13*J270,0)</f>
        <v>13.5</v>
      </c>
      <c r="Q270" s="9" t="n">
        <f aca="false">IF(Assumptions!$B$18,Assumptions!$B$14*K270,0)</f>
        <v>7.35</v>
      </c>
      <c r="R270" s="9" t="n">
        <f aca="false">IF(Assumptions!$B$18,Assumptions!$B$15*L270,0)</f>
        <v>45.5</v>
      </c>
      <c r="S270" s="9" t="n">
        <f aca="false">IF(Assumptions!$B$18,Assumptions!$B$16*M270,0)</f>
        <v>257.6</v>
      </c>
      <c r="T270" s="9" t="n">
        <f aca="false">K270+N270+Q270</f>
        <v>85.35</v>
      </c>
      <c r="U270" s="9" t="n">
        <f aca="false">L270+O270+R270</f>
        <v>282</v>
      </c>
      <c r="V270" s="9" t="n">
        <f aca="false">M270+P270+S270</f>
        <v>1007.1</v>
      </c>
      <c r="W270" s="9" t="n">
        <v>50</v>
      </c>
      <c r="X270" s="9" t="n">
        <v>140</v>
      </c>
      <c r="Y270" s="9" t="n">
        <v>475</v>
      </c>
      <c r="Z270" s="9" t="n">
        <f aca="false">U270-X270</f>
        <v>142</v>
      </c>
      <c r="AA270" s="10" t="n">
        <f aca="false">IFERROR((U270-X270)/X270,"")</f>
        <v>1.01428571428571</v>
      </c>
      <c r="AB270" s="8" t="str">
        <f aca="false">IF(ISNUMBER(AA270),IF(ABS(AA270)&gt;Assumptions!$B$19,"REVIEW",""),"")</f>
        <v>REVIEW</v>
      </c>
    </row>
    <row r="271" customFormat="false" ht="15" hidden="false" customHeight="false" outlineLevel="0" collapsed="false">
      <c r="A271" s="8" t="s">
        <v>329</v>
      </c>
      <c r="B271" s="8"/>
      <c r="C271" s="9" t="n">
        <v>60</v>
      </c>
      <c r="D271" s="9" t="n">
        <v>120</v>
      </c>
      <c r="E271" s="9" t="n">
        <v>300</v>
      </c>
      <c r="F271" s="9" t="n">
        <v>22</v>
      </c>
      <c r="G271" s="9" t="n">
        <v>18</v>
      </c>
      <c r="H271" s="9" t="n">
        <v>4</v>
      </c>
      <c r="I271" s="9" t="n">
        <v>1.2</v>
      </c>
      <c r="J271" s="9" t="n">
        <v>5</v>
      </c>
      <c r="K271" s="9" t="n">
        <f aca="false">C271+3*Assumptions!$B$4*F271+Assumptions!$B$7*G271+H271+I271</f>
        <v>149.2</v>
      </c>
      <c r="L271" s="9" t="n">
        <f aca="false">D271+3*Assumptions!$B$5*F271+Assumptions!$B$8*G271+H271+I271</f>
        <v>280</v>
      </c>
      <c r="M271" s="9" t="n">
        <f aca="false">E271+3*Assumptions!$B$6*F271+Assumptions!$B$9*G271+H271+I271</f>
        <v>608.2</v>
      </c>
      <c r="N271" s="9" t="n">
        <f aca="false">IF(AND(Assumptions!$B$17,ISNUMBER(J271)),Assumptions!$B$10*Assumptions!$B$13*J271,0)</f>
        <v>7.5</v>
      </c>
      <c r="O271" s="9" t="n">
        <f aca="false">IF(AND(Assumptions!$B$17,ISNUMBER(J271)),Assumptions!$B$11*Assumptions!$B$13*J271,0)</f>
        <v>15</v>
      </c>
      <c r="P271" s="9" t="n">
        <f aca="false">IF(AND(Assumptions!$B$17,ISNUMBER(J271)),Assumptions!$B$12*Assumptions!$B$13*J271,0)</f>
        <v>22.5</v>
      </c>
      <c r="Q271" s="9" t="n">
        <f aca="false">IF(Assumptions!$B$18,Assumptions!$B$14*K271,0)</f>
        <v>14.92</v>
      </c>
      <c r="R271" s="9" t="n">
        <f aca="false">IF(Assumptions!$B$18,Assumptions!$B$15*L271,0)</f>
        <v>56</v>
      </c>
      <c r="S271" s="9" t="n">
        <f aca="false">IF(Assumptions!$B$18,Assumptions!$B$16*M271,0)</f>
        <v>212.87</v>
      </c>
      <c r="T271" s="9" t="n">
        <f aca="false">K271+N271+Q271</f>
        <v>171.62</v>
      </c>
      <c r="U271" s="9" t="n">
        <f aca="false">L271+O271+R271</f>
        <v>351</v>
      </c>
      <c r="V271" s="9" t="n">
        <f aca="false">M271+P271+S271</f>
        <v>843.57</v>
      </c>
      <c r="W271" s="9" t="n">
        <v>80</v>
      </c>
      <c r="X271" s="9" t="n">
        <v>190</v>
      </c>
      <c r="Y271" s="9" t="n">
        <v>500</v>
      </c>
      <c r="Z271" s="9" t="n">
        <f aca="false">U271-X271</f>
        <v>161</v>
      </c>
      <c r="AA271" s="10" t="n">
        <f aca="false">IFERROR((U271-X271)/X271,"")</f>
        <v>0.847368421052632</v>
      </c>
      <c r="AB271" s="8" t="str">
        <f aca="false">IF(ISNUMBER(AA271),IF(ABS(AA271)&gt;Assumptions!$B$19,"REVIEW",""),"")</f>
        <v>REVIEW</v>
      </c>
    </row>
    <row r="272" customFormat="false" ht="15" hidden="false" customHeight="false" outlineLevel="0" collapsed="false">
      <c r="A272" s="8" t="s">
        <v>330</v>
      </c>
      <c r="B272" s="8"/>
      <c r="C272" s="9" t="n">
        <v>15</v>
      </c>
      <c r="D272" s="9" t="n">
        <v>45</v>
      </c>
      <c r="E272" s="9" t="n">
        <v>120</v>
      </c>
      <c r="F272" s="9" t="n">
        <v>7</v>
      </c>
      <c r="G272" s="9" t="n">
        <v>4</v>
      </c>
      <c r="H272" s="9" t="n">
        <v>1.5</v>
      </c>
      <c r="I272" s="9" t="n">
        <v>0.5</v>
      </c>
      <c r="J272" s="9" t="n">
        <v>2</v>
      </c>
      <c r="K272" s="9" t="n">
        <f aca="false">C272+3*Assumptions!$B$4*F272+Assumptions!$B$7*G272+H272+I272</f>
        <v>42</v>
      </c>
      <c r="L272" s="9" t="n">
        <f aca="false">D272+3*Assumptions!$B$5*F272+Assumptions!$B$8*G272+H272+I272</f>
        <v>92.8</v>
      </c>
      <c r="M272" s="9" t="n">
        <f aca="false">E272+3*Assumptions!$B$6*F272+Assumptions!$B$9*G272+H272+I272</f>
        <v>211.5</v>
      </c>
      <c r="N272" s="9" t="n">
        <f aca="false">IF(AND(Assumptions!$B$17,ISNUMBER(J272)),Assumptions!$B$10*Assumptions!$B$13*J272,0)</f>
        <v>3</v>
      </c>
      <c r="O272" s="9" t="n">
        <f aca="false">IF(AND(Assumptions!$B$17,ISNUMBER(J272)),Assumptions!$B$11*Assumptions!$B$13*J272,0)</f>
        <v>6</v>
      </c>
      <c r="P272" s="9" t="n">
        <f aca="false">IF(AND(Assumptions!$B$17,ISNUMBER(J272)),Assumptions!$B$12*Assumptions!$B$13*J272,0)</f>
        <v>9</v>
      </c>
      <c r="Q272" s="9" t="n">
        <f aca="false">IF(Assumptions!$B$18,Assumptions!$B$14*K272,0)</f>
        <v>4.2</v>
      </c>
      <c r="R272" s="9" t="n">
        <f aca="false">IF(Assumptions!$B$18,Assumptions!$B$15*L272,0)</f>
        <v>18.56</v>
      </c>
      <c r="S272" s="9" t="n">
        <f aca="false">IF(Assumptions!$B$18,Assumptions!$B$16*M272,0)</f>
        <v>74.025</v>
      </c>
      <c r="T272" s="9" t="n">
        <f aca="false">K272+N272+Q272</f>
        <v>49.2</v>
      </c>
      <c r="U272" s="9" t="n">
        <f aca="false">L272+O272+R272</f>
        <v>117.36</v>
      </c>
      <c r="V272" s="9" t="n">
        <f aca="false">M272+P272+S272</f>
        <v>294.525</v>
      </c>
      <c r="W272" s="9" t="n">
        <v>30</v>
      </c>
      <c r="X272" s="9" t="n">
        <v>70</v>
      </c>
      <c r="Y272" s="9" t="n">
        <v>215</v>
      </c>
      <c r="Z272" s="9" t="n">
        <f aca="false">U272-X272</f>
        <v>47.36</v>
      </c>
      <c r="AA272" s="10" t="n">
        <f aca="false">IFERROR((U272-X272)/X272,"")</f>
        <v>0.676571428571429</v>
      </c>
      <c r="AB272" s="8" t="str">
        <f aca="false">IF(ISNUMBER(AA272),IF(ABS(AA272)&gt;Assumptions!$B$19,"REVIEW",""),"")</f>
        <v>REVIEW</v>
      </c>
    </row>
    <row r="273" customFormat="false" ht="15" hidden="false" customHeight="false" outlineLevel="0" collapsed="false">
      <c r="A273" s="8" t="s">
        <v>331</v>
      </c>
      <c r="B273" s="8"/>
      <c r="C273" s="9" t="n">
        <v>40</v>
      </c>
      <c r="D273" s="9" t="n">
        <v>90</v>
      </c>
      <c r="E273" s="9" t="n">
        <v>170</v>
      </c>
      <c r="F273" s="9" t="n">
        <v>16</v>
      </c>
      <c r="G273" s="9" t="n">
        <v>12</v>
      </c>
      <c r="H273" s="9" t="n">
        <v>3</v>
      </c>
      <c r="I273" s="9" t="n">
        <v>1</v>
      </c>
      <c r="J273" s="9" t="n">
        <v>3.5</v>
      </c>
      <c r="K273" s="9" t="n">
        <f aca="false">C273+3*Assumptions!$B$4*F273+Assumptions!$B$7*G273+H273+I273</f>
        <v>104</v>
      </c>
      <c r="L273" s="9" t="n">
        <f aca="false">D273+3*Assumptions!$B$5*F273+Assumptions!$B$8*G273+H273+I273</f>
        <v>204.4</v>
      </c>
      <c r="M273" s="9" t="n">
        <f aca="false">E273+3*Assumptions!$B$6*F273+Assumptions!$B$9*G273+H273+I273</f>
        <v>390</v>
      </c>
      <c r="N273" s="9" t="n">
        <f aca="false">IF(AND(Assumptions!$B$17,ISNUMBER(J273)),Assumptions!$B$10*Assumptions!$B$13*J273,0)</f>
        <v>5.25</v>
      </c>
      <c r="O273" s="9" t="n">
        <f aca="false">IF(AND(Assumptions!$B$17,ISNUMBER(J273)),Assumptions!$B$11*Assumptions!$B$13*J273,0)</f>
        <v>10.5</v>
      </c>
      <c r="P273" s="9" t="n">
        <f aca="false">IF(AND(Assumptions!$B$17,ISNUMBER(J273)),Assumptions!$B$12*Assumptions!$B$13*J273,0)</f>
        <v>15.75</v>
      </c>
      <c r="Q273" s="9" t="n">
        <f aca="false">IF(Assumptions!$B$18,Assumptions!$B$14*K273,0)</f>
        <v>10.4</v>
      </c>
      <c r="R273" s="9" t="n">
        <f aca="false">IF(Assumptions!$B$18,Assumptions!$B$15*L273,0)</f>
        <v>40.88</v>
      </c>
      <c r="S273" s="9" t="n">
        <f aca="false">IF(Assumptions!$B$18,Assumptions!$B$16*M273,0)</f>
        <v>136.5</v>
      </c>
      <c r="T273" s="9" t="n">
        <f aca="false">K273+N273+Q273</f>
        <v>119.65</v>
      </c>
      <c r="U273" s="9" t="n">
        <f aca="false">L273+O273+R273</f>
        <v>255.78</v>
      </c>
      <c r="V273" s="9" t="n">
        <f aca="false">M273+P273+S273</f>
        <v>542.25</v>
      </c>
      <c r="W273" s="9" t="n">
        <v>55</v>
      </c>
      <c r="X273" s="9" t="n">
        <v>130</v>
      </c>
      <c r="Y273" s="9" t="n">
        <v>350</v>
      </c>
      <c r="Z273" s="9" t="n">
        <f aca="false">U273-X273</f>
        <v>125.78</v>
      </c>
      <c r="AA273" s="10" t="n">
        <f aca="false">IFERROR((U273-X273)/X273,"")</f>
        <v>0.967538461538462</v>
      </c>
      <c r="AB273" s="8" t="str">
        <f aca="false">IF(ISNUMBER(AA273),IF(ABS(AA273)&gt;Assumptions!$B$19,"REVIEW",""),"")</f>
        <v>REVIEW</v>
      </c>
    </row>
    <row r="274" customFormat="false" ht="15" hidden="false" customHeight="false" outlineLevel="0" collapsed="false">
      <c r="A274" s="8" t="s">
        <v>332</v>
      </c>
      <c r="B274" s="8"/>
      <c r="C274" s="9" t="n">
        <v>40</v>
      </c>
      <c r="D274" s="9" t="n">
        <v>80</v>
      </c>
      <c r="E274" s="9" t="n">
        <v>200</v>
      </c>
      <c r="F274" s="9" t="n">
        <v>15</v>
      </c>
      <c r="G274" s="9" t="n">
        <v>15</v>
      </c>
      <c r="H274" s="9" t="n">
        <v>3.5</v>
      </c>
      <c r="I274" s="9" t="n">
        <v>1.5</v>
      </c>
      <c r="J274" s="9" t="n">
        <v>3.5</v>
      </c>
      <c r="K274" s="9" t="n">
        <f aca="false">C274+3*Assumptions!$B$4*F274+Assumptions!$B$7*G274+H274+I274</f>
        <v>105</v>
      </c>
      <c r="L274" s="9" t="n">
        <f aca="false">D274+3*Assumptions!$B$5*F274+Assumptions!$B$8*G274+H274+I274</f>
        <v>196</v>
      </c>
      <c r="M274" s="9" t="n">
        <f aca="false">E274+3*Assumptions!$B$6*F274+Assumptions!$B$9*G274+H274+I274</f>
        <v>422.5</v>
      </c>
      <c r="N274" s="9" t="n">
        <f aca="false">IF(AND(Assumptions!$B$17,ISNUMBER(J274)),Assumptions!$B$10*Assumptions!$B$13*J274,0)</f>
        <v>5.25</v>
      </c>
      <c r="O274" s="9" t="n">
        <f aca="false">IF(AND(Assumptions!$B$17,ISNUMBER(J274)),Assumptions!$B$11*Assumptions!$B$13*J274,0)</f>
        <v>10.5</v>
      </c>
      <c r="P274" s="9" t="n">
        <f aca="false">IF(AND(Assumptions!$B$17,ISNUMBER(J274)),Assumptions!$B$12*Assumptions!$B$13*J274,0)</f>
        <v>15.75</v>
      </c>
      <c r="Q274" s="9" t="n">
        <f aca="false">IF(Assumptions!$B$18,Assumptions!$B$14*K274,0)</f>
        <v>10.5</v>
      </c>
      <c r="R274" s="9" t="n">
        <f aca="false">IF(Assumptions!$B$18,Assumptions!$B$15*L274,0)</f>
        <v>39.2</v>
      </c>
      <c r="S274" s="9" t="n">
        <f aca="false">IF(Assumptions!$B$18,Assumptions!$B$16*M274,0)</f>
        <v>147.875</v>
      </c>
      <c r="T274" s="9" t="n">
        <f aca="false">K274+N274+Q274</f>
        <v>120.75</v>
      </c>
      <c r="U274" s="9" t="n">
        <f aca="false">L274+O274+R274</f>
        <v>245.7</v>
      </c>
      <c r="V274" s="9" t="n">
        <f aca="false">M274+P274+S274</f>
        <v>586.125</v>
      </c>
      <c r="W274" s="9" t="n">
        <v>55</v>
      </c>
      <c r="X274" s="9" t="n">
        <v>130</v>
      </c>
      <c r="Y274" s="9" t="n">
        <v>350</v>
      </c>
      <c r="Z274" s="9" t="n">
        <f aca="false">U274-X274</f>
        <v>115.7</v>
      </c>
      <c r="AA274" s="10" t="n">
        <f aca="false">IFERROR((U274-X274)/X274,"")</f>
        <v>0.89</v>
      </c>
      <c r="AB274" s="8" t="str">
        <f aca="false">IF(ISNUMBER(AA274),IF(ABS(AA274)&gt;Assumptions!$B$19,"REVIEW",""),"")</f>
        <v>REVIEW</v>
      </c>
    </row>
    <row r="275" customFormat="false" ht="15" hidden="false" customHeight="false" outlineLevel="0" collapsed="false">
      <c r="A275" s="8" t="s">
        <v>333</v>
      </c>
      <c r="B275" s="8"/>
      <c r="C275" s="9" t="n">
        <v>110</v>
      </c>
      <c r="D275" s="9" t="n">
        <v>200</v>
      </c>
      <c r="E275" s="9" t="n">
        <v>450</v>
      </c>
      <c r="F275" s="9" t="n">
        <v>28</v>
      </c>
      <c r="G275" s="9" t="n">
        <v>28</v>
      </c>
      <c r="H275" s="9" t="n">
        <v>4.5</v>
      </c>
      <c r="I275" s="9" t="n">
        <v>2</v>
      </c>
      <c r="J275" s="9" t="n">
        <v>7</v>
      </c>
      <c r="K275" s="9" t="n">
        <f aca="false">C275+3*Assumptions!$B$4*F275+Assumptions!$B$7*G275+H275+I275</f>
        <v>228.5</v>
      </c>
      <c r="L275" s="9" t="n">
        <f aca="false">D275+3*Assumptions!$B$5*F275+Assumptions!$B$8*G275+H275+I275</f>
        <v>413.7</v>
      </c>
      <c r="M275" s="9" t="n">
        <f aca="false">E275+3*Assumptions!$B$6*F275+Assumptions!$B$9*G275+H275+I275</f>
        <v>862.5</v>
      </c>
      <c r="N275" s="9" t="n">
        <f aca="false">IF(AND(Assumptions!$B$17,ISNUMBER(J275)),Assumptions!$B$10*Assumptions!$B$13*J275,0)</f>
        <v>10.5</v>
      </c>
      <c r="O275" s="9" t="n">
        <f aca="false">IF(AND(Assumptions!$B$17,ISNUMBER(J275)),Assumptions!$B$11*Assumptions!$B$13*J275,0)</f>
        <v>21</v>
      </c>
      <c r="P275" s="9" t="n">
        <f aca="false">IF(AND(Assumptions!$B$17,ISNUMBER(J275)),Assumptions!$B$12*Assumptions!$B$13*J275,0)</f>
        <v>31.5</v>
      </c>
      <c r="Q275" s="9" t="n">
        <f aca="false">IF(Assumptions!$B$18,Assumptions!$B$14*K275,0)</f>
        <v>22.85</v>
      </c>
      <c r="R275" s="9" t="n">
        <f aca="false">IF(Assumptions!$B$18,Assumptions!$B$15*L275,0)</f>
        <v>82.74</v>
      </c>
      <c r="S275" s="9" t="n">
        <f aca="false">IF(Assumptions!$B$18,Assumptions!$B$16*M275,0)</f>
        <v>301.875</v>
      </c>
      <c r="T275" s="9" t="n">
        <f aca="false">K275+N275+Q275</f>
        <v>261.85</v>
      </c>
      <c r="U275" s="9" t="n">
        <f aca="false">L275+O275+R275</f>
        <v>517.44</v>
      </c>
      <c r="V275" s="9" t="n">
        <f aca="false">M275+P275+S275</f>
        <v>1195.875</v>
      </c>
      <c r="W275" s="9" t="n">
        <v>100</v>
      </c>
      <c r="X275" s="9" t="n">
        <v>250</v>
      </c>
      <c r="Y275" s="9" t="n">
        <v>680</v>
      </c>
      <c r="Z275" s="9" t="n">
        <f aca="false">U275-X275</f>
        <v>267.44</v>
      </c>
      <c r="AA275" s="10" t="n">
        <f aca="false">IFERROR((U275-X275)/X275,"")</f>
        <v>1.06976</v>
      </c>
      <c r="AB275" s="8" t="str">
        <f aca="false">IF(ISNUMBER(AA275),IF(ABS(AA275)&gt;Assumptions!$B$19,"REVIEW",""),"")</f>
        <v>REVIEW</v>
      </c>
    </row>
    <row r="276" customFormat="false" ht="15" hidden="false" customHeight="false" outlineLevel="0" collapsed="false">
      <c r="A276" s="8" t="s">
        <v>334</v>
      </c>
      <c r="B276" s="8"/>
      <c r="C276" s="9" t="n">
        <v>65</v>
      </c>
      <c r="D276" s="9" t="n">
        <v>75</v>
      </c>
      <c r="E276" s="9" t="n">
        <v>180</v>
      </c>
      <c r="F276" s="9" t="n">
        <v>12</v>
      </c>
      <c r="G276" s="9" t="n">
        <v>2</v>
      </c>
      <c r="H276" s="9" t="n">
        <v>3</v>
      </c>
      <c r="I276" s="9" t="n">
        <v>1.5</v>
      </c>
      <c r="J276" s="9" t="n">
        <v>6</v>
      </c>
      <c r="K276" s="9" t="n">
        <f aca="false">C276+3*Assumptions!$B$4*F276+Assumptions!$B$7*G276+H276+I276</f>
        <v>107.5</v>
      </c>
      <c r="L276" s="9" t="n">
        <f aca="false">D276+3*Assumptions!$B$5*F276+Assumptions!$B$8*G276+H276+I276</f>
        <v>148.3</v>
      </c>
      <c r="M276" s="9" t="n">
        <f aca="false">E276+3*Assumptions!$B$6*F276+Assumptions!$B$9*G276+H276+I276</f>
        <v>318.5</v>
      </c>
      <c r="N276" s="9" t="n">
        <f aca="false">IF(AND(Assumptions!$B$17,ISNUMBER(J276)),Assumptions!$B$10*Assumptions!$B$13*J276,0)</f>
        <v>9</v>
      </c>
      <c r="O276" s="9" t="n">
        <f aca="false">IF(AND(Assumptions!$B$17,ISNUMBER(J276)),Assumptions!$B$11*Assumptions!$B$13*J276,0)</f>
        <v>18</v>
      </c>
      <c r="P276" s="9" t="n">
        <f aca="false">IF(AND(Assumptions!$B$17,ISNUMBER(J276)),Assumptions!$B$12*Assumptions!$B$13*J276,0)</f>
        <v>27</v>
      </c>
      <c r="Q276" s="9" t="n">
        <f aca="false">IF(Assumptions!$B$18,Assumptions!$B$14*K276,0)</f>
        <v>10.75</v>
      </c>
      <c r="R276" s="9" t="n">
        <f aca="false">IF(Assumptions!$B$18,Assumptions!$B$15*L276,0)</f>
        <v>29.66</v>
      </c>
      <c r="S276" s="9" t="n">
        <f aca="false">IF(Assumptions!$B$18,Assumptions!$B$16*M276,0)</f>
        <v>111.475</v>
      </c>
      <c r="T276" s="9" t="n">
        <f aca="false">K276+N276+Q276</f>
        <v>127.25</v>
      </c>
      <c r="U276" s="9" t="n">
        <f aca="false">L276+O276+R276</f>
        <v>195.96</v>
      </c>
      <c r="V276" s="9" t="n">
        <f aca="false">M276+P276+S276</f>
        <v>456.975</v>
      </c>
      <c r="W276" s="9" t="n">
        <v>50</v>
      </c>
      <c r="X276" s="9" t="n">
        <v>125</v>
      </c>
      <c r="Y276" s="9" t="n">
        <v>350</v>
      </c>
      <c r="Z276" s="9" t="n">
        <f aca="false">U276-X276</f>
        <v>70.96</v>
      </c>
      <c r="AA276" s="10" t="n">
        <f aca="false">IFERROR((U276-X276)/X276,"")</f>
        <v>0.56768</v>
      </c>
      <c r="AB276" s="8" t="str">
        <f aca="false">IF(ISNUMBER(AA276),IF(ABS(AA276)&gt;Assumptions!$B$19,"REVIEW",""),"")</f>
        <v>REVIEW</v>
      </c>
    </row>
    <row r="277" customFormat="false" ht="15" hidden="false" customHeight="false" outlineLevel="0" collapsed="false">
      <c r="A277" s="8" t="s">
        <v>335</v>
      </c>
      <c r="B277" s="8"/>
      <c r="C277" s="9" t="n">
        <v>25</v>
      </c>
      <c r="D277" s="9" t="n">
        <v>95</v>
      </c>
      <c r="E277" s="9" t="n">
        <v>220</v>
      </c>
      <c r="F277" s="9" t="n">
        <v>12</v>
      </c>
      <c r="G277" s="9" t="n">
        <v>6</v>
      </c>
      <c r="H277" s="9" t="n">
        <v>2.5</v>
      </c>
      <c r="I277" s="9" t="n">
        <v>1</v>
      </c>
      <c r="J277" s="9" t="n">
        <v>2.5</v>
      </c>
      <c r="K277" s="9" t="n">
        <f aca="false">C277+3*Assumptions!$B$4*F277+Assumptions!$B$7*G277+H277+I277</f>
        <v>70.5</v>
      </c>
      <c r="L277" s="9" t="n">
        <f aca="false">D277+3*Assumptions!$B$5*F277+Assumptions!$B$8*G277+H277+I277</f>
        <v>175.3</v>
      </c>
      <c r="M277" s="9" t="n">
        <f aca="false">E277+3*Assumptions!$B$6*F277+Assumptions!$B$9*G277+H277+I277</f>
        <v>373.5</v>
      </c>
      <c r="N277" s="9" t="n">
        <f aca="false">IF(AND(Assumptions!$B$17,ISNUMBER(J277)),Assumptions!$B$10*Assumptions!$B$13*J277,0)</f>
        <v>3.75</v>
      </c>
      <c r="O277" s="9" t="n">
        <f aca="false">IF(AND(Assumptions!$B$17,ISNUMBER(J277)),Assumptions!$B$11*Assumptions!$B$13*J277,0)</f>
        <v>7.5</v>
      </c>
      <c r="P277" s="9" t="n">
        <f aca="false">IF(AND(Assumptions!$B$17,ISNUMBER(J277)),Assumptions!$B$12*Assumptions!$B$13*J277,0)</f>
        <v>11.25</v>
      </c>
      <c r="Q277" s="9" t="n">
        <f aca="false">IF(Assumptions!$B$18,Assumptions!$B$14*K277,0)</f>
        <v>7.05</v>
      </c>
      <c r="R277" s="9" t="n">
        <f aca="false">IF(Assumptions!$B$18,Assumptions!$B$15*L277,0)</f>
        <v>35.06</v>
      </c>
      <c r="S277" s="9" t="n">
        <f aca="false">IF(Assumptions!$B$18,Assumptions!$B$16*M277,0)</f>
        <v>130.725</v>
      </c>
      <c r="T277" s="9" t="n">
        <f aca="false">K277+N277+Q277</f>
        <v>81.3</v>
      </c>
      <c r="U277" s="9" t="n">
        <f aca="false">L277+O277+R277</f>
        <v>217.86</v>
      </c>
      <c r="V277" s="9" t="n">
        <f aca="false">M277+P277+S277</f>
        <v>515.475</v>
      </c>
      <c r="W277" s="9" t="n">
        <v>40</v>
      </c>
      <c r="X277" s="9" t="n">
        <v>105</v>
      </c>
      <c r="Y277" s="9" t="n">
        <v>315</v>
      </c>
      <c r="Z277" s="9" t="n">
        <f aca="false">U277-X277</f>
        <v>112.86</v>
      </c>
      <c r="AA277" s="10" t="n">
        <f aca="false">IFERROR((U277-X277)/X277,"")</f>
        <v>1.07485714285714</v>
      </c>
      <c r="AB277" s="8" t="str">
        <f aca="false">IF(ISNUMBER(AA277),IF(ABS(AA277)&gt;Assumptions!$B$19,"REVIEW",""),"")</f>
        <v>REVIEW</v>
      </c>
    </row>
    <row r="278" customFormat="false" ht="15" hidden="false" customHeight="false" outlineLevel="0" collapsed="false">
      <c r="A278" s="8" t="s">
        <v>336</v>
      </c>
      <c r="B278" s="8"/>
      <c r="C278" s="9" t="n">
        <v>22</v>
      </c>
      <c r="D278" s="9" t="n">
        <v>55</v>
      </c>
      <c r="E278" s="9" t="n">
        <v>130</v>
      </c>
      <c r="F278" s="9" t="n">
        <v>8</v>
      </c>
      <c r="G278" s="9" t="n">
        <v>4</v>
      </c>
      <c r="H278" s="9" t="n">
        <v>3.5</v>
      </c>
      <c r="I278" s="9" t="n">
        <v>0.3</v>
      </c>
      <c r="J278" s="9" t="n">
        <v>1.2</v>
      </c>
      <c r="K278" s="9" t="n">
        <f aca="false">C278+3*Assumptions!$B$4*F278+Assumptions!$B$7*G278+H278+I278</f>
        <v>53.8</v>
      </c>
      <c r="L278" s="9" t="n">
        <f aca="false">D278+3*Assumptions!$B$5*F278+Assumptions!$B$8*G278+H278+I278</f>
        <v>110</v>
      </c>
      <c r="M278" s="9" t="n">
        <f aca="false">E278+3*Assumptions!$B$6*F278+Assumptions!$B$9*G278+H278+I278</f>
        <v>233.8</v>
      </c>
      <c r="N278" s="9" t="n">
        <f aca="false">IF(AND(Assumptions!$B$17,ISNUMBER(J278)),Assumptions!$B$10*Assumptions!$B$13*J278,0)</f>
        <v>1.8</v>
      </c>
      <c r="O278" s="9" t="n">
        <f aca="false">IF(AND(Assumptions!$B$17,ISNUMBER(J278)),Assumptions!$B$11*Assumptions!$B$13*J278,0)</f>
        <v>3.6</v>
      </c>
      <c r="P278" s="9" t="n">
        <f aca="false">IF(AND(Assumptions!$B$17,ISNUMBER(J278)),Assumptions!$B$12*Assumptions!$B$13*J278,0)</f>
        <v>5.4</v>
      </c>
      <c r="Q278" s="9" t="n">
        <f aca="false">IF(Assumptions!$B$18,Assumptions!$B$14*K278,0)</f>
        <v>5.38</v>
      </c>
      <c r="R278" s="9" t="n">
        <f aca="false">IF(Assumptions!$B$18,Assumptions!$B$15*L278,0)</f>
        <v>22</v>
      </c>
      <c r="S278" s="9" t="n">
        <f aca="false">IF(Assumptions!$B$18,Assumptions!$B$16*M278,0)</f>
        <v>81.83</v>
      </c>
      <c r="T278" s="9" t="n">
        <f aca="false">K278+N278+Q278</f>
        <v>60.98</v>
      </c>
      <c r="U278" s="9" t="n">
        <f aca="false">L278+O278+R278</f>
        <v>135.6</v>
      </c>
      <c r="V278" s="9" t="n">
        <f aca="false">M278+P278+S278</f>
        <v>321.03</v>
      </c>
      <c r="W278" s="9" t="n">
        <v>30</v>
      </c>
      <c r="X278" s="9" t="n">
        <v>75</v>
      </c>
      <c r="Y278" s="9" t="n">
        <v>220</v>
      </c>
      <c r="Z278" s="9" t="n">
        <f aca="false">U278-X278</f>
        <v>60.6</v>
      </c>
      <c r="AA278" s="10" t="n">
        <f aca="false">IFERROR((U278-X278)/X278,"")</f>
        <v>0.808</v>
      </c>
      <c r="AB278" s="8" t="str">
        <f aca="false">IF(ISNUMBER(AA278),IF(ABS(AA278)&gt;Assumptions!$B$19,"REVIEW",""),"")</f>
        <v>REVIEW</v>
      </c>
    </row>
    <row r="279" customFormat="false" ht="15" hidden="false" customHeight="false" outlineLevel="0" collapsed="false">
      <c r="A279" s="8" t="s">
        <v>337</v>
      </c>
      <c r="B279" s="8"/>
      <c r="C279" s="9" t="n">
        <v>30</v>
      </c>
      <c r="D279" s="9" t="n">
        <v>60</v>
      </c>
      <c r="E279" s="9" t="n">
        <v>130</v>
      </c>
      <c r="F279" s="9" t="n">
        <v>8</v>
      </c>
      <c r="G279" s="9" t="n">
        <v>3</v>
      </c>
      <c r="H279" s="9" t="n">
        <v>4</v>
      </c>
      <c r="I279" s="9" t="n">
        <v>0.5</v>
      </c>
      <c r="J279" s="9" t="n">
        <v>2</v>
      </c>
      <c r="K279" s="9" t="n">
        <f aca="false">C279+3*Assumptions!$B$4*F279+Assumptions!$B$7*G279+H279+I279</f>
        <v>61.5</v>
      </c>
      <c r="L279" s="9" t="n">
        <f aca="false">D279+3*Assumptions!$B$5*F279+Assumptions!$B$8*G279+H279+I279</f>
        <v>113.7</v>
      </c>
      <c r="M279" s="9" t="n">
        <f aca="false">E279+3*Assumptions!$B$6*F279+Assumptions!$B$9*G279+H279+I279</f>
        <v>230.5</v>
      </c>
      <c r="N279" s="9" t="n">
        <f aca="false">IF(AND(Assumptions!$B$17,ISNUMBER(J279)),Assumptions!$B$10*Assumptions!$B$13*J279,0)</f>
        <v>3</v>
      </c>
      <c r="O279" s="9" t="n">
        <f aca="false">IF(AND(Assumptions!$B$17,ISNUMBER(J279)),Assumptions!$B$11*Assumptions!$B$13*J279,0)</f>
        <v>6</v>
      </c>
      <c r="P279" s="9" t="n">
        <f aca="false">IF(AND(Assumptions!$B$17,ISNUMBER(J279)),Assumptions!$B$12*Assumptions!$B$13*J279,0)</f>
        <v>9</v>
      </c>
      <c r="Q279" s="9" t="n">
        <f aca="false">IF(Assumptions!$B$18,Assumptions!$B$14*K279,0)</f>
        <v>6.15</v>
      </c>
      <c r="R279" s="9" t="n">
        <f aca="false">IF(Assumptions!$B$18,Assumptions!$B$15*L279,0)</f>
        <v>22.74</v>
      </c>
      <c r="S279" s="9" t="n">
        <f aca="false">IF(Assumptions!$B$18,Assumptions!$B$16*M279,0)</f>
        <v>80.675</v>
      </c>
      <c r="T279" s="9" t="n">
        <f aca="false">K279+N279+Q279</f>
        <v>70.65</v>
      </c>
      <c r="U279" s="9" t="n">
        <f aca="false">L279+O279+R279</f>
        <v>142.44</v>
      </c>
      <c r="V279" s="9" t="n">
        <f aca="false">M279+P279+S279</f>
        <v>320.175</v>
      </c>
      <c r="W279" s="9" t="n">
        <v>40</v>
      </c>
      <c r="X279" s="9" t="n">
        <v>100</v>
      </c>
      <c r="Y279" s="9" t="n">
        <v>280</v>
      </c>
      <c r="Z279" s="9" t="n">
        <f aca="false">U279-X279</f>
        <v>42.44</v>
      </c>
      <c r="AA279" s="10" t="n">
        <f aca="false">IFERROR((U279-X279)/X279,"")</f>
        <v>0.4244</v>
      </c>
      <c r="AB279" s="8" t="str">
        <f aca="false">IF(ISNUMBER(AA279),IF(ABS(AA279)&gt;Assumptions!$B$19,"REVIEW",""),"")</f>
        <v>REVIEW</v>
      </c>
    </row>
    <row r="280" customFormat="false" ht="15" hidden="false" customHeight="false" outlineLevel="0" collapsed="false">
      <c r="A280" s="8" t="s">
        <v>338</v>
      </c>
      <c r="B280" s="8"/>
      <c r="C280" s="9" t="n">
        <v>20</v>
      </c>
      <c r="D280" s="9" t="n">
        <v>55</v>
      </c>
      <c r="E280" s="9" t="n">
        <v>130</v>
      </c>
      <c r="F280" s="9" t="n">
        <v>6</v>
      </c>
      <c r="G280" s="9" t="n">
        <v>3</v>
      </c>
      <c r="H280" s="9" t="n">
        <v>4</v>
      </c>
      <c r="I280" s="9" t="n">
        <v>0.4</v>
      </c>
      <c r="J280" s="9" t="n">
        <v>1.5</v>
      </c>
      <c r="K280" s="9" t="n">
        <f aca="false">C280+3*Assumptions!$B$4*F280+Assumptions!$B$7*G280+H280+I280</f>
        <v>45.4</v>
      </c>
      <c r="L280" s="9" t="n">
        <f aca="false">D280+3*Assumptions!$B$5*F280+Assumptions!$B$8*G280+H280+I280</f>
        <v>97.8</v>
      </c>
      <c r="M280" s="9" t="n">
        <f aca="false">E280+3*Assumptions!$B$6*F280+Assumptions!$B$9*G280+H280+I280</f>
        <v>209.4</v>
      </c>
      <c r="N280" s="9" t="n">
        <f aca="false">IF(AND(Assumptions!$B$17,ISNUMBER(J280)),Assumptions!$B$10*Assumptions!$B$13*J280,0)</f>
        <v>2.25</v>
      </c>
      <c r="O280" s="9" t="n">
        <f aca="false">IF(AND(Assumptions!$B$17,ISNUMBER(J280)),Assumptions!$B$11*Assumptions!$B$13*J280,0)</f>
        <v>4.5</v>
      </c>
      <c r="P280" s="9" t="n">
        <f aca="false">IF(AND(Assumptions!$B$17,ISNUMBER(J280)),Assumptions!$B$12*Assumptions!$B$13*J280,0)</f>
        <v>6.75</v>
      </c>
      <c r="Q280" s="9" t="n">
        <f aca="false">IF(Assumptions!$B$18,Assumptions!$B$14*K280,0)</f>
        <v>4.54</v>
      </c>
      <c r="R280" s="9" t="n">
        <f aca="false">IF(Assumptions!$B$18,Assumptions!$B$15*L280,0)</f>
        <v>19.56</v>
      </c>
      <c r="S280" s="9" t="n">
        <f aca="false">IF(Assumptions!$B$18,Assumptions!$B$16*M280,0)</f>
        <v>73.29</v>
      </c>
      <c r="T280" s="9" t="n">
        <f aca="false">K280+N280+Q280</f>
        <v>52.19</v>
      </c>
      <c r="U280" s="9" t="n">
        <f aca="false">L280+O280+R280</f>
        <v>121.86</v>
      </c>
      <c r="V280" s="9" t="n">
        <f aca="false">M280+P280+S280</f>
        <v>289.44</v>
      </c>
      <c r="W280" s="9" t="n">
        <v>30</v>
      </c>
      <c r="X280" s="9" t="n">
        <v>75</v>
      </c>
      <c r="Y280" s="9" t="n">
        <v>220</v>
      </c>
      <c r="Z280" s="9" t="n">
        <f aca="false">U280-X280</f>
        <v>46.86</v>
      </c>
      <c r="AA280" s="10" t="n">
        <f aca="false">IFERROR((U280-X280)/X280,"")</f>
        <v>0.6248</v>
      </c>
      <c r="AB280" s="8" t="str">
        <f aca="false">IF(ISNUMBER(AA280),IF(ABS(AA280)&gt;Assumptions!$B$19,"REVIEW",""),"")</f>
        <v>REVIEW</v>
      </c>
    </row>
    <row r="281" customFormat="false" ht="15" hidden="false" customHeight="false" outlineLevel="0" collapsed="false">
      <c r="A281" s="8" t="s">
        <v>339</v>
      </c>
      <c r="B281" s="8"/>
      <c r="C281" s="9" t="n">
        <v>25</v>
      </c>
      <c r="D281" s="9" t="n">
        <v>60</v>
      </c>
      <c r="E281" s="9" t="n">
        <v>130</v>
      </c>
      <c r="F281" s="9" t="n">
        <v>9</v>
      </c>
      <c r="G281" s="9" t="n">
        <v>5</v>
      </c>
      <c r="H281" s="9" t="n">
        <v>4</v>
      </c>
      <c r="I281" s="9" t="n">
        <v>0.6</v>
      </c>
      <c r="J281" s="9" t="n">
        <v>2</v>
      </c>
      <c r="K281" s="9" t="n">
        <f aca="false">C281+3*Assumptions!$B$4*F281+Assumptions!$B$7*G281+H281+I281</f>
        <v>61.6</v>
      </c>
      <c r="L281" s="9" t="n">
        <f aca="false">D281+3*Assumptions!$B$5*F281+Assumptions!$B$8*G281+H281+I281</f>
        <v>123.2</v>
      </c>
      <c r="M281" s="9" t="n">
        <f aca="false">E281+3*Assumptions!$B$6*F281+Assumptions!$B$9*G281+H281+I281</f>
        <v>249.1</v>
      </c>
      <c r="N281" s="9" t="n">
        <f aca="false">IF(AND(Assumptions!$B$17,ISNUMBER(J281)),Assumptions!$B$10*Assumptions!$B$13*J281,0)</f>
        <v>3</v>
      </c>
      <c r="O281" s="9" t="n">
        <f aca="false">IF(AND(Assumptions!$B$17,ISNUMBER(J281)),Assumptions!$B$11*Assumptions!$B$13*J281,0)</f>
        <v>6</v>
      </c>
      <c r="P281" s="9" t="n">
        <f aca="false">IF(AND(Assumptions!$B$17,ISNUMBER(J281)),Assumptions!$B$12*Assumptions!$B$13*J281,0)</f>
        <v>9</v>
      </c>
      <c r="Q281" s="9" t="n">
        <f aca="false">IF(Assumptions!$B$18,Assumptions!$B$14*K281,0)</f>
        <v>6.16</v>
      </c>
      <c r="R281" s="9" t="n">
        <f aca="false">IF(Assumptions!$B$18,Assumptions!$B$15*L281,0)</f>
        <v>24.64</v>
      </c>
      <c r="S281" s="9" t="n">
        <f aca="false">IF(Assumptions!$B$18,Assumptions!$B$16*M281,0)</f>
        <v>87.185</v>
      </c>
      <c r="T281" s="9" t="n">
        <f aca="false">K281+N281+Q281</f>
        <v>70.76</v>
      </c>
      <c r="U281" s="9" t="n">
        <f aca="false">L281+O281+R281</f>
        <v>153.84</v>
      </c>
      <c r="V281" s="9" t="n">
        <f aca="false">M281+P281+S281</f>
        <v>345.285</v>
      </c>
      <c r="W281" s="9" t="n">
        <v>35</v>
      </c>
      <c r="X281" s="9" t="n">
        <v>90</v>
      </c>
      <c r="Y281" s="9" t="n">
        <v>280</v>
      </c>
      <c r="Z281" s="9" t="n">
        <f aca="false">U281-X281</f>
        <v>63.84</v>
      </c>
      <c r="AA281" s="10" t="n">
        <f aca="false">IFERROR((U281-X281)/X281,"")</f>
        <v>0.709333333333333</v>
      </c>
      <c r="AB281" s="8" t="str">
        <f aca="false">IF(ISNUMBER(AA281),IF(ABS(AA281)&gt;Assumptions!$B$19,"REVIEW",""),"")</f>
        <v>REVIEW</v>
      </c>
    </row>
    <row r="282" customFormat="false" ht="15" hidden="false" customHeight="false" outlineLevel="0" collapsed="false">
      <c r="A282" s="8" t="s">
        <v>340</v>
      </c>
      <c r="B282" s="8"/>
      <c r="C282" s="9" t="n">
        <v>18</v>
      </c>
      <c r="D282" s="9" t="n">
        <v>55</v>
      </c>
      <c r="E282" s="9" t="n">
        <v>180</v>
      </c>
      <c r="F282" s="9" t="n">
        <v>6</v>
      </c>
      <c r="G282" s="9" t="n">
        <v>4</v>
      </c>
      <c r="H282" s="9" t="n">
        <v>2.5</v>
      </c>
      <c r="I282" s="9" t="n">
        <v>0.4</v>
      </c>
      <c r="J282" s="9" t="n">
        <v>2</v>
      </c>
      <c r="K282" s="9" t="n">
        <f aca="false">C282+3*Assumptions!$B$4*F282+Assumptions!$B$7*G282+H282+I282</f>
        <v>42.9</v>
      </c>
      <c r="L282" s="9" t="n">
        <f aca="false">D282+3*Assumptions!$B$5*F282+Assumptions!$B$8*G282+H282+I282</f>
        <v>98.3</v>
      </c>
      <c r="M282" s="9" t="n">
        <f aca="false">E282+3*Assumptions!$B$6*F282+Assumptions!$B$9*G282+H282+I282</f>
        <v>261.9</v>
      </c>
      <c r="N282" s="9" t="n">
        <f aca="false">IF(AND(Assumptions!$B$17,ISNUMBER(J282)),Assumptions!$B$10*Assumptions!$B$13*J282,0)</f>
        <v>3</v>
      </c>
      <c r="O282" s="9" t="n">
        <f aca="false">IF(AND(Assumptions!$B$17,ISNUMBER(J282)),Assumptions!$B$11*Assumptions!$B$13*J282,0)</f>
        <v>6</v>
      </c>
      <c r="P282" s="9" t="n">
        <f aca="false">IF(AND(Assumptions!$B$17,ISNUMBER(J282)),Assumptions!$B$12*Assumptions!$B$13*J282,0)</f>
        <v>9</v>
      </c>
      <c r="Q282" s="9" t="n">
        <f aca="false">IF(Assumptions!$B$18,Assumptions!$B$14*K282,0)</f>
        <v>4.29</v>
      </c>
      <c r="R282" s="9" t="n">
        <f aca="false">IF(Assumptions!$B$18,Assumptions!$B$15*L282,0)</f>
        <v>19.66</v>
      </c>
      <c r="S282" s="9" t="n">
        <f aca="false">IF(Assumptions!$B$18,Assumptions!$B$16*M282,0)</f>
        <v>91.665</v>
      </c>
      <c r="T282" s="9" t="n">
        <f aca="false">K282+N282+Q282</f>
        <v>50.19</v>
      </c>
      <c r="U282" s="9" t="n">
        <f aca="false">L282+O282+R282</f>
        <v>123.96</v>
      </c>
      <c r="V282" s="9" t="n">
        <f aca="false">M282+P282+S282</f>
        <v>362.565</v>
      </c>
      <c r="W282" s="9" t="n">
        <v>30</v>
      </c>
      <c r="X282" s="9" t="n">
        <v>80</v>
      </c>
      <c r="Y282" s="9" t="n">
        <v>240</v>
      </c>
      <c r="Z282" s="9" t="n">
        <f aca="false">U282-X282</f>
        <v>43.96</v>
      </c>
      <c r="AA282" s="10" t="n">
        <f aca="false">IFERROR((U282-X282)/X282,"")</f>
        <v>0.5495</v>
      </c>
      <c r="AB282" s="8" t="str">
        <f aca="false">IF(ISNUMBER(AA282),IF(ABS(AA282)&gt;Assumptions!$B$19,"REVIEW",""),"")</f>
        <v>REVIEW</v>
      </c>
    </row>
    <row r="283" customFormat="false" ht="15" hidden="false" customHeight="false" outlineLevel="0" collapsed="false">
      <c r="A283" s="8" t="s">
        <v>341</v>
      </c>
      <c r="B283" s="8"/>
      <c r="C283" s="9" t="n">
        <v>35</v>
      </c>
      <c r="D283" s="9" t="n">
        <v>110</v>
      </c>
      <c r="E283" s="9" t="n">
        <v>220</v>
      </c>
      <c r="F283" s="9" t="n">
        <v>32</v>
      </c>
      <c r="G283" s="9" t="n">
        <v>13</v>
      </c>
      <c r="H283" s="9" t="n">
        <v>4</v>
      </c>
      <c r="I283" s="9" t="n">
        <v>3</v>
      </c>
      <c r="J283" s="9" t="n">
        <v>6</v>
      </c>
      <c r="K283" s="9" t="n">
        <f aca="false">C283+3*Assumptions!$B$4*F283+Assumptions!$B$7*G283+H283+I283</f>
        <v>151</v>
      </c>
      <c r="L283" s="9" t="n">
        <f aca="false">D283+3*Assumptions!$B$5*F283+Assumptions!$B$8*G283+H283+I283</f>
        <v>315.8</v>
      </c>
      <c r="M283" s="9" t="n">
        <f aca="false">E283+3*Assumptions!$B$6*F283+Assumptions!$B$9*G283+H283+I283</f>
        <v>615</v>
      </c>
      <c r="N283" s="9" t="n">
        <f aca="false">IF(AND(Assumptions!$B$17,ISNUMBER(J283)),Assumptions!$B$10*Assumptions!$B$13*J283,0)</f>
        <v>9</v>
      </c>
      <c r="O283" s="9" t="n">
        <f aca="false">IF(AND(Assumptions!$B$17,ISNUMBER(J283)),Assumptions!$B$11*Assumptions!$B$13*J283,0)</f>
        <v>18</v>
      </c>
      <c r="P283" s="9" t="n">
        <f aca="false">IF(AND(Assumptions!$B$17,ISNUMBER(J283)),Assumptions!$B$12*Assumptions!$B$13*J283,0)</f>
        <v>27</v>
      </c>
      <c r="Q283" s="9" t="n">
        <f aca="false">IF(Assumptions!$B$18,Assumptions!$B$14*K283,0)</f>
        <v>15.1</v>
      </c>
      <c r="R283" s="9" t="n">
        <f aca="false">IF(Assumptions!$B$18,Assumptions!$B$15*L283,0)</f>
        <v>63.16</v>
      </c>
      <c r="S283" s="9" t="n">
        <f aca="false">IF(Assumptions!$B$18,Assumptions!$B$16*M283,0)</f>
        <v>215.25</v>
      </c>
      <c r="T283" s="9" t="n">
        <f aca="false">K283+N283+Q283</f>
        <v>175.1</v>
      </c>
      <c r="U283" s="9" t="n">
        <f aca="false">L283+O283+R283</f>
        <v>396.96</v>
      </c>
      <c r="V283" s="9" t="n">
        <f aca="false">M283+P283+S283</f>
        <v>857.25</v>
      </c>
      <c r="W283" s="9" t="n">
        <v>65</v>
      </c>
      <c r="X283" s="9" t="n">
        <v>165</v>
      </c>
      <c r="Y283" s="9" t="n">
        <v>490</v>
      </c>
      <c r="Z283" s="9" t="n">
        <f aca="false">U283-X283</f>
        <v>231.96</v>
      </c>
      <c r="AA283" s="10" t="n">
        <f aca="false">IFERROR((U283-X283)/X283,"")</f>
        <v>1.40581818181818</v>
      </c>
      <c r="AB283" s="8" t="str">
        <f aca="false">IF(ISNUMBER(AA283),IF(ABS(AA283)&gt;Assumptions!$B$19,"REVIEW",""),"")</f>
        <v>REVIEW</v>
      </c>
    </row>
    <row r="284" customFormat="false" ht="15" hidden="false" customHeight="false" outlineLevel="0" collapsed="false">
      <c r="A284" s="8" t="s">
        <v>342</v>
      </c>
      <c r="B284" s="8"/>
      <c r="C284" s="9" t="n">
        <v>25</v>
      </c>
      <c r="D284" s="9" t="n">
        <v>55</v>
      </c>
      <c r="E284" s="9" t="n">
        <v>200</v>
      </c>
      <c r="F284" s="9" t="n">
        <v>10</v>
      </c>
      <c r="G284" s="9" t="n">
        <v>4</v>
      </c>
      <c r="H284" s="9" t="n">
        <v>2</v>
      </c>
      <c r="I284" s="9" t="n">
        <v>0.5</v>
      </c>
      <c r="J284" s="9" t="n">
        <v>3</v>
      </c>
      <c r="K284" s="9" t="n">
        <f aca="false">C284+3*Assumptions!$B$4*F284+Assumptions!$B$7*G284+H284+I284</f>
        <v>61.5</v>
      </c>
      <c r="L284" s="9" t="n">
        <f aca="false">D284+3*Assumptions!$B$5*F284+Assumptions!$B$8*G284+H284+I284</f>
        <v>119.5</v>
      </c>
      <c r="M284" s="9" t="n">
        <f aca="false">E284+3*Assumptions!$B$6*F284+Assumptions!$B$9*G284+H284+I284</f>
        <v>323.5</v>
      </c>
      <c r="N284" s="9" t="n">
        <f aca="false">IF(AND(Assumptions!$B$17,ISNUMBER(J284)),Assumptions!$B$10*Assumptions!$B$13*J284,0)</f>
        <v>4.5</v>
      </c>
      <c r="O284" s="9" t="n">
        <f aca="false">IF(AND(Assumptions!$B$17,ISNUMBER(J284)),Assumptions!$B$11*Assumptions!$B$13*J284,0)</f>
        <v>9</v>
      </c>
      <c r="P284" s="9" t="n">
        <f aca="false">IF(AND(Assumptions!$B$17,ISNUMBER(J284)),Assumptions!$B$12*Assumptions!$B$13*J284,0)</f>
        <v>13.5</v>
      </c>
      <c r="Q284" s="9" t="n">
        <f aca="false">IF(Assumptions!$B$18,Assumptions!$B$14*K284,0)</f>
        <v>6.15</v>
      </c>
      <c r="R284" s="9" t="n">
        <f aca="false">IF(Assumptions!$B$18,Assumptions!$B$15*L284,0)</f>
        <v>23.9</v>
      </c>
      <c r="S284" s="9" t="n">
        <f aca="false">IF(Assumptions!$B$18,Assumptions!$B$16*M284,0)</f>
        <v>113.225</v>
      </c>
      <c r="T284" s="9" t="n">
        <f aca="false">K284+N284+Q284</f>
        <v>72.15</v>
      </c>
      <c r="U284" s="9" t="n">
        <f aca="false">L284+O284+R284</f>
        <v>152.4</v>
      </c>
      <c r="V284" s="9" t="n">
        <f aca="false">M284+P284+S284</f>
        <v>450.225</v>
      </c>
      <c r="W284" s="9" t="n">
        <v>40</v>
      </c>
      <c r="X284" s="9" t="n">
        <v>95</v>
      </c>
      <c r="Y284" s="9" t="n">
        <v>290</v>
      </c>
      <c r="Z284" s="9" t="n">
        <f aca="false">U284-X284</f>
        <v>57.4</v>
      </c>
      <c r="AA284" s="10" t="n">
        <f aca="false">IFERROR((U284-X284)/X284,"")</f>
        <v>0.60421052631579</v>
      </c>
      <c r="AB284" s="8" t="str">
        <f aca="false">IF(ISNUMBER(AA284),IF(ABS(AA284)&gt;Assumptions!$B$19,"REVIEW",""),"")</f>
        <v>REVIEW</v>
      </c>
    </row>
    <row r="285" customFormat="false" ht="15" hidden="false" customHeight="false" outlineLevel="0" collapsed="false">
      <c r="A285" s="8" t="s">
        <v>343</v>
      </c>
      <c r="B285" s="8"/>
      <c r="C285" s="9" t="n">
        <v>45</v>
      </c>
      <c r="D285" s="9" t="n">
        <v>120</v>
      </c>
      <c r="E285" s="9" t="n">
        <v>300</v>
      </c>
      <c r="F285" s="9" t="n">
        <v>12</v>
      </c>
      <c r="G285" s="9" t="n">
        <v>8</v>
      </c>
      <c r="H285" s="9" t="n">
        <v>3</v>
      </c>
      <c r="I285" s="9" t="n">
        <v>1</v>
      </c>
      <c r="J285" s="9" t="n">
        <v>4</v>
      </c>
      <c r="K285" s="9" t="n">
        <f aca="false">C285+3*Assumptions!$B$4*F285+Assumptions!$B$7*G285+H285+I285</f>
        <v>93</v>
      </c>
      <c r="L285" s="9" t="n">
        <f aca="false">D285+3*Assumptions!$B$5*F285+Assumptions!$B$8*G285+H285+I285</f>
        <v>204.8</v>
      </c>
      <c r="M285" s="9" t="n">
        <f aca="false">E285+3*Assumptions!$B$6*F285+Assumptions!$B$9*G285+H285+I285</f>
        <v>462</v>
      </c>
      <c r="N285" s="9" t="n">
        <f aca="false">IF(AND(Assumptions!$B$17,ISNUMBER(J285)),Assumptions!$B$10*Assumptions!$B$13*J285,0)</f>
        <v>6</v>
      </c>
      <c r="O285" s="9" t="n">
        <f aca="false">IF(AND(Assumptions!$B$17,ISNUMBER(J285)),Assumptions!$B$11*Assumptions!$B$13*J285,0)</f>
        <v>12</v>
      </c>
      <c r="P285" s="9" t="n">
        <f aca="false">IF(AND(Assumptions!$B$17,ISNUMBER(J285)),Assumptions!$B$12*Assumptions!$B$13*J285,0)</f>
        <v>18</v>
      </c>
      <c r="Q285" s="9" t="n">
        <f aca="false">IF(Assumptions!$B$18,Assumptions!$B$14*K285,0)</f>
        <v>9.3</v>
      </c>
      <c r="R285" s="9" t="n">
        <f aca="false">IF(Assumptions!$B$18,Assumptions!$B$15*L285,0)</f>
        <v>40.96</v>
      </c>
      <c r="S285" s="9" t="n">
        <f aca="false">IF(Assumptions!$B$18,Assumptions!$B$16*M285,0)</f>
        <v>161.7</v>
      </c>
      <c r="T285" s="9" t="n">
        <f aca="false">K285+N285+Q285</f>
        <v>108.3</v>
      </c>
      <c r="U285" s="9" t="n">
        <f aca="false">L285+O285+R285</f>
        <v>257.76</v>
      </c>
      <c r="V285" s="9" t="n">
        <f aca="false">M285+P285+S285</f>
        <v>641.7</v>
      </c>
      <c r="W285" s="9" t="n">
        <v>60</v>
      </c>
      <c r="X285" s="9" t="n">
        <v>150</v>
      </c>
      <c r="Y285" s="9" t="n">
        <v>400</v>
      </c>
      <c r="Z285" s="9" t="n">
        <f aca="false">U285-X285</f>
        <v>107.76</v>
      </c>
      <c r="AA285" s="10" t="n">
        <f aca="false">IFERROR((U285-X285)/X285,"")</f>
        <v>0.7184</v>
      </c>
      <c r="AB285" s="8" t="str">
        <f aca="false">IF(ISNUMBER(AA285),IF(ABS(AA285)&gt;Assumptions!$B$19,"REVIEW",""),"")</f>
        <v>REVIEW</v>
      </c>
    </row>
    <row r="286" customFormat="false" ht="15" hidden="false" customHeight="false" outlineLevel="0" collapsed="false">
      <c r="A286" s="8" t="s">
        <v>344</v>
      </c>
      <c r="B286" s="8"/>
      <c r="C286" s="9" t="n">
        <v>25</v>
      </c>
      <c r="D286" s="9" t="n">
        <v>90</v>
      </c>
      <c r="E286" s="9" t="n">
        <v>300</v>
      </c>
      <c r="F286" s="9" t="n">
        <v>12</v>
      </c>
      <c r="G286" s="9" t="n">
        <v>8</v>
      </c>
      <c r="H286" s="9" t="n">
        <v>2.5</v>
      </c>
      <c r="I286" s="9" t="n">
        <v>0.6</v>
      </c>
      <c r="J286" s="9" t="n">
        <v>3</v>
      </c>
      <c r="K286" s="9" t="n">
        <f aca="false">C286+3*Assumptions!$B$4*F286+Assumptions!$B$7*G286+H286+I286</f>
        <v>72.1</v>
      </c>
      <c r="L286" s="9" t="n">
        <f aca="false">D286+3*Assumptions!$B$5*F286+Assumptions!$B$8*G286+H286+I286</f>
        <v>173.9</v>
      </c>
      <c r="M286" s="9" t="n">
        <f aca="false">E286+3*Assumptions!$B$6*F286+Assumptions!$B$9*G286+H286+I286</f>
        <v>461.1</v>
      </c>
      <c r="N286" s="9" t="n">
        <f aca="false">IF(AND(Assumptions!$B$17,ISNUMBER(J286)),Assumptions!$B$10*Assumptions!$B$13*J286,0)</f>
        <v>4.5</v>
      </c>
      <c r="O286" s="9" t="n">
        <f aca="false">IF(AND(Assumptions!$B$17,ISNUMBER(J286)),Assumptions!$B$11*Assumptions!$B$13*J286,0)</f>
        <v>9</v>
      </c>
      <c r="P286" s="9" t="n">
        <f aca="false">IF(AND(Assumptions!$B$17,ISNUMBER(J286)),Assumptions!$B$12*Assumptions!$B$13*J286,0)</f>
        <v>13.5</v>
      </c>
      <c r="Q286" s="9" t="n">
        <f aca="false">IF(Assumptions!$B$18,Assumptions!$B$14*K286,0)</f>
        <v>7.21</v>
      </c>
      <c r="R286" s="9" t="n">
        <f aca="false">IF(Assumptions!$B$18,Assumptions!$B$15*L286,0)</f>
        <v>34.78</v>
      </c>
      <c r="S286" s="9" t="n">
        <f aca="false">IF(Assumptions!$B$18,Assumptions!$B$16*M286,0)</f>
        <v>161.385</v>
      </c>
      <c r="T286" s="9" t="n">
        <f aca="false">K286+N286+Q286</f>
        <v>83.81</v>
      </c>
      <c r="U286" s="9" t="n">
        <f aca="false">L286+O286+R286</f>
        <v>217.68</v>
      </c>
      <c r="V286" s="9" t="n">
        <f aca="false">M286+P286+S286</f>
        <v>635.985</v>
      </c>
      <c r="W286" s="9" t="n">
        <v>45</v>
      </c>
      <c r="X286" s="9" t="n">
        <v>115</v>
      </c>
      <c r="Y286" s="9" t="n">
        <v>350</v>
      </c>
      <c r="Z286" s="9" t="n">
        <f aca="false">U286-X286</f>
        <v>102.68</v>
      </c>
      <c r="AA286" s="10" t="n">
        <f aca="false">IFERROR((U286-X286)/X286,"")</f>
        <v>0.892869565217391</v>
      </c>
      <c r="AB286" s="8" t="str">
        <f aca="false">IF(ISNUMBER(AA286),IF(ABS(AA286)&gt;Assumptions!$B$19,"REVIEW",""),"")</f>
        <v>REVIEW</v>
      </c>
    </row>
    <row r="287" customFormat="false" ht="15" hidden="false" customHeight="false" outlineLevel="0" collapsed="false">
      <c r="A287" s="8" t="s">
        <v>345</v>
      </c>
      <c r="B287" s="8"/>
      <c r="C287" s="9" t="n">
        <v>20</v>
      </c>
      <c r="D287" s="9" t="n">
        <v>55</v>
      </c>
      <c r="E287" s="9" t="n">
        <v>120</v>
      </c>
      <c r="F287" s="9" t="n">
        <v>6</v>
      </c>
      <c r="G287" s="9" t="n">
        <v>3</v>
      </c>
      <c r="H287" s="9" t="n">
        <v>3.5</v>
      </c>
      <c r="I287" s="9" t="n">
        <v>0.5</v>
      </c>
      <c r="J287" s="9" t="n">
        <v>2</v>
      </c>
      <c r="K287" s="9" t="n">
        <f aca="false">C287+3*Assumptions!$B$4*F287+Assumptions!$B$7*G287+H287+I287</f>
        <v>45</v>
      </c>
      <c r="L287" s="9" t="n">
        <f aca="false">D287+3*Assumptions!$B$5*F287+Assumptions!$B$8*G287+H287+I287</f>
        <v>97.4</v>
      </c>
      <c r="M287" s="9" t="n">
        <f aca="false">E287+3*Assumptions!$B$6*F287+Assumptions!$B$9*G287+H287+I287</f>
        <v>199</v>
      </c>
      <c r="N287" s="9" t="n">
        <f aca="false">IF(AND(Assumptions!$B$17,ISNUMBER(J287)),Assumptions!$B$10*Assumptions!$B$13*J287,0)</f>
        <v>3</v>
      </c>
      <c r="O287" s="9" t="n">
        <f aca="false">IF(AND(Assumptions!$B$17,ISNUMBER(J287)),Assumptions!$B$11*Assumptions!$B$13*J287,0)</f>
        <v>6</v>
      </c>
      <c r="P287" s="9" t="n">
        <f aca="false">IF(AND(Assumptions!$B$17,ISNUMBER(J287)),Assumptions!$B$12*Assumptions!$B$13*J287,0)</f>
        <v>9</v>
      </c>
      <c r="Q287" s="9" t="n">
        <f aca="false">IF(Assumptions!$B$18,Assumptions!$B$14*K287,0)</f>
        <v>4.5</v>
      </c>
      <c r="R287" s="9" t="n">
        <f aca="false">IF(Assumptions!$B$18,Assumptions!$B$15*L287,0)</f>
        <v>19.48</v>
      </c>
      <c r="S287" s="9" t="n">
        <f aca="false">IF(Assumptions!$B$18,Assumptions!$B$16*M287,0)</f>
        <v>69.65</v>
      </c>
      <c r="T287" s="9" t="n">
        <f aca="false">K287+N287+Q287</f>
        <v>52.5</v>
      </c>
      <c r="U287" s="9" t="n">
        <f aca="false">L287+O287+R287</f>
        <v>122.88</v>
      </c>
      <c r="V287" s="9" t="n">
        <f aca="false">M287+P287+S287</f>
        <v>277.65</v>
      </c>
      <c r="W287" s="9" t="n">
        <v>30</v>
      </c>
      <c r="X287" s="9" t="n">
        <v>70</v>
      </c>
      <c r="Y287" s="9" t="n">
        <v>220</v>
      </c>
      <c r="Z287" s="9" t="n">
        <f aca="false">U287-X287</f>
        <v>52.88</v>
      </c>
      <c r="AA287" s="10" t="n">
        <f aca="false">IFERROR((U287-X287)/X287,"")</f>
        <v>0.755428571428572</v>
      </c>
      <c r="AB287" s="8" t="str">
        <f aca="false">IF(ISNUMBER(AA287),IF(ABS(AA287)&gt;Assumptions!$B$19,"REVIEW",""),"")</f>
        <v>REVIEW</v>
      </c>
    </row>
    <row r="288" customFormat="false" ht="15" hidden="false" customHeight="false" outlineLevel="0" collapsed="false">
      <c r="A288" s="8" t="s">
        <v>346</v>
      </c>
      <c r="B288" s="8"/>
      <c r="C288" s="9" t="n">
        <v>35</v>
      </c>
      <c r="D288" s="9" t="n">
        <v>70</v>
      </c>
      <c r="E288" s="9" t="n">
        <v>160</v>
      </c>
      <c r="F288" s="9" t="n">
        <v>15</v>
      </c>
      <c r="G288" s="9" t="n">
        <v>10</v>
      </c>
      <c r="H288" s="9" t="n">
        <v>3.5</v>
      </c>
      <c r="I288" s="9" t="n">
        <v>0.5</v>
      </c>
      <c r="J288" s="9" t="n">
        <v>1.5</v>
      </c>
      <c r="K288" s="9" t="n">
        <f aca="false">C288+3*Assumptions!$B$4*F288+Assumptions!$B$7*G288+H288+I288</f>
        <v>94</v>
      </c>
      <c r="L288" s="9" t="n">
        <f aca="false">D288+3*Assumptions!$B$5*F288+Assumptions!$B$8*G288+H288+I288</f>
        <v>175</v>
      </c>
      <c r="M288" s="9" t="n">
        <f aca="false">E288+3*Assumptions!$B$6*F288+Assumptions!$B$9*G288+H288+I288</f>
        <v>361.5</v>
      </c>
      <c r="N288" s="9" t="n">
        <f aca="false">IF(AND(Assumptions!$B$17,ISNUMBER(J288)),Assumptions!$B$10*Assumptions!$B$13*J288,0)</f>
        <v>2.25</v>
      </c>
      <c r="O288" s="9" t="n">
        <f aca="false">IF(AND(Assumptions!$B$17,ISNUMBER(J288)),Assumptions!$B$11*Assumptions!$B$13*J288,0)</f>
        <v>4.5</v>
      </c>
      <c r="P288" s="9" t="n">
        <f aca="false">IF(AND(Assumptions!$B$17,ISNUMBER(J288)),Assumptions!$B$12*Assumptions!$B$13*J288,0)</f>
        <v>6.75</v>
      </c>
      <c r="Q288" s="9" t="n">
        <f aca="false">IF(Assumptions!$B$18,Assumptions!$B$14*K288,0)</f>
        <v>9.4</v>
      </c>
      <c r="R288" s="9" t="n">
        <f aca="false">IF(Assumptions!$B$18,Assumptions!$B$15*L288,0)</f>
        <v>35</v>
      </c>
      <c r="S288" s="9" t="n">
        <f aca="false">IF(Assumptions!$B$18,Assumptions!$B$16*M288,0)</f>
        <v>126.525</v>
      </c>
      <c r="T288" s="9" t="n">
        <f aca="false">K288+N288+Q288</f>
        <v>105.65</v>
      </c>
      <c r="U288" s="9" t="n">
        <f aca="false">L288+O288+R288</f>
        <v>214.5</v>
      </c>
      <c r="V288" s="9" t="n">
        <f aca="false">M288+P288+S288</f>
        <v>494.775</v>
      </c>
      <c r="W288" s="9" t="n">
        <v>45</v>
      </c>
      <c r="X288" s="9" t="n">
        <v>110</v>
      </c>
      <c r="Y288" s="9" t="n">
        <v>320</v>
      </c>
      <c r="Z288" s="9" t="n">
        <f aca="false">U288-X288</f>
        <v>104.5</v>
      </c>
      <c r="AA288" s="10" t="n">
        <f aca="false">IFERROR((U288-X288)/X288,"")</f>
        <v>0.95</v>
      </c>
      <c r="AB288" s="8" t="str">
        <f aca="false">IF(ISNUMBER(AA288),IF(ABS(AA288)&gt;Assumptions!$B$19,"REVIEW",""),"")</f>
        <v>REVIEW</v>
      </c>
    </row>
    <row r="289" customFormat="false" ht="15" hidden="false" customHeight="false" outlineLevel="0" collapsed="false">
      <c r="A289" s="8" t="s">
        <v>347</v>
      </c>
      <c r="B289" s="8"/>
      <c r="C289" s="9" t="n">
        <v>140</v>
      </c>
      <c r="D289" s="9" t="n">
        <v>250</v>
      </c>
      <c r="E289" s="9" t="n">
        <v>550</v>
      </c>
      <c r="F289" s="9" t="n">
        <v>40</v>
      </c>
      <c r="G289" s="9" t="n">
        <v>40</v>
      </c>
      <c r="H289" s="9" t="n">
        <v>5</v>
      </c>
      <c r="I289" s="9" t="n">
        <v>4</v>
      </c>
      <c r="J289" s="9" t="n">
        <v>7.5</v>
      </c>
      <c r="K289" s="9" t="n">
        <f aca="false">C289+3*Assumptions!$B$4*F289+Assumptions!$B$7*G289+H289+I289</f>
        <v>309</v>
      </c>
      <c r="L289" s="9" t="n">
        <f aca="false">D289+3*Assumptions!$B$5*F289+Assumptions!$B$8*G289+H289+I289</f>
        <v>555</v>
      </c>
      <c r="M289" s="9" t="n">
        <f aca="false">E289+3*Assumptions!$B$6*F289+Assumptions!$B$9*G289+H289+I289</f>
        <v>1139</v>
      </c>
      <c r="N289" s="9" t="n">
        <f aca="false">IF(AND(Assumptions!$B$17,ISNUMBER(J289)),Assumptions!$B$10*Assumptions!$B$13*J289,0)</f>
        <v>11.25</v>
      </c>
      <c r="O289" s="9" t="n">
        <f aca="false">IF(AND(Assumptions!$B$17,ISNUMBER(J289)),Assumptions!$B$11*Assumptions!$B$13*J289,0)</f>
        <v>22.5</v>
      </c>
      <c r="P289" s="9" t="n">
        <f aca="false">IF(AND(Assumptions!$B$17,ISNUMBER(J289)),Assumptions!$B$12*Assumptions!$B$13*J289,0)</f>
        <v>33.75</v>
      </c>
      <c r="Q289" s="9" t="n">
        <f aca="false">IF(Assumptions!$B$18,Assumptions!$B$14*K289,0)</f>
        <v>30.9</v>
      </c>
      <c r="R289" s="9" t="n">
        <f aca="false">IF(Assumptions!$B$18,Assumptions!$B$15*L289,0)</f>
        <v>111</v>
      </c>
      <c r="S289" s="9" t="n">
        <f aca="false">IF(Assumptions!$B$18,Assumptions!$B$16*M289,0)</f>
        <v>398.65</v>
      </c>
      <c r="T289" s="9" t="n">
        <f aca="false">K289+N289+Q289</f>
        <v>351.15</v>
      </c>
      <c r="U289" s="9" t="n">
        <f aca="false">L289+O289+R289</f>
        <v>688.5</v>
      </c>
      <c r="V289" s="9" t="n">
        <f aca="false">M289+P289+S289</f>
        <v>1571.4</v>
      </c>
      <c r="W289" s="9" t="n">
        <v>130</v>
      </c>
      <c r="X289" s="9" t="n">
        <v>300</v>
      </c>
      <c r="Y289" s="9" t="n">
        <v>850</v>
      </c>
      <c r="Z289" s="9" t="n">
        <f aca="false">U289-X289</f>
        <v>388.5</v>
      </c>
      <c r="AA289" s="10" t="n">
        <f aca="false">IFERROR((U289-X289)/X289,"")</f>
        <v>1.295</v>
      </c>
      <c r="AB289" s="8" t="str">
        <f aca="false">IF(ISNUMBER(AA289),IF(ABS(AA289)&gt;Assumptions!$B$19,"REVIEW",""),"")</f>
        <v>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2026-07-20T22:58:23Z</dcterms:created>
  <dc:creator>openpyxl</dc:creator>
  <dc:description/>
  <dc:language>en-US</dc:language>
  <cp:lastModifiedBy/>
  <dcterms:modified xsi:type="dcterms:W3CDTF">2026-07-20T22:58:23Z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