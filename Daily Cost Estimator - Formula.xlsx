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City Data" sheetId="3" state="visible" r:id="rId5"/>
    <sheet name="Compute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<sst xmlns="http://schemas.openxmlformats.org/spreadsheetml/2006/main" count="422" uniqueCount="399">
  <si>
    <t xml:space="preserve">Aggregate daily-cost formula — how this workbook works</t>
  </si>
  <si>
    <t xml:space="preserve">Goal: produce a Budget / Mid-range / Luxury daily-cost figure per city, built from data already on the</t>
  </si>
  <si>
    <t xml:space="preserve">Never Roam Alone site (the same numbers behind each city's cost cards), instead of a hand-typed guess.</t>
  </si>
  <si>
    <t xml:space="preserve">Formula (per person, per day):</t>
  </si>
  <si>
    <t xml:space="preserve">  Total = Accommodation (per person) + Meals + Local transport + Baseline drinks</t>
  </si>
  <si>
    <t xml:space="preserve">          + Alcohol (optional toggle) + Activities/tours (optional toggle)</t>
  </si>
  <si>
    <t xml:space="preserve">Where each piece comes from:</t>
  </si>
  <si>
    <t xml:space="preserve">  Accommodation  — the site's own 3-tier hotel prices (budget/mid/luxury nightly rate), divided by the</t>
  </si>
  <si>
    <t xml:space="preserve">                   'people sharing a room' assumption (2 by default) to get a per-person figure — a</t>
  </si>
  <si>
    <t xml:space="preserve">                   solo traveler paying for a whole room alone should double this back up.</t>
  </si>
  <si>
    <t xml:space="preserve">  Meals          — site's 'inexpensive meal' price x meals/day x a tier multiplier (cheap meals for Budget,</t>
  </si>
  <si>
    <t xml:space="preserve">                   a mix of casual + nicer restaurants for Mid, mostly fine dining for Luxury).</t>
  </si>
  <si>
    <t xml:space="preserve">  Local transport— site's short taxi-ride price x an assumed number of rides/day per tier.</t>
  </si>
  <si>
    <t xml:space="preserve">  Baseline drinks— 1 coffee + 1 bottle of water/day, always included (matches the site's Drinks cost card).</t>
  </si>
  <si>
    <t xml:space="preserve">  Alcohol        — OPTIONAL, toggle in the Assumptions tab. Adds N alcoholic drinks/day x the site's beer</t>
  </si>
  <si>
    <t xml:space="preserve">                   price. Skipped automatically for cities where alcohol is restricted or not allowed.</t>
  </si>
  <si>
    <t xml:space="preserve">  Activities/tours — OPTIONAL, toggle in the Assumptions tab. Adds a % of the core subtotal (accommodation</t>
  </si>
  <si>
    <t xml:space="preserve">                   + meals + transport), on the idea that sightseeing/tours scale with how much a trip</t>
  </si>
  <si>
    <t xml:space="preserve">                   already costs. There's no real per-city activities data on the site yet, so this is the</t>
  </si>
  <si>
    <t xml:space="preserve">                   least-certain piece of the formula — treat it as a placeholder assumption, not a fact.</t>
  </si>
  <si>
    <t xml:space="preserve">Every multiplier and toggle lives on the 'Assumptions' tab (yellow cells) — change any of them and the</t>
  </si>
  <si>
    <t xml:space="preserve">whole 'Computed' tab recalculates. Nothing here is hardcoded into a formula.</t>
  </si>
  <si>
    <t xml:space="preserve">Sanity check: for a handful of well-known cities (London, Paris, Tokyo, Bangkok), this formula's Mid</t>
  </si>
  <si>
    <t xml:space="preserve">figure was checked against live third-party trip-cost estimates (BudgetYourTrip.com, July 2026) and</t>
  </si>
  <si>
    <t xml:space="preserve">lands in the same ballpark once the room-sharing assumption is applied. It will not be exact — it is</t>
  </si>
  <si>
    <t xml:space="preserve">a same-page-data approximation, not a live pricing feed.</t>
  </si>
  <si>
    <t xml:space="preserve">'City Data' tab: the raw inputs, pulled directly out of city.html (CITY_COST, CITY_HOTEL, CITY_DRINKS)</t>
  </si>
  <si>
    <t xml:space="preserve">plus the current 'Cost snapshot' figures already live on each city page (CITY_DAILY), for comparison.</t>
  </si>
  <si>
    <t xml:space="preserve">'Computed' tab: the new formula-based total per city/tier, next to the current site figure, with a</t>
  </si>
  <si>
    <t xml:space="preserve">difference and a REVIEW flag for any city where the new number is more than the threshold % away from</t>
  </si>
  <si>
    <t xml:space="preserve">what's currently live (threshold is also an editable assumption).</t>
  </si>
  <si>
    <t xml:space="preserve">What this is NOT: an external cost-of-living lookup. All of it is derived from data already inside</t>
  </si>
  <si>
    <t xml:space="preserve">city.html, plus the assumptions listed above — it doesn't call Numbeo or any live pricing source.</t>
  </si>
  <si>
    <t xml:space="preserve">Assumption</t>
  </si>
  <si>
    <t xml:space="preserve">Value</t>
  </si>
  <si>
    <t xml:space="preserve">Notes</t>
  </si>
  <si>
    <t xml:space="preserve">People sharing a hotel room</t>
  </si>
  <si>
    <t xml:space="preserve">Accommodation is divided by this number to get a per-person nightly cost. Set to 1 if you want solo-traveler (whole room) pricing instead.</t>
  </si>
  <si>
    <t xml:space="preserve">Meals per day</t>
  </si>
  <si>
    <t xml:space="preserve">Standard 3 meals/day for every tier.</t>
  </si>
  <si>
    <t xml:space="preserve">Meal cost multiplier — Budget</t>
  </si>
  <si>
    <t xml:space="preserve">Budget traveler sticks to the site's 'inexpensive meal' price as-is.</t>
  </si>
  <si>
    <t xml:space="preserve">Meal cost multiplier — Mid</t>
  </si>
  <si>
    <t xml:space="preserve">Mid-range traveler mixes casual spots with a nicer restaurant meal.</t>
  </si>
  <si>
    <t xml:space="preserve">Meal cost multiplier — Luxury</t>
  </si>
  <si>
    <t xml:space="preserve">Luxury traveler eats mostly at higher-end restaurants.</t>
  </si>
  <si>
    <t xml:space="preserve">Taxi/rideshare trips per day — Budget</t>
  </si>
  <si>
    <t xml:space="preserve">Budget traveler takes one short paid ride/day (walks or uses transit otherwise).</t>
  </si>
  <si>
    <t xml:space="preserve">Taxi/rideshare trips per day — Mid</t>
  </si>
  <si>
    <t xml:space="preserve">Mid-range traveler takes two rides/day.</t>
  </si>
  <si>
    <t xml:space="preserve">Taxi/rideshare trips per day — Luxury</t>
  </si>
  <si>
    <t xml:space="preserve">Luxury traveler relies on taxis/private transport more often.</t>
  </si>
  <si>
    <t xml:space="preserve">Alcoholic drinks per day — Budget</t>
  </si>
  <si>
    <t xml:space="preserve">Only applied if 'Include alcoholic beverages?' below is TRUE.</t>
  </si>
  <si>
    <t xml:space="preserve">Alcoholic drinks per day — Mid</t>
  </si>
  <si>
    <t xml:space="preserve">Alcoholic drinks per day — Luxury</t>
  </si>
  <si>
    <t xml:space="preserve">Include alcoholic beverages?</t>
  </si>
  <si>
    <t xml:space="preserve">Global toggle — matches the 'Include alcoholic beverages' checkbox on the live Daily Cost Estimator card. Automatically skipped for cities where alcohol is restricted/not allowed regardless of this toggle.</t>
  </si>
  <si>
    <t xml:space="preserve">Include activities/tours?</t>
  </si>
  <si>
    <t xml:space="preserve">Global toggle — matches the 'Include activities/tours' checkbox on the live Daily Cost Estimator card.</t>
  </si>
  <si>
    <t xml:space="preserve">Activities as % of core cost — Budget</t>
  </si>
  <si>
    <t xml:space="preserve">Core cost = accommodation + meals + transport + baseline drinks. No real per-city activities data exists yet, so this is a placeholder assumption.</t>
  </si>
  <si>
    <t xml:space="preserve">Activities as % of core cost — Mid</t>
  </si>
  <si>
    <t xml:space="preserve">Placeholder assumption — adjust freely.</t>
  </si>
  <si>
    <t xml:space="preserve">Activities as % of core cost — Luxury</t>
  </si>
  <si>
    <t xml:space="preserve">Review-flag threshold (% diff from current site figure)</t>
  </si>
  <si>
    <t xml:space="preserve">Any tier more than this % away from the live site number gets flagged REVIEW on the Computed tab.</t>
  </si>
  <si>
    <t xml:space="preserve">City</t>
  </si>
  <si>
    <t xml:space="preserve">Hotel Budget ($/night)</t>
  </si>
  <si>
    <t xml:space="preserve">Hotel Mid ($/night)</t>
  </si>
  <si>
    <t xml:space="preserve">Hotel Luxury ($/night)</t>
  </si>
  <si>
    <t xml:space="preserve">Meal Price ($, inexpensive meal)</t>
  </si>
  <si>
    <t xml:space="preserve">Taxi Price ($, short ride)</t>
  </si>
  <si>
    <t xml:space="preserve">Coffee Price ($)</t>
  </si>
  <si>
    <t xml:space="preserve">Water Price ($)</t>
  </si>
  <si>
    <t xml:space="preserve">Beer Price ($, blank = not sold)</t>
  </si>
  <si>
    <t xml:space="preserve">Alcohol Status (if not sold)</t>
  </si>
  <si>
    <t xml:space="preserve">Current Site Budget ($/day)</t>
  </si>
  <si>
    <t xml:space="preserve">Current Site Mid ($/day)</t>
  </si>
  <si>
    <t xml:space="preserve">Current Site High ($/day)</t>
  </si>
  <si>
    <t xml:space="preserve">Abidjan</t>
  </si>
  <si>
    <t xml:space="preserve">Abu Dhabi</t>
  </si>
  <si>
    <t xml:space="preserve">restricted</t>
  </si>
  <si>
    <t xml:space="preserve">Accra</t>
  </si>
  <si>
    <t xml:space="preserve">Addis Ababa</t>
  </si>
  <si>
    <t xml:space="preserve">Ahmedabad</t>
  </si>
  <si>
    <t xml:space="preserve">Alexandria</t>
  </si>
  <si>
    <t xml:space="preserve">Algiers</t>
  </si>
  <si>
    <t xml:space="preserve">Almaty</t>
  </si>
  <si>
    <t xml:space="preserve">Amman</t>
  </si>
  <si>
    <t xml:space="preserve">Amsterdam</t>
  </si>
  <si>
    <t xml:space="preserve">Andorra la Vella</t>
  </si>
  <si>
    <t xml:space="preserve">Ankara</t>
  </si>
  <si>
    <t xml:space="preserve">Antalya</t>
  </si>
  <si>
    <t xml:space="preserve">Antananarivo</t>
  </si>
  <si>
    <t xml:space="preserve">Apia</t>
  </si>
  <si>
    <t xml:space="preserve">Ashgabat</t>
  </si>
  <si>
    <t xml:space="preserve">Asmara</t>
  </si>
  <si>
    <t xml:space="preserve">Asunción</t>
  </si>
  <si>
    <t xml:space="preserve">Athens</t>
  </si>
  <si>
    <t xml:space="preserve">Auckland</t>
  </si>
  <si>
    <t xml:space="preserve">Baghdad</t>
  </si>
  <si>
    <t xml:space="preserve">Baku</t>
  </si>
  <si>
    <t xml:space="preserve">Bamako</t>
  </si>
  <si>
    <t xml:space="preserve">Bandar Seri Begawan</t>
  </si>
  <si>
    <t xml:space="preserve">Bangkok</t>
  </si>
  <si>
    <t xml:space="preserve">Bangui</t>
  </si>
  <si>
    <t xml:space="preserve">Banjul</t>
  </si>
  <si>
    <t xml:space="preserve">Barcelona</t>
  </si>
  <si>
    <t xml:space="preserve">Basseterre</t>
  </si>
  <si>
    <t xml:space="preserve">Beijing</t>
  </si>
  <si>
    <t xml:space="preserve">Beirut</t>
  </si>
  <si>
    <t xml:space="preserve">Belgrade</t>
  </si>
  <si>
    <t xml:space="preserve">Belize City</t>
  </si>
  <si>
    <t xml:space="preserve">Bengaluru</t>
  </si>
  <si>
    <t xml:space="preserve">Berlin</t>
  </si>
  <si>
    <t xml:space="preserve">Bishkek</t>
  </si>
  <si>
    <t xml:space="preserve">Bissau</t>
  </si>
  <si>
    <t xml:space="preserve">Bogotá</t>
  </si>
  <si>
    <t xml:space="preserve">Bologna</t>
  </si>
  <si>
    <t xml:space="preserve">Bratislava</t>
  </si>
  <si>
    <t xml:space="preserve">Brazzaville</t>
  </si>
  <si>
    <t xml:space="preserve">Bridgetown</t>
  </si>
  <si>
    <t xml:space="preserve">Brussels</t>
  </si>
  <si>
    <t xml:space="preserve">Bucharest</t>
  </si>
  <si>
    <t xml:space="preserve">Budapest</t>
  </si>
  <si>
    <t xml:space="preserve">Buenos Aires</t>
  </si>
  <si>
    <t xml:space="preserve">Bujumbura</t>
  </si>
  <si>
    <t xml:space="preserve">Busan</t>
  </si>
  <si>
    <t xml:space="preserve">Cairo</t>
  </si>
  <si>
    <t xml:space="preserve">Cancún</t>
  </si>
  <si>
    <t xml:space="preserve">Cape Town</t>
  </si>
  <si>
    <t xml:space="preserve">Caracas</t>
  </si>
  <si>
    <t xml:space="preserve">Castries</t>
  </si>
  <si>
    <t xml:space="preserve">Changchun</t>
  </si>
  <si>
    <t xml:space="preserve">Chengdu</t>
  </si>
  <si>
    <t xml:space="preserve">Chennai</t>
  </si>
  <si>
    <t xml:space="preserve">Chittagong</t>
  </si>
  <si>
    <t xml:space="preserve">Chișinău</t>
  </si>
  <si>
    <t xml:space="preserve">Chongqing</t>
  </si>
  <si>
    <t xml:space="preserve">Colombo</t>
  </si>
  <si>
    <t xml:space="preserve">Conakry</t>
  </si>
  <si>
    <t xml:space="preserve">Copenhagen</t>
  </si>
  <si>
    <t xml:space="preserve">Cotonou</t>
  </si>
  <si>
    <t xml:space="preserve">Dakar</t>
  </si>
  <si>
    <t xml:space="preserve">Dalian</t>
  </si>
  <si>
    <t xml:space="preserve">Damascus</t>
  </si>
  <si>
    <t xml:space="preserve">Delhi</t>
  </si>
  <si>
    <t xml:space="preserve">Denpasar</t>
  </si>
  <si>
    <t xml:space="preserve">Dhaka</t>
  </si>
  <si>
    <t xml:space="preserve">Dili</t>
  </si>
  <si>
    <t xml:space="preserve">Djibouti City</t>
  </si>
  <si>
    <t xml:space="preserve">Doha</t>
  </si>
  <si>
    <t xml:space="preserve">Dongguan</t>
  </si>
  <si>
    <t xml:space="preserve">Douala</t>
  </si>
  <si>
    <t xml:space="preserve">Dubai</t>
  </si>
  <si>
    <t xml:space="preserve">Dublin</t>
  </si>
  <si>
    <t xml:space="preserve">Dubrovnik</t>
  </si>
  <si>
    <t xml:space="preserve">Dushanbe</t>
  </si>
  <si>
    <t xml:space="preserve">Edinburgh</t>
  </si>
  <si>
    <t xml:space="preserve">Florence</t>
  </si>
  <si>
    <t xml:space="preserve">Foshan</t>
  </si>
  <si>
    <t xml:space="preserve">Frankfurt am Main</t>
  </si>
  <si>
    <t xml:space="preserve">Freetown</t>
  </si>
  <si>
    <t xml:space="preserve">Fukuoka</t>
  </si>
  <si>
    <t xml:space="preserve">Funafuti</t>
  </si>
  <si>
    <t xml:space="preserve">Gaborone</t>
  </si>
  <si>
    <t xml:space="preserve">Georgetown</t>
  </si>
  <si>
    <t xml:space="preserve">Guangzhou</t>
  </si>
  <si>
    <t xml:space="preserve">Guatemala City</t>
  </si>
  <si>
    <t xml:space="preserve">Hangzhou</t>
  </si>
  <si>
    <t xml:space="preserve">Hanoi</t>
  </si>
  <si>
    <t xml:space="preserve">Harbin</t>
  </si>
  <si>
    <t xml:space="preserve">Havana</t>
  </si>
  <si>
    <t xml:space="preserve">Helsinki</t>
  </si>
  <si>
    <t xml:space="preserve">Heraklion</t>
  </si>
  <si>
    <t xml:space="preserve">Ho Chi Minh City</t>
  </si>
  <si>
    <t xml:space="preserve">Hong Kong</t>
  </si>
  <si>
    <t xml:space="preserve">Honiara</t>
  </si>
  <si>
    <t xml:space="preserve">Honolulu</t>
  </si>
  <si>
    <t xml:space="preserve">Hyderabad</t>
  </si>
  <si>
    <t xml:space="preserve">Ibadan</t>
  </si>
  <si>
    <t xml:space="preserve">Ibiza</t>
  </si>
  <si>
    <t xml:space="preserve">Istanbul</t>
  </si>
  <si>
    <t xml:space="preserve">Jakarta</t>
  </si>
  <si>
    <t xml:space="preserve">Jeddah</t>
  </si>
  <si>
    <t xml:space="preserve">notallowed</t>
  </si>
  <si>
    <t xml:space="preserve">Jerusalem</t>
  </si>
  <si>
    <t xml:space="preserve">Jinan</t>
  </si>
  <si>
    <t xml:space="preserve">Johor Bahru</t>
  </si>
  <si>
    <t xml:space="preserve">Juba</t>
  </si>
  <si>
    <t xml:space="preserve">Kabul</t>
  </si>
  <si>
    <t xml:space="preserve">Kampala</t>
  </si>
  <si>
    <t xml:space="preserve">Kano</t>
  </si>
  <si>
    <t xml:space="preserve">Karachi</t>
  </si>
  <si>
    <t xml:space="preserve">Kathmandu</t>
  </si>
  <si>
    <t xml:space="preserve">Khartoum</t>
  </si>
  <si>
    <t xml:space="preserve">Kigali</t>
  </si>
  <si>
    <t xml:space="preserve">Kingstown</t>
  </si>
  <si>
    <t xml:space="preserve">Kinshasa</t>
  </si>
  <si>
    <t xml:space="preserve">Kolkata</t>
  </si>
  <si>
    <t xml:space="preserve">Koror</t>
  </si>
  <si>
    <t xml:space="preserve">Kotor</t>
  </si>
  <si>
    <t xml:space="preserve">Kraków</t>
  </si>
  <si>
    <t xml:space="preserve">Kuala Lumpur</t>
  </si>
  <si>
    <t xml:space="preserve">Kunming</t>
  </si>
  <si>
    <t xml:space="preserve">Kuwait City</t>
  </si>
  <si>
    <t xml:space="preserve">Kyiv</t>
  </si>
  <si>
    <t xml:space="preserve">Kyoto</t>
  </si>
  <si>
    <t xml:space="preserve">La Paz</t>
  </si>
  <si>
    <t xml:space="preserve">Lagos</t>
  </si>
  <si>
    <t xml:space="preserve">Lahore</t>
  </si>
  <si>
    <t xml:space="preserve">Las Vegas</t>
  </si>
  <si>
    <t xml:space="preserve">Libreville</t>
  </si>
  <si>
    <t xml:space="preserve">Lilongwe</t>
  </si>
  <si>
    <t xml:space="preserve">Lima</t>
  </si>
  <si>
    <t xml:space="preserve">Lisbon</t>
  </si>
  <si>
    <t xml:space="preserve">Ljubljana</t>
  </si>
  <si>
    <t xml:space="preserve">Lomé</t>
  </si>
  <si>
    <t xml:space="preserve">London</t>
  </si>
  <si>
    <t xml:space="preserve">Los Angeles</t>
  </si>
  <si>
    <t xml:space="preserve">Luanda</t>
  </si>
  <si>
    <t xml:space="preserve">Lusaka</t>
  </si>
  <si>
    <t xml:space="preserve">Luxembourg City</t>
  </si>
  <si>
    <t xml:space="preserve">Macau</t>
  </si>
  <si>
    <t xml:space="preserve">Madrid</t>
  </si>
  <si>
    <t xml:space="preserve">Majuro</t>
  </si>
  <si>
    <t xml:space="preserve">Malabo</t>
  </si>
  <si>
    <t xml:space="preserve">Malé</t>
  </si>
  <si>
    <t xml:space="preserve">Managua</t>
  </si>
  <si>
    <t xml:space="preserve">Manama</t>
  </si>
  <si>
    <t xml:space="preserve">Manila</t>
  </si>
  <si>
    <t xml:space="preserve">Maputo</t>
  </si>
  <si>
    <t xml:space="preserve">Marne-la-Vallée</t>
  </si>
  <si>
    <t xml:space="preserve">Marrakech</t>
  </si>
  <si>
    <t xml:space="preserve">Maseru</t>
  </si>
  <si>
    <t xml:space="preserve">Mbabane</t>
  </si>
  <si>
    <t xml:space="preserve">Mecca</t>
  </si>
  <si>
    <t xml:space="preserve">Medina</t>
  </si>
  <si>
    <t xml:space="preserve">Melbourne</t>
  </si>
  <si>
    <t xml:space="preserve">Mexico City</t>
  </si>
  <si>
    <t xml:space="preserve">Miami</t>
  </si>
  <si>
    <t xml:space="preserve">Milan</t>
  </si>
  <si>
    <t xml:space="preserve">Minsk</t>
  </si>
  <si>
    <t xml:space="preserve">Mogadishu</t>
  </si>
  <si>
    <t xml:space="preserve">Monaco</t>
  </si>
  <si>
    <t xml:space="preserve">Monrovia</t>
  </si>
  <si>
    <t xml:space="preserve">Montego Bay</t>
  </si>
  <si>
    <t xml:space="preserve">Montevideo</t>
  </si>
  <si>
    <t xml:space="preserve">Montreal</t>
  </si>
  <si>
    <t xml:space="preserve">Moroni</t>
  </si>
  <si>
    <t xml:space="preserve">Moscow</t>
  </si>
  <si>
    <t xml:space="preserve">Mumbai</t>
  </si>
  <si>
    <t xml:space="preserve">Munich</t>
  </si>
  <si>
    <t xml:space="preserve">Muscat</t>
  </si>
  <si>
    <t xml:space="preserve">N'Djamena</t>
  </si>
  <si>
    <t xml:space="preserve">Nadi</t>
  </si>
  <si>
    <t xml:space="preserve">Nairobi</t>
  </si>
  <si>
    <t xml:space="preserve">Nanchong</t>
  </si>
  <si>
    <t xml:space="preserve">Nanjing</t>
  </si>
  <si>
    <t xml:space="preserve">Nassau</t>
  </si>
  <si>
    <t xml:space="preserve">New York</t>
  </si>
  <si>
    <t xml:space="preserve">Niamey</t>
  </si>
  <si>
    <t xml:space="preserve">Nice</t>
  </si>
  <si>
    <t xml:space="preserve">Nicosia</t>
  </si>
  <si>
    <t xml:space="preserve">Ningbo</t>
  </si>
  <si>
    <t xml:space="preserve">Nouakchott</t>
  </si>
  <si>
    <t xml:space="preserve">Nuku'alofa</t>
  </si>
  <si>
    <t xml:space="preserve">Orlando</t>
  </si>
  <si>
    <t xml:space="preserve">Osaka</t>
  </si>
  <si>
    <t xml:space="preserve">Oslo</t>
  </si>
  <si>
    <t xml:space="preserve">Ouagadougou</t>
  </si>
  <si>
    <t xml:space="preserve">Palma de Mallorca</t>
  </si>
  <si>
    <t xml:space="preserve">Panama City</t>
  </si>
  <si>
    <t xml:space="preserve">Paramaribo</t>
  </si>
  <si>
    <t xml:space="preserve">Paris</t>
  </si>
  <si>
    <t xml:space="preserve">Pattaya-Chonburi</t>
  </si>
  <si>
    <t xml:space="preserve">Phuket</t>
  </si>
  <si>
    <t xml:space="preserve">Port Louis</t>
  </si>
  <si>
    <t xml:space="preserve">Port Moresby</t>
  </si>
  <si>
    <t xml:space="preserve">Port Vila</t>
  </si>
  <si>
    <t xml:space="preserve">Port of Spain</t>
  </si>
  <si>
    <t xml:space="preserve">Port-au-Prince</t>
  </si>
  <si>
    <t xml:space="preserve">Porto</t>
  </si>
  <si>
    <t xml:space="preserve">Prague</t>
  </si>
  <si>
    <t xml:space="preserve">Praia</t>
  </si>
  <si>
    <t xml:space="preserve">Punta Cana</t>
  </si>
  <si>
    <t xml:space="preserve">Pyongyang</t>
  </si>
  <si>
    <t xml:space="preserve">Qingdao</t>
  </si>
  <si>
    <t xml:space="preserve">Quito</t>
  </si>
  <si>
    <t xml:space="preserve">Reykjavík</t>
  </si>
  <si>
    <t xml:space="preserve">Rhodes</t>
  </si>
  <si>
    <t xml:space="preserve">Riga</t>
  </si>
  <si>
    <t xml:space="preserve">Rio de Janeiro</t>
  </si>
  <si>
    <t xml:space="preserve">Riyadh</t>
  </si>
  <si>
    <t xml:space="preserve">Rome</t>
  </si>
  <si>
    <t xml:space="preserve">Roseau</t>
  </si>
  <si>
    <t xml:space="preserve">Saint Petersburg</t>
  </si>
  <si>
    <t xml:space="preserve">San Francisco</t>
  </si>
  <si>
    <t xml:space="preserve">San José</t>
  </si>
  <si>
    <t xml:space="preserve">San Marino</t>
  </si>
  <si>
    <t xml:space="preserve">San Salvador</t>
  </si>
  <si>
    <t xml:space="preserve">Sana'a</t>
  </si>
  <si>
    <t xml:space="preserve">Santiago</t>
  </si>
  <si>
    <t xml:space="preserve">Sapporo</t>
  </si>
  <si>
    <t xml:space="preserve">Sarajevo</t>
  </si>
  <si>
    <t xml:space="preserve">Seoul</t>
  </si>
  <si>
    <t xml:space="preserve">Seville</t>
  </si>
  <si>
    <t xml:space="preserve">Shanghai</t>
  </si>
  <si>
    <t xml:space="preserve">Shantou</t>
  </si>
  <si>
    <t xml:space="preserve">Sharjah</t>
  </si>
  <si>
    <t xml:space="preserve">Shenyang</t>
  </si>
  <si>
    <t xml:space="preserve">Shenzhen</t>
  </si>
  <si>
    <t xml:space="preserve">Siem Reap</t>
  </si>
  <si>
    <t xml:space="preserve">Singapore</t>
  </si>
  <si>
    <t xml:space="preserve">Skopje</t>
  </si>
  <si>
    <t xml:space="preserve">Sofia</t>
  </si>
  <si>
    <t xml:space="preserve">St. George's</t>
  </si>
  <si>
    <t xml:space="preserve">St. John's</t>
  </si>
  <si>
    <t xml:space="preserve">Stockholm</t>
  </si>
  <si>
    <t xml:space="preserve">Suzhou</t>
  </si>
  <si>
    <t xml:space="preserve">Sydney</t>
  </si>
  <si>
    <t xml:space="preserve">São Paulo</t>
  </si>
  <si>
    <t xml:space="preserve">São Tomé</t>
  </si>
  <si>
    <t xml:space="preserve">Tai'an</t>
  </si>
  <si>
    <t xml:space="preserve">Taipei</t>
  </si>
  <si>
    <t xml:space="preserve">Tallinn</t>
  </si>
  <si>
    <t xml:space="preserve">Tarawa</t>
  </si>
  <si>
    <t xml:space="preserve">Tashkent</t>
  </si>
  <si>
    <t xml:space="preserve">Tbilisi</t>
  </si>
  <si>
    <t xml:space="preserve">Tegucigalpa</t>
  </si>
  <si>
    <t xml:space="preserve">Tehran</t>
  </si>
  <si>
    <t xml:space="preserve">Tel Aviv</t>
  </si>
  <si>
    <t xml:space="preserve">Thessaloniki</t>
  </si>
  <si>
    <t xml:space="preserve">Thimphu</t>
  </si>
  <si>
    <t xml:space="preserve">Tianjin</t>
  </si>
  <si>
    <t xml:space="preserve">Tianshui</t>
  </si>
  <si>
    <t xml:space="preserve">Tirana</t>
  </si>
  <si>
    <t xml:space="preserve">Tokyo</t>
  </si>
  <si>
    <t xml:space="preserve">Toronto</t>
  </si>
  <si>
    <t xml:space="preserve">Tripoli</t>
  </si>
  <si>
    <t xml:space="preserve">Tunis</t>
  </si>
  <si>
    <t xml:space="preserve">Ulaanbaatar</t>
  </si>
  <si>
    <t xml:space="preserve">Vaduz</t>
  </si>
  <si>
    <t xml:space="preserve">Valencia</t>
  </si>
  <si>
    <t xml:space="preserve">Valletta</t>
  </si>
  <si>
    <t xml:space="preserve">Vancouver</t>
  </si>
  <si>
    <t xml:space="preserve">Venice</t>
  </si>
  <si>
    <t xml:space="preserve">Verona</t>
  </si>
  <si>
    <t xml:space="preserve">Victoria</t>
  </si>
  <si>
    <t xml:space="preserve">Victoria Falls</t>
  </si>
  <si>
    <t xml:space="preserve">Vienna</t>
  </si>
  <si>
    <t xml:space="preserve">Vientiane</t>
  </si>
  <si>
    <t xml:space="preserve">Vilnius</t>
  </si>
  <si>
    <t xml:space="preserve">Warsaw</t>
  </si>
  <si>
    <t xml:space="preserve">Washington, D.C.</t>
  </si>
  <si>
    <t xml:space="preserve">Weno</t>
  </si>
  <si>
    <t xml:space="preserve">Windhoek</t>
  </si>
  <si>
    <t xml:space="preserve">Wuhan</t>
  </si>
  <si>
    <t xml:space="preserve">Wuxi</t>
  </si>
  <si>
    <t xml:space="preserve">Xi'an</t>
  </si>
  <si>
    <t xml:space="preserve">Xiamen</t>
  </si>
  <si>
    <t xml:space="preserve">Yangon</t>
  </si>
  <si>
    <t xml:space="preserve">Yaren</t>
  </si>
  <si>
    <t xml:space="preserve">Yerevan</t>
  </si>
  <si>
    <t xml:space="preserve">Yokohama</t>
  </si>
  <si>
    <t xml:space="preserve">Zanzibar City</t>
  </si>
  <si>
    <t xml:space="preserve">Zhengzhou</t>
  </si>
  <si>
    <t xml:space="preserve">Zhuhai</t>
  </si>
  <si>
    <t xml:space="preserve">Zurich</t>
  </si>
  <si>
    <t xml:space="preserve">Accommodation — Budget</t>
  </si>
  <si>
    <t xml:space="preserve">Accommodation — Mid</t>
  </si>
  <si>
    <t xml:space="preserve">Accommodation — Luxury</t>
  </si>
  <si>
    <t xml:space="preserve">Meals — Budget</t>
  </si>
  <si>
    <t xml:space="preserve">Meals — Mid</t>
  </si>
  <si>
    <t xml:space="preserve">Meals — Luxury</t>
  </si>
  <si>
    <t xml:space="preserve">Local transport — Budget</t>
  </si>
  <si>
    <t xml:space="preserve">Local transport — Mid</t>
  </si>
  <si>
    <t xml:space="preserve">Local transport — Luxury</t>
  </si>
  <si>
    <t xml:space="preserve">Baseline drinks (coffee+water)</t>
  </si>
  <si>
    <t xml:space="preserve">Alcohol — Budget</t>
  </si>
  <si>
    <t xml:space="preserve">Alcohol — Mid</t>
  </si>
  <si>
    <t xml:space="preserve">Alcohol — Luxury</t>
  </si>
  <si>
    <t xml:space="preserve">Core subtotal — Budget</t>
  </si>
  <si>
    <t xml:space="preserve">Core subtotal — Mid</t>
  </si>
  <si>
    <t xml:space="preserve">Core subtotal — Luxury</t>
  </si>
  <si>
    <t xml:space="preserve">Activities/tours — Budget</t>
  </si>
  <si>
    <t xml:space="preserve">Activities/tours — Mid</t>
  </si>
  <si>
    <t xml:space="preserve">Activities/tours — Luxury</t>
  </si>
  <si>
    <t xml:space="preserve">NEW Total — Budget</t>
  </si>
  <si>
    <t xml:space="preserve">NEW Total — Mid</t>
  </si>
  <si>
    <t xml:space="preserve">NEW Total — Luxury</t>
  </si>
  <si>
    <t xml:space="preserve">Current Site — Budget</t>
  </si>
  <si>
    <t xml:space="preserve">Current Site — Mid</t>
  </si>
  <si>
    <t xml:space="preserve">Current Site — Luxury</t>
  </si>
  <si>
    <t xml:space="preserve">Diff — Budget</t>
  </si>
  <si>
    <t xml:space="preserve">Diff — Mid</t>
  </si>
  <si>
    <t xml:space="preserve">Diff — Luxury</t>
  </si>
  <si>
    <t xml:space="preserve">Flag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</si>
</sst>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/>
    </row>
    <row r="33" customFormat="false" ht="15" hidden="false" customHeight="false" outlineLevel="0" collapsed="false">
      <c r="A33" s="2" t="s">
        <v>26</v>
      </c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2" t="s">
        <v>29</v>
      </c>
    </row>
    <row r="38" customFormat="false" ht="15" hidden="false" customHeight="false" outlineLevel="0" collapsed="false">
      <c r="A38" s="2" t="s">
        <v>30</v>
      </c>
    </row>
    <row r="39" customFormat="false" ht="15" hidden="false" customHeight="false" outlineLevel="0" collapsed="false">
      <c r="A39" s="2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3" t="s">
        <v>33</v>
      </c>
      <c r="B1" s="3" t="s">
        <v>34</v>
      </c>
      <c r="C1" s="3" t="s">
        <v>35</v>
      </c>
    </row>
    <row r="2" customFormat="false" ht="22.35" hidden="false" customHeight="false" outlineLevel="0" collapsed="false">
      <c r="A2" s="4" t="s">
        <v>36</v>
      </c>
      <c r="B2" s="5" t="n">
        <v>2</v>
      </c>
      <c r="C2" s="6" t="s">
        <v>37</v>
      </c>
    </row>
    <row r="3" customFormat="false" ht="15" hidden="false" customHeight="false" outlineLevel="0" collapsed="false">
      <c r="A3" s="4" t="s">
        <v>38</v>
      </c>
      <c r="B3" s="5" t="n">
        <v>3</v>
      </c>
      <c r="C3" s="6" t="s">
        <v>39</v>
      </c>
    </row>
    <row r="4" customFormat="false" ht="15" hidden="false" customHeight="false" outlineLevel="0" collapsed="false">
      <c r="A4" s="4" t="s">
        <v>40</v>
      </c>
      <c r="B4" s="5" t="n">
        <v>1</v>
      </c>
      <c r="C4" s="6" t="s">
        <v>41</v>
      </c>
    </row>
    <row r="5" customFormat="false" ht="15" hidden="false" customHeight="false" outlineLevel="0" collapsed="false">
      <c r="A5" s="4" t="s">
        <v>42</v>
      </c>
      <c r="B5" s="5" t="n">
        <v>1.8</v>
      </c>
      <c r="C5" s="6" t="s">
        <v>43</v>
      </c>
    </row>
    <row r="6" customFormat="false" ht="15" hidden="false" customHeight="false" outlineLevel="0" collapsed="false">
      <c r="A6" s="4" t="s">
        <v>44</v>
      </c>
      <c r="B6" s="5" t="n">
        <v>3.5</v>
      </c>
      <c r="C6" s="6" t="s">
        <v>45</v>
      </c>
    </row>
    <row r="7" customFormat="false" ht="15" hidden="false" customHeight="false" outlineLevel="0" collapsed="false">
      <c r="A7" s="4" t="s">
        <v>46</v>
      </c>
      <c r="B7" s="5" t="n">
        <v>1</v>
      </c>
      <c r="C7" s="6" t="s">
        <v>47</v>
      </c>
    </row>
    <row r="8" customFormat="false" ht="15" hidden="false" customHeight="false" outlineLevel="0" collapsed="false">
      <c r="A8" s="4" t="s">
        <v>48</v>
      </c>
      <c r="B8" s="5" t="n">
        <v>2</v>
      </c>
      <c r="C8" s="6" t="s">
        <v>49</v>
      </c>
    </row>
    <row r="9" customFormat="false" ht="15" hidden="false" customHeight="false" outlineLevel="0" collapsed="false">
      <c r="A9" s="4" t="s">
        <v>50</v>
      </c>
      <c r="B9" s="5" t="n">
        <v>4</v>
      </c>
      <c r="C9" s="6" t="s">
        <v>51</v>
      </c>
    </row>
    <row r="10" customFormat="false" ht="15" hidden="false" customHeight="false" outlineLevel="0" collapsed="false">
      <c r="A10" s="4" t="s">
        <v>52</v>
      </c>
      <c r="B10" s="5" t="n">
        <v>1</v>
      </c>
      <c r="C10" s="6" t="s">
        <v>53</v>
      </c>
    </row>
    <row r="11" customFormat="false" ht="15" hidden="false" customHeight="false" outlineLevel="0" collapsed="false">
      <c r="A11" s="4" t="s">
        <v>54</v>
      </c>
      <c r="B11" s="5" t="n">
        <v>2</v>
      </c>
      <c r="C11" s="6" t="s">
        <v>53</v>
      </c>
    </row>
    <row r="12" customFormat="false" ht="15" hidden="false" customHeight="false" outlineLevel="0" collapsed="false">
      <c r="A12" s="4" t="s">
        <v>55</v>
      </c>
      <c r="B12" s="5" t="n">
        <v>3</v>
      </c>
      <c r="C12" s="6" t="s">
        <v>53</v>
      </c>
    </row>
    <row r="13" customFormat="false" ht="32.8" hidden="false" customHeight="false" outlineLevel="0" collapsed="false">
      <c r="A13" s="4" t="s">
        <v>56</v>
      </c>
      <c r="B13" s="7" t="b">
        <f aca="false">TRUE()</f>
        <v>1</v>
      </c>
      <c r="C13" s="6" t="s">
        <v>57</v>
      </c>
    </row>
    <row r="14" customFormat="false" ht="22.35" hidden="false" customHeight="false" outlineLevel="0" collapsed="false">
      <c r="A14" s="4" t="s">
        <v>58</v>
      </c>
      <c r="B14" s="7" t="b">
        <f aca="false">TRUE()</f>
        <v>1</v>
      </c>
      <c r="C14" s="6" t="s">
        <v>59</v>
      </c>
    </row>
    <row r="15" customFormat="false" ht="22.35" hidden="false" customHeight="false" outlineLevel="0" collapsed="false">
      <c r="A15" s="4" t="s">
        <v>60</v>
      </c>
      <c r="B15" s="5" t="n">
        <v>0.1</v>
      </c>
      <c r="C15" s="6" t="s">
        <v>61</v>
      </c>
    </row>
    <row r="16" customFormat="false" ht="15" hidden="false" customHeight="false" outlineLevel="0" collapsed="false">
      <c r="A16" s="4" t="s">
        <v>62</v>
      </c>
      <c r="B16" s="5" t="n">
        <v>0.2</v>
      </c>
      <c r="C16" s="6" t="s">
        <v>63</v>
      </c>
    </row>
    <row r="17" customFormat="false" ht="15" hidden="false" customHeight="false" outlineLevel="0" collapsed="false">
      <c r="A17" s="4" t="s">
        <v>64</v>
      </c>
      <c r="B17" s="5" t="n">
        <v>0.35</v>
      </c>
      <c r="C17" s="6" t="s">
        <v>63</v>
      </c>
    </row>
    <row r="18" customFormat="false" ht="22.35" hidden="false" customHeight="false" outlineLevel="0" collapsed="false">
      <c r="A18" s="4" t="s">
        <v>65</v>
      </c>
      <c r="B18" s="5" t="n">
        <v>0.25</v>
      </c>
      <c r="C18" s="6" t="s">
        <v>66</v>
      </c>
    </row>
  </sheetData>
  <dataValidations count="1">
    <dataValidation allowBlank="false" errorStyle="stop" operator="between" showDropDown="false" showErrorMessage="false" showInputMessage="false" sqref="B13:B14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3" min="12" style="0" width="16"/>
  </cols>
  <sheetData>
    <row r="1" customFormat="false" ht="26.85" hidden="false" customHeight="false" outlineLevel="0" collapsed="false">
      <c r="A1" s="8" t="s">
        <v>67</v>
      </c>
      <c r="B1" s="8" t="s">
        <v>68</v>
      </c>
      <c r="C1" s="8" t="s">
        <v>69</v>
      </c>
      <c r="D1" s="8" t="s">
        <v>70</v>
      </c>
      <c r="E1" s="8" t="s">
        <v>71</v>
      </c>
      <c r="F1" s="8" t="s">
        <v>72</v>
      </c>
      <c r="G1" s="8" t="s">
        <v>73</v>
      </c>
      <c r="H1" s="8" t="s">
        <v>74</v>
      </c>
      <c r="I1" s="8" t="s">
        <v>75</v>
      </c>
      <c r="J1" s="8" t="s">
        <v>76</v>
      </c>
      <c r="K1" s="8" t="s">
        <v>77</v>
      </c>
      <c r="L1" s="8" t="s">
        <v>78</v>
      </c>
      <c r="M1" s="8" t="s">
        <v>79</v>
      </c>
    </row>
    <row r="2" customFormat="false" ht="15" hidden="false" customHeight="false" outlineLevel="0" collapsed="false">
      <c r="A2" s="4" t="s">
        <v>80</v>
      </c>
      <c r="B2" s="9" t="n">
        <v>35</v>
      </c>
      <c r="C2" s="9" t="n">
        <v>75</v>
      </c>
      <c r="D2" s="9" t="n">
        <v>220</v>
      </c>
      <c r="E2" s="9" t="n">
        <v>15</v>
      </c>
      <c r="F2" s="9" t="n">
        <v>7</v>
      </c>
      <c r="G2" s="9" t="n">
        <v>2.5</v>
      </c>
      <c r="H2" s="9" t="n">
        <v>0.8</v>
      </c>
      <c r="I2" s="9" t="n">
        <v>3</v>
      </c>
      <c r="K2" s="9" t="n">
        <v>50</v>
      </c>
      <c r="L2" s="9" t="n">
        <v>120</v>
      </c>
      <c r="M2" s="9" t="n">
        <v>355</v>
      </c>
    </row>
    <row r="3" customFormat="false" ht="15" hidden="false" customHeight="false" outlineLevel="0" collapsed="false">
      <c r="A3" s="4" t="s">
        <v>81</v>
      </c>
      <c r="B3" s="9" t="n">
        <v>75</v>
      </c>
      <c r="C3" s="9" t="n">
        <v>140</v>
      </c>
      <c r="D3" s="9" t="n">
        <v>400</v>
      </c>
      <c r="E3" s="9" t="n">
        <v>30</v>
      </c>
      <c r="F3" s="9" t="n">
        <v>15</v>
      </c>
      <c r="G3" s="9" t="n">
        <v>5</v>
      </c>
      <c r="H3" s="9" t="n">
        <v>1</v>
      </c>
      <c r="J3" s="9" t="s">
        <v>82</v>
      </c>
      <c r="K3" s="9" t="n">
        <v>70</v>
      </c>
      <c r="L3" s="9" t="n">
        <v>185</v>
      </c>
      <c r="M3" s="9" t="n">
        <v>600</v>
      </c>
    </row>
    <row r="4" customFormat="false" ht="15" hidden="false" customHeight="false" outlineLevel="0" collapsed="false">
      <c r="A4" s="4" t="s">
        <v>83</v>
      </c>
      <c r="B4" s="9" t="n">
        <v>30</v>
      </c>
      <c r="C4" s="9" t="n">
        <v>90</v>
      </c>
      <c r="D4" s="9" t="n">
        <v>280</v>
      </c>
      <c r="E4" s="9" t="n">
        <v>12</v>
      </c>
      <c r="F4" s="9" t="n">
        <v>5</v>
      </c>
      <c r="G4" s="9" t="n">
        <v>3</v>
      </c>
      <c r="H4" s="9" t="n">
        <v>0.8</v>
      </c>
      <c r="I4" s="9" t="n">
        <v>2.5</v>
      </c>
      <c r="K4" s="9" t="n">
        <v>45</v>
      </c>
      <c r="L4" s="9" t="n">
        <v>115</v>
      </c>
      <c r="M4" s="9" t="n">
        <v>350</v>
      </c>
    </row>
    <row r="5" customFormat="false" ht="15" hidden="false" customHeight="false" outlineLevel="0" collapsed="false">
      <c r="A5" s="4" t="s">
        <v>84</v>
      </c>
      <c r="B5" s="9" t="n">
        <v>15</v>
      </c>
      <c r="C5" s="9" t="n">
        <v>70</v>
      </c>
      <c r="D5" s="9" t="n">
        <v>280</v>
      </c>
      <c r="E5" s="9" t="n">
        <v>8</v>
      </c>
      <c r="F5" s="9" t="n">
        <v>4</v>
      </c>
      <c r="G5" s="9" t="n">
        <v>1.05</v>
      </c>
      <c r="H5" s="9" t="n">
        <v>0.49</v>
      </c>
      <c r="I5" s="9" t="n">
        <v>0.95</v>
      </c>
      <c r="K5" s="9" t="n">
        <v>35</v>
      </c>
      <c r="L5" s="9" t="n">
        <v>90</v>
      </c>
      <c r="M5" s="9" t="n">
        <v>295</v>
      </c>
    </row>
    <row r="6" customFormat="false" ht="15" hidden="false" customHeight="false" outlineLevel="0" collapsed="false">
      <c r="A6" s="4" t="s">
        <v>85</v>
      </c>
      <c r="B6" s="9" t="n">
        <v>15</v>
      </c>
      <c r="C6" s="9" t="n">
        <v>40</v>
      </c>
      <c r="D6" s="9" t="n">
        <v>110</v>
      </c>
      <c r="E6" s="9" t="n">
        <v>4</v>
      </c>
      <c r="F6" s="9" t="n">
        <v>3</v>
      </c>
      <c r="G6" s="9" t="n">
        <v>1.5</v>
      </c>
      <c r="H6" s="9" t="n">
        <v>0.3</v>
      </c>
      <c r="I6" s="9" t="n">
        <v>6</v>
      </c>
      <c r="K6" s="9" t="n">
        <v>25</v>
      </c>
      <c r="L6" s="9" t="n">
        <v>60</v>
      </c>
      <c r="M6" s="9" t="n">
        <v>180</v>
      </c>
    </row>
    <row r="7" customFormat="false" ht="15" hidden="false" customHeight="false" outlineLevel="0" collapsed="false">
      <c r="A7" s="4" t="s">
        <v>86</v>
      </c>
      <c r="B7" s="9" t="n">
        <v>20</v>
      </c>
      <c r="C7" s="9" t="n">
        <v>70</v>
      </c>
      <c r="D7" s="9" t="n">
        <v>180</v>
      </c>
      <c r="E7" s="9" t="n">
        <v>6</v>
      </c>
      <c r="F7" s="9" t="n">
        <v>3</v>
      </c>
      <c r="G7" s="9" t="n">
        <v>1.5</v>
      </c>
      <c r="H7" s="9" t="n">
        <v>0.4</v>
      </c>
      <c r="I7" s="9" t="n">
        <v>3</v>
      </c>
      <c r="K7" s="9" t="n">
        <v>30</v>
      </c>
      <c r="L7" s="9" t="n">
        <v>75</v>
      </c>
      <c r="M7" s="9" t="n">
        <v>250</v>
      </c>
    </row>
    <row r="8" customFormat="false" ht="15" hidden="false" customHeight="false" outlineLevel="0" collapsed="false">
      <c r="A8" s="4" t="s">
        <v>87</v>
      </c>
      <c r="B8" s="9" t="n">
        <v>35</v>
      </c>
      <c r="C8" s="9" t="n">
        <v>65</v>
      </c>
      <c r="D8" s="9" t="n">
        <v>180</v>
      </c>
      <c r="E8" s="9" t="n">
        <v>9</v>
      </c>
      <c r="F8" s="9" t="n">
        <v>5</v>
      </c>
      <c r="G8" s="9" t="n">
        <v>1.3</v>
      </c>
      <c r="H8" s="9" t="n">
        <v>0.5</v>
      </c>
      <c r="I8" s="9" t="n">
        <v>4</v>
      </c>
      <c r="K8" s="9" t="n">
        <v>40</v>
      </c>
      <c r="L8" s="9" t="n">
        <v>100</v>
      </c>
      <c r="M8" s="9" t="n">
        <v>285</v>
      </c>
    </row>
    <row r="9" customFormat="false" ht="15" hidden="false" customHeight="false" outlineLevel="0" collapsed="false">
      <c r="A9" s="4" t="s">
        <v>88</v>
      </c>
      <c r="B9" s="9" t="n">
        <v>25</v>
      </c>
      <c r="C9" s="9" t="n">
        <v>72</v>
      </c>
      <c r="D9" s="9" t="n">
        <v>220</v>
      </c>
      <c r="E9" s="9" t="n">
        <v>15</v>
      </c>
      <c r="F9" s="9" t="n">
        <v>4</v>
      </c>
      <c r="G9" s="9" t="n">
        <v>2.4</v>
      </c>
      <c r="H9" s="9" t="n">
        <v>0.5</v>
      </c>
      <c r="I9" s="9" t="n">
        <v>2</v>
      </c>
      <c r="K9" s="9" t="n">
        <v>45</v>
      </c>
      <c r="L9" s="9" t="n">
        <v>110</v>
      </c>
      <c r="M9" s="9" t="n">
        <v>335</v>
      </c>
    </row>
    <row r="10" customFormat="false" ht="15" hidden="false" customHeight="false" outlineLevel="0" collapsed="false">
      <c r="A10" s="4" t="s">
        <v>89</v>
      </c>
      <c r="B10" s="9" t="n">
        <v>40</v>
      </c>
      <c r="C10" s="9" t="n">
        <v>90</v>
      </c>
      <c r="D10" s="9" t="n">
        <v>220</v>
      </c>
      <c r="E10" s="9" t="n">
        <v>18</v>
      </c>
      <c r="F10" s="9" t="n">
        <v>5</v>
      </c>
      <c r="G10" s="9" t="n">
        <v>3</v>
      </c>
      <c r="H10" s="9" t="n">
        <v>1</v>
      </c>
      <c r="I10" s="9" t="n">
        <v>7</v>
      </c>
      <c r="K10" s="9" t="n">
        <v>50</v>
      </c>
      <c r="L10" s="9" t="n">
        <v>130</v>
      </c>
      <c r="M10" s="9" t="n">
        <v>385</v>
      </c>
    </row>
    <row r="11" customFormat="false" ht="15" hidden="false" customHeight="false" outlineLevel="0" collapsed="false">
      <c r="A11" s="4" t="s">
        <v>90</v>
      </c>
      <c r="B11" s="9" t="n">
        <v>80</v>
      </c>
      <c r="C11" s="9" t="n">
        <v>160</v>
      </c>
      <c r="D11" s="9" t="n">
        <v>380</v>
      </c>
      <c r="E11" s="9" t="n">
        <v>28</v>
      </c>
      <c r="F11" s="9" t="n">
        <v>25</v>
      </c>
      <c r="G11" s="9" t="n">
        <v>3.5</v>
      </c>
      <c r="H11" s="9" t="n">
        <v>1.5</v>
      </c>
      <c r="I11" s="9" t="n">
        <v>6</v>
      </c>
      <c r="K11" s="9" t="n">
        <v>90</v>
      </c>
      <c r="L11" s="9" t="n">
        <v>220</v>
      </c>
      <c r="M11" s="9" t="n">
        <v>600</v>
      </c>
    </row>
    <row r="12" customFormat="false" ht="15" hidden="false" customHeight="false" outlineLevel="0" collapsed="false">
      <c r="A12" s="4" t="s">
        <v>91</v>
      </c>
      <c r="B12" s="9" t="n">
        <v>55</v>
      </c>
      <c r="C12" s="9" t="n">
        <v>115</v>
      </c>
      <c r="D12" s="9" t="n">
        <v>240</v>
      </c>
      <c r="E12" s="9" t="n">
        <v>24</v>
      </c>
      <c r="F12" s="9" t="n">
        <v>10</v>
      </c>
      <c r="G12" s="9" t="n">
        <v>2.2</v>
      </c>
      <c r="H12" s="9" t="n">
        <v>1.3</v>
      </c>
      <c r="I12" s="9" t="n">
        <v>4.5</v>
      </c>
      <c r="K12" s="9" t="n">
        <v>65</v>
      </c>
      <c r="L12" s="9" t="n">
        <v>160</v>
      </c>
      <c r="M12" s="9" t="n">
        <v>465</v>
      </c>
    </row>
    <row r="13" customFormat="false" ht="15" hidden="false" customHeight="false" outlineLevel="0" collapsed="false">
      <c r="A13" s="4" t="s">
        <v>92</v>
      </c>
      <c r="B13" s="9" t="n">
        <v>20</v>
      </c>
      <c r="C13" s="9" t="n">
        <v>55</v>
      </c>
      <c r="D13" s="9" t="n">
        <v>130</v>
      </c>
      <c r="E13" s="9" t="n">
        <v>9</v>
      </c>
      <c r="F13" s="9" t="n">
        <v>5</v>
      </c>
      <c r="G13" s="9" t="n">
        <v>2.2</v>
      </c>
      <c r="H13" s="9" t="n">
        <v>0.4</v>
      </c>
      <c r="I13" s="9" t="n">
        <v>3</v>
      </c>
      <c r="K13" s="9" t="n">
        <v>30</v>
      </c>
      <c r="L13" s="9" t="n">
        <v>75</v>
      </c>
      <c r="M13" s="9" t="n">
        <v>220</v>
      </c>
    </row>
    <row r="14" customFormat="false" ht="15" hidden="false" customHeight="false" outlineLevel="0" collapsed="false">
      <c r="A14" s="4" t="s">
        <v>93</v>
      </c>
      <c r="B14" s="9" t="n">
        <v>25</v>
      </c>
      <c r="C14" s="9" t="n">
        <v>55</v>
      </c>
      <c r="D14" s="9" t="n">
        <v>160</v>
      </c>
      <c r="E14" s="9" t="n">
        <v>12</v>
      </c>
      <c r="F14" s="9" t="n">
        <v>7</v>
      </c>
      <c r="G14" s="9" t="n">
        <v>3</v>
      </c>
      <c r="H14" s="9" t="n">
        <v>0.4</v>
      </c>
      <c r="I14" s="9" t="n">
        <v>4</v>
      </c>
      <c r="K14" s="9" t="n">
        <v>40</v>
      </c>
      <c r="L14" s="9" t="n">
        <v>95</v>
      </c>
      <c r="M14" s="9" t="n">
        <v>280</v>
      </c>
    </row>
    <row r="15" customFormat="false" ht="15" hidden="false" customHeight="false" outlineLevel="0" collapsed="false">
      <c r="A15" s="4" t="s">
        <v>94</v>
      </c>
      <c r="B15" s="9" t="n">
        <v>20</v>
      </c>
      <c r="C15" s="9" t="n">
        <v>55</v>
      </c>
      <c r="D15" s="9" t="n">
        <v>150</v>
      </c>
      <c r="E15" s="9" t="n">
        <v>8</v>
      </c>
      <c r="F15" s="9" t="n">
        <v>4</v>
      </c>
      <c r="G15" s="9" t="n">
        <v>1.5</v>
      </c>
      <c r="H15" s="9" t="n">
        <v>0.5</v>
      </c>
      <c r="I15" s="9" t="n">
        <v>2</v>
      </c>
      <c r="K15" s="9" t="n">
        <v>35</v>
      </c>
      <c r="L15" s="9" t="n">
        <v>80</v>
      </c>
      <c r="M15" s="9" t="n">
        <v>245</v>
      </c>
    </row>
    <row r="16" customFormat="false" ht="15" hidden="false" customHeight="false" outlineLevel="0" collapsed="false">
      <c r="A16" s="4" t="s">
        <v>95</v>
      </c>
      <c r="B16" s="9" t="n">
        <v>40</v>
      </c>
      <c r="C16" s="9" t="n">
        <v>45</v>
      </c>
      <c r="D16" s="9" t="n">
        <v>320</v>
      </c>
      <c r="E16" s="9" t="n">
        <v>15</v>
      </c>
      <c r="F16" s="9" t="n">
        <v>6</v>
      </c>
      <c r="G16" s="9" t="n">
        <v>4</v>
      </c>
      <c r="H16" s="9" t="n">
        <v>1.5</v>
      </c>
      <c r="I16" s="9" t="n">
        <v>6</v>
      </c>
      <c r="K16" s="9" t="n">
        <v>50</v>
      </c>
      <c r="L16" s="9" t="n">
        <v>135</v>
      </c>
      <c r="M16" s="9" t="n">
        <v>405</v>
      </c>
    </row>
    <row r="17" customFormat="false" ht="15" hidden="false" customHeight="false" outlineLevel="0" collapsed="false">
      <c r="A17" s="4" t="s">
        <v>96</v>
      </c>
      <c r="B17" s="9" t="n">
        <v>15</v>
      </c>
      <c r="C17" s="9" t="n">
        <v>70</v>
      </c>
      <c r="D17" s="9" t="n">
        <v>250</v>
      </c>
      <c r="E17" s="9" t="n">
        <v>12</v>
      </c>
      <c r="F17" s="9" t="n">
        <v>3</v>
      </c>
      <c r="G17" s="9" t="n">
        <v>2.5</v>
      </c>
      <c r="H17" s="9" t="n">
        <v>0.6</v>
      </c>
      <c r="I17" s="9" t="n">
        <v>3</v>
      </c>
      <c r="K17" s="9" t="n">
        <v>40</v>
      </c>
      <c r="L17" s="9" t="n">
        <v>100</v>
      </c>
      <c r="M17" s="9" t="n">
        <v>310</v>
      </c>
    </row>
    <row r="18" customFormat="false" ht="15" hidden="false" customHeight="false" outlineLevel="0" collapsed="false">
      <c r="A18" s="4" t="s">
        <v>97</v>
      </c>
      <c r="B18" s="9" t="n">
        <v>30</v>
      </c>
      <c r="C18" s="9" t="n">
        <v>70</v>
      </c>
      <c r="D18" s="9" t="n">
        <v>130</v>
      </c>
      <c r="E18" s="9" t="n">
        <v>8</v>
      </c>
      <c r="F18" s="9" t="n">
        <v>3</v>
      </c>
      <c r="G18" s="9" t="n">
        <v>1</v>
      </c>
      <c r="H18" s="9" t="n">
        <v>0.5</v>
      </c>
      <c r="I18" s="9" t="n">
        <v>1.5</v>
      </c>
      <c r="K18" s="9" t="n">
        <v>35</v>
      </c>
      <c r="L18" s="9" t="n">
        <v>85</v>
      </c>
      <c r="M18" s="9" t="n">
        <v>250</v>
      </c>
    </row>
    <row r="19" customFormat="false" ht="15" hidden="false" customHeight="false" outlineLevel="0" collapsed="false">
      <c r="A19" s="4" t="s">
        <v>98</v>
      </c>
      <c r="B19" s="9" t="n">
        <v>25</v>
      </c>
      <c r="C19" s="9" t="n">
        <v>60</v>
      </c>
      <c r="D19" s="9" t="n">
        <v>180</v>
      </c>
      <c r="E19" s="9" t="n">
        <v>12</v>
      </c>
      <c r="F19" s="9" t="n">
        <v>5</v>
      </c>
      <c r="G19" s="9" t="n">
        <v>2.5</v>
      </c>
      <c r="H19" s="9" t="n">
        <v>1</v>
      </c>
      <c r="I19" s="9" t="n">
        <v>2.5</v>
      </c>
      <c r="K19" s="9" t="n">
        <v>40</v>
      </c>
      <c r="L19" s="9" t="n">
        <v>100</v>
      </c>
      <c r="M19" s="9" t="n">
        <v>295</v>
      </c>
    </row>
    <row r="20" customFormat="false" ht="15" hidden="false" customHeight="false" outlineLevel="0" collapsed="false">
      <c r="A20" s="4" t="s">
        <v>99</v>
      </c>
      <c r="B20" s="9" t="n">
        <v>60</v>
      </c>
      <c r="C20" s="9" t="n">
        <v>110</v>
      </c>
      <c r="D20" s="9" t="n">
        <v>280</v>
      </c>
      <c r="E20" s="9" t="n">
        <v>18</v>
      </c>
      <c r="F20" s="9" t="n">
        <v>20</v>
      </c>
      <c r="G20" s="9" t="n">
        <v>3.5</v>
      </c>
      <c r="H20" s="9" t="n">
        <v>0.6</v>
      </c>
      <c r="I20" s="9" t="n">
        <v>4</v>
      </c>
      <c r="K20" s="9" t="n">
        <v>65</v>
      </c>
      <c r="L20" s="9" t="n">
        <v>150</v>
      </c>
      <c r="M20" s="9" t="n">
        <v>420</v>
      </c>
    </row>
    <row r="21" customFormat="false" ht="15" hidden="false" customHeight="false" outlineLevel="0" collapsed="false">
      <c r="A21" s="4" t="s">
        <v>100</v>
      </c>
      <c r="B21" s="9" t="n">
        <v>45</v>
      </c>
      <c r="C21" s="9" t="n">
        <v>175</v>
      </c>
      <c r="D21" s="9" t="n">
        <v>320</v>
      </c>
      <c r="E21" s="9" t="n">
        <v>22</v>
      </c>
      <c r="F21" s="9" t="n">
        <v>18</v>
      </c>
      <c r="G21" s="9" t="n">
        <v>4.2</v>
      </c>
      <c r="H21" s="9" t="n">
        <v>1.8</v>
      </c>
      <c r="I21" s="9" t="n">
        <v>7</v>
      </c>
      <c r="K21" s="9" t="n">
        <v>65</v>
      </c>
      <c r="L21" s="9" t="n">
        <v>160</v>
      </c>
      <c r="M21" s="9" t="n">
        <v>470</v>
      </c>
    </row>
    <row r="22" customFormat="false" ht="15" hidden="false" customHeight="false" outlineLevel="0" collapsed="false">
      <c r="A22" s="4" t="s">
        <v>101</v>
      </c>
      <c r="B22" s="9" t="n">
        <v>35</v>
      </c>
      <c r="C22" s="9" t="n">
        <v>90</v>
      </c>
      <c r="D22" s="9" t="n">
        <v>260</v>
      </c>
      <c r="E22" s="9" t="n">
        <v>15</v>
      </c>
      <c r="F22" s="9" t="n">
        <v>4</v>
      </c>
      <c r="G22" s="9" t="n">
        <v>3</v>
      </c>
      <c r="H22" s="9" t="n">
        <v>0.5</v>
      </c>
      <c r="I22" s="9" t="n">
        <v>5</v>
      </c>
      <c r="K22" s="9" t="n">
        <v>50</v>
      </c>
      <c r="L22" s="9" t="n">
        <v>120</v>
      </c>
      <c r="M22" s="9" t="n">
        <v>370</v>
      </c>
    </row>
    <row r="23" customFormat="false" ht="15" hidden="false" customHeight="false" outlineLevel="0" collapsed="false">
      <c r="A23" s="4" t="s">
        <v>102</v>
      </c>
      <c r="B23" s="9" t="n">
        <v>25</v>
      </c>
      <c r="C23" s="9" t="n">
        <v>75</v>
      </c>
      <c r="D23" s="9" t="n">
        <v>220</v>
      </c>
      <c r="E23" s="9" t="n">
        <v>15</v>
      </c>
      <c r="F23" s="9" t="n">
        <v>5</v>
      </c>
      <c r="G23" s="9" t="n">
        <v>3</v>
      </c>
      <c r="H23" s="9" t="n">
        <v>0.8</v>
      </c>
      <c r="I23" s="9" t="n">
        <v>4</v>
      </c>
      <c r="K23" s="9" t="n">
        <v>45</v>
      </c>
      <c r="L23" s="9" t="n">
        <v>110</v>
      </c>
      <c r="M23" s="9" t="n">
        <v>340</v>
      </c>
    </row>
    <row r="24" customFormat="false" ht="15" hidden="false" customHeight="false" outlineLevel="0" collapsed="false">
      <c r="A24" s="4" t="s">
        <v>103</v>
      </c>
      <c r="B24" s="9" t="n">
        <v>28</v>
      </c>
      <c r="C24" s="9" t="n">
        <v>90</v>
      </c>
      <c r="D24" s="9" t="n">
        <v>180</v>
      </c>
      <c r="E24" s="9" t="n">
        <v>12</v>
      </c>
      <c r="F24" s="9" t="n">
        <v>4</v>
      </c>
      <c r="G24" s="9" t="n">
        <v>2</v>
      </c>
      <c r="H24" s="9" t="n">
        <v>0.7</v>
      </c>
      <c r="I24" s="9" t="n">
        <v>3</v>
      </c>
      <c r="K24" s="9" t="n">
        <v>40</v>
      </c>
      <c r="L24" s="9" t="n">
        <v>100</v>
      </c>
      <c r="M24" s="9" t="n">
        <v>300</v>
      </c>
    </row>
    <row r="25" customFormat="false" ht="15" hidden="false" customHeight="false" outlineLevel="0" collapsed="false">
      <c r="A25" s="4" t="s">
        <v>104</v>
      </c>
      <c r="B25" s="9" t="n">
        <v>25</v>
      </c>
      <c r="C25" s="9" t="n">
        <v>75</v>
      </c>
      <c r="D25" s="9" t="n">
        <v>150</v>
      </c>
      <c r="E25" s="9" t="n">
        <v>12</v>
      </c>
      <c r="F25" s="9" t="n">
        <v>10</v>
      </c>
      <c r="G25" s="9" t="n">
        <v>3</v>
      </c>
      <c r="H25" s="9" t="n">
        <v>1</v>
      </c>
      <c r="J25" s="9" t="s">
        <v>82</v>
      </c>
      <c r="K25" s="9" t="n">
        <v>40</v>
      </c>
      <c r="L25" s="9" t="n">
        <v>100</v>
      </c>
      <c r="M25" s="9" t="n">
        <v>285</v>
      </c>
    </row>
    <row r="26" customFormat="false" ht="15" hidden="false" customHeight="false" outlineLevel="0" collapsed="false">
      <c r="A26" s="4" t="s">
        <v>105</v>
      </c>
      <c r="B26" s="9" t="n">
        <v>18</v>
      </c>
      <c r="C26" s="9" t="n">
        <v>45</v>
      </c>
      <c r="D26" s="9" t="n">
        <v>150</v>
      </c>
      <c r="E26" s="9" t="n">
        <v>8</v>
      </c>
      <c r="F26" s="9" t="n">
        <v>5</v>
      </c>
      <c r="G26" s="9" t="n">
        <v>2.5</v>
      </c>
      <c r="H26" s="9" t="n">
        <v>0.5</v>
      </c>
      <c r="I26" s="9" t="n">
        <v>3</v>
      </c>
      <c r="K26" s="9" t="n">
        <v>35</v>
      </c>
      <c r="L26" s="9" t="n">
        <v>90</v>
      </c>
      <c r="M26" s="9" t="n">
        <v>250</v>
      </c>
    </row>
    <row r="27" customFormat="false" ht="15" hidden="false" customHeight="false" outlineLevel="0" collapsed="false">
      <c r="A27" s="4" t="s">
        <v>106</v>
      </c>
      <c r="B27" s="9" t="n">
        <v>30</v>
      </c>
      <c r="C27" s="9" t="n">
        <v>70</v>
      </c>
      <c r="D27" s="9" t="n">
        <v>200</v>
      </c>
      <c r="E27" s="9" t="n">
        <v>12</v>
      </c>
      <c r="F27" s="9" t="n">
        <v>4</v>
      </c>
      <c r="G27" s="9" t="n">
        <v>2.5</v>
      </c>
      <c r="H27" s="9" t="n">
        <v>1</v>
      </c>
      <c r="I27" s="9" t="n">
        <v>2</v>
      </c>
      <c r="K27" s="9" t="n">
        <v>40</v>
      </c>
      <c r="L27" s="9" t="n">
        <v>105</v>
      </c>
      <c r="M27" s="9" t="n">
        <v>310</v>
      </c>
    </row>
    <row r="28" customFormat="false" ht="15" hidden="false" customHeight="false" outlineLevel="0" collapsed="false">
      <c r="A28" s="4" t="s">
        <v>107</v>
      </c>
      <c r="B28" s="9" t="n">
        <v>25</v>
      </c>
      <c r="C28" s="9" t="n">
        <v>55</v>
      </c>
      <c r="D28" s="9" t="n">
        <v>150</v>
      </c>
      <c r="E28" s="9" t="n">
        <v>8</v>
      </c>
      <c r="F28" s="9" t="n">
        <v>6</v>
      </c>
      <c r="G28" s="9" t="n">
        <v>2.5</v>
      </c>
      <c r="H28" s="9" t="n">
        <v>0.6</v>
      </c>
      <c r="I28" s="9" t="n">
        <v>3</v>
      </c>
      <c r="K28" s="9" t="n">
        <v>35</v>
      </c>
      <c r="L28" s="9" t="n">
        <v>85</v>
      </c>
      <c r="M28" s="9" t="n">
        <v>250</v>
      </c>
    </row>
    <row r="29" customFormat="false" ht="15" hidden="false" customHeight="false" outlineLevel="0" collapsed="false">
      <c r="A29" s="4" t="s">
        <v>108</v>
      </c>
      <c r="B29" s="9" t="n">
        <v>55</v>
      </c>
      <c r="C29" s="9" t="n">
        <v>120</v>
      </c>
      <c r="D29" s="9" t="n">
        <v>300</v>
      </c>
      <c r="E29" s="9" t="n">
        <v>22</v>
      </c>
      <c r="F29" s="9" t="n">
        <v>15</v>
      </c>
      <c r="G29" s="9" t="n">
        <v>2</v>
      </c>
      <c r="H29" s="9" t="n">
        <v>1</v>
      </c>
      <c r="I29" s="9" t="n">
        <v>3.5</v>
      </c>
      <c r="K29" s="9" t="n">
        <v>75</v>
      </c>
      <c r="L29" s="9" t="n">
        <v>180</v>
      </c>
      <c r="M29" s="9" t="n">
        <v>500</v>
      </c>
    </row>
    <row r="30" customFormat="false" ht="15" hidden="false" customHeight="false" outlineLevel="0" collapsed="false">
      <c r="A30" s="4" t="s">
        <v>109</v>
      </c>
      <c r="B30" s="9" t="n">
        <v>80</v>
      </c>
      <c r="C30" s="9" t="n">
        <v>150</v>
      </c>
      <c r="D30" s="9" t="n">
        <v>550</v>
      </c>
      <c r="E30" s="9" t="n">
        <v>25</v>
      </c>
      <c r="F30" s="9" t="n">
        <v>18</v>
      </c>
      <c r="G30" s="9" t="n">
        <v>3</v>
      </c>
      <c r="H30" s="9" t="n">
        <v>1.5</v>
      </c>
      <c r="I30" s="9" t="n">
        <v>5</v>
      </c>
      <c r="K30" s="9" t="n">
        <v>85</v>
      </c>
      <c r="L30" s="9" t="n">
        <v>220</v>
      </c>
      <c r="M30" s="9" t="n">
        <v>650</v>
      </c>
    </row>
    <row r="31" customFormat="false" ht="15" hidden="false" customHeight="false" outlineLevel="0" collapsed="false">
      <c r="A31" s="4" t="s">
        <v>110</v>
      </c>
      <c r="B31" s="9" t="n">
        <v>35</v>
      </c>
      <c r="C31" s="9" t="n">
        <v>80</v>
      </c>
      <c r="D31" s="9" t="n">
        <v>250</v>
      </c>
      <c r="E31" s="9" t="n">
        <v>12</v>
      </c>
      <c r="F31" s="9" t="n">
        <v>8</v>
      </c>
      <c r="G31" s="9" t="n">
        <v>4.5</v>
      </c>
      <c r="H31" s="9" t="n">
        <v>0.5</v>
      </c>
      <c r="I31" s="9" t="n">
        <v>3</v>
      </c>
      <c r="K31" s="9" t="n">
        <v>55</v>
      </c>
      <c r="L31" s="9" t="n">
        <v>135</v>
      </c>
      <c r="M31" s="9" t="n">
        <v>380</v>
      </c>
    </row>
    <row r="32" customFormat="false" ht="15" hidden="false" customHeight="false" outlineLevel="0" collapsed="false">
      <c r="A32" s="4" t="s">
        <v>111</v>
      </c>
      <c r="B32" s="9" t="n">
        <v>40</v>
      </c>
      <c r="C32" s="9" t="n">
        <v>90</v>
      </c>
      <c r="D32" s="9" t="n">
        <v>260</v>
      </c>
      <c r="E32" s="9" t="n">
        <v>18</v>
      </c>
      <c r="F32" s="9" t="n">
        <v>8</v>
      </c>
      <c r="G32" s="9" t="n">
        <v>3.5</v>
      </c>
      <c r="H32" s="9" t="n">
        <v>1</v>
      </c>
      <c r="I32" s="9" t="n">
        <v>6</v>
      </c>
      <c r="K32" s="9" t="n">
        <v>55</v>
      </c>
      <c r="L32" s="9" t="n">
        <v>135</v>
      </c>
      <c r="M32" s="9" t="n">
        <v>400</v>
      </c>
    </row>
    <row r="33" customFormat="false" ht="15" hidden="false" customHeight="false" outlineLevel="0" collapsed="false">
      <c r="A33" s="4" t="s">
        <v>112</v>
      </c>
      <c r="B33" s="9" t="n">
        <v>25</v>
      </c>
      <c r="C33" s="9" t="n">
        <v>75</v>
      </c>
      <c r="D33" s="9" t="n">
        <v>220</v>
      </c>
      <c r="E33" s="9" t="n">
        <v>15</v>
      </c>
      <c r="F33" s="9" t="n">
        <v>6</v>
      </c>
      <c r="G33" s="9" t="n">
        <v>3</v>
      </c>
      <c r="H33" s="9" t="n">
        <v>1</v>
      </c>
      <c r="I33" s="9" t="n">
        <v>3</v>
      </c>
      <c r="K33" s="9" t="n">
        <v>45</v>
      </c>
      <c r="L33" s="9" t="n">
        <v>110</v>
      </c>
      <c r="M33" s="9" t="n">
        <v>340</v>
      </c>
    </row>
    <row r="34" customFormat="false" ht="15" hidden="false" customHeight="false" outlineLevel="0" collapsed="false">
      <c r="A34" s="4" t="s">
        <v>113</v>
      </c>
      <c r="B34" s="9" t="n">
        <v>35</v>
      </c>
      <c r="C34" s="9" t="n">
        <v>90</v>
      </c>
      <c r="D34" s="9" t="n">
        <v>220</v>
      </c>
      <c r="E34" s="9" t="n">
        <v>12</v>
      </c>
      <c r="F34" s="9" t="n">
        <v>7</v>
      </c>
      <c r="G34" s="9" t="n">
        <v>2.5</v>
      </c>
      <c r="H34" s="9" t="n">
        <v>1.5</v>
      </c>
      <c r="I34" s="9" t="n">
        <v>3</v>
      </c>
      <c r="K34" s="9" t="n">
        <v>45</v>
      </c>
      <c r="L34" s="9" t="n">
        <v>110</v>
      </c>
      <c r="M34" s="9" t="n">
        <v>330</v>
      </c>
    </row>
    <row r="35" customFormat="false" ht="15" hidden="false" customHeight="false" outlineLevel="0" collapsed="false">
      <c r="A35" s="4" t="s">
        <v>114</v>
      </c>
      <c r="B35" s="9" t="n">
        <v>20</v>
      </c>
      <c r="C35" s="9" t="n">
        <v>55</v>
      </c>
      <c r="D35" s="9" t="n">
        <v>130</v>
      </c>
      <c r="E35" s="9" t="n">
        <v>6</v>
      </c>
      <c r="F35" s="9" t="n">
        <v>3</v>
      </c>
      <c r="G35" s="9" t="n">
        <v>1.5</v>
      </c>
      <c r="H35" s="9" t="n">
        <v>0.4</v>
      </c>
      <c r="I35" s="9" t="n">
        <v>3</v>
      </c>
      <c r="K35" s="9" t="n">
        <v>30</v>
      </c>
      <c r="L35" s="9" t="n">
        <v>75</v>
      </c>
      <c r="M35" s="9" t="n">
        <v>220</v>
      </c>
    </row>
    <row r="36" customFormat="false" ht="15" hidden="false" customHeight="false" outlineLevel="0" collapsed="false">
      <c r="A36" s="4" t="s">
        <v>115</v>
      </c>
      <c r="B36" s="9" t="n">
        <v>60</v>
      </c>
      <c r="C36" s="9" t="n">
        <v>110</v>
      </c>
      <c r="D36" s="9" t="n">
        <v>260</v>
      </c>
      <c r="E36" s="9" t="n">
        <v>18</v>
      </c>
      <c r="F36" s="9" t="n">
        <v>25</v>
      </c>
      <c r="G36" s="9" t="n">
        <v>3.2</v>
      </c>
      <c r="H36" s="9" t="n">
        <v>2.5</v>
      </c>
      <c r="I36" s="9" t="n">
        <v>4</v>
      </c>
      <c r="K36" s="9" t="n">
        <v>70</v>
      </c>
      <c r="L36" s="9" t="n">
        <v>170</v>
      </c>
      <c r="M36" s="9" t="n">
        <v>470</v>
      </c>
    </row>
    <row r="37" customFormat="false" ht="15" hidden="false" customHeight="false" outlineLevel="0" collapsed="false">
      <c r="A37" s="4" t="s">
        <v>116</v>
      </c>
      <c r="B37" s="9" t="n">
        <v>15</v>
      </c>
      <c r="C37" s="9" t="n">
        <v>45</v>
      </c>
      <c r="D37" s="9" t="n">
        <v>180</v>
      </c>
      <c r="E37" s="9" t="n">
        <v>8</v>
      </c>
      <c r="F37" s="9" t="n">
        <v>3</v>
      </c>
      <c r="G37" s="9" t="n">
        <v>2</v>
      </c>
      <c r="H37" s="9" t="n">
        <v>0.4</v>
      </c>
      <c r="I37" s="9" t="n">
        <v>1.3</v>
      </c>
      <c r="K37" s="9" t="n">
        <v>30</v>
      </c>
      <c r="L37" s="9" t="n">
        <v>80</v>
      </c>
      <c r="M37" s="9" t="n">
        <v>250</v>
      </c>
    </row>
    <row r="38" customFormat="false" ht="15" hidden="false" customHeight="false" outlineLevel="0" collapsed="false">
      <c r="A38" s="4" t="s">
        <v>117</v>
      </c>
      <c r="B38" s="9" t="n">
        <v>30</v>
      </c>
      <c r="C38" s="9" t="n">
        <v>75</v>
      </c>
      <c r="D38" s="9" t="n">
        <v>200</v>
      </c>
      <c r="E38" s="9" t="n">
        <v>13</v>
      </c>
      <c r="F38" s="9" t="n">
        <v>4</v>
      </c>
      <c r="G38" s="9" t="n">
        <v>2</v>
      </c>
      <c r="H38" s="9" t="n">
        <v>1</v>
      </c>
      <c r="I38" s="9" t="n">
        <v>1.5</v>
      </c>
      <c r="K38" s="9" t="n">
        <v>45</v>
      </c>
      <c r="L38" s="9" t="n">
        <v>105</v>
      </c>
      <c r="M38" s="9" t="n">
        <v>320</v>
      </c>
    </row>
    <row r="39" customFormat="false" ht="15" hidden="false" customHeight="false" outlineLevel="0" collapsed="false">
      <c r="A39" s="4" t="s">
        <v>118</v>
      </c>
      <c r="B39" s="9" t="n">
        <v>20</v>
      </c>
      <c r="C39" s="9" t="n">
        <v>90</v>
      </c>
      <c r="D39" s="9" t="n">
        <v>220</v>
      </c>
      <c r="E39" s="9" t="n">
        <v>12</v>
      </c>
      <c r="F39" s="9" t="n">
        <v>6</v>
      </c>
      <c r="G39" s="9" t="n">
        <v>2</v>
      </c>
      <c r="H39" s="9" t="n">
        <v>1</v>
      </c>
      <c r="I39" s="9" t="n">
        <v>2.5</v>
      </c>
      <c r="K39" s="9" t="n">
        <v>40</v>
      </c>
      <c r="L39" s="9" t="n">
        <v>100</v>
      </c>
      <c r="M39" s="9" t="n">
        <v>305</v>
      </c>
    </row>
    <row r="40" customFormat="false" ht="15" hidden="false" customHeight="false" outlineLevel="0" collapsed="false">
      <c r="A40" s="4" t="s">
        <v>119</v>
      </c>
      <c r="B40" s="9" t="n">
        <v>70</v>
      </c>
      <c r="C40" s="9" t="n">
        <v>130</v>
      </c>
      <c r="D40" s="9" t="n">
        <v>300</v>
      </c>
      <c r="E40" s="9" t="n">
        <v>28</v>
      </c>
      <c r="F40" s="9" t="n">
        <v>25</v>
      </c>
      <c r="G40" s="9" t="n">
        <v>1.4</v>
      </c>
      <c r="H40" s="9" t="n">
        <v>1</v>
      </c>
      <c r="I40" s="9" t="n">
        <v>5.5</v>
      </c>
      <c r="K40" s="9" t="n">
        <v>70</v>
      </c>
      <c r="L40" s="9" t="n">
        <v>165</v>
      </c>
      <c r="M40" s="9" t="n">
        <v>450</v>
      </c>
    </row>
    <row r="41" customFormat="false" ht="15" hidden="false" customHeight="false" outlineLevel="0" collapsed="false">
      <c r="A41" s="4" t="s">
        <v>120</v>
      </c>
      <c r="B41" s="9" t="n">
        <v>45</v>
      </c>
      <c r="C41" s="9" t="n">
        <v>95</v>
      </c>
      <c r="D41" s="9" t="n">
        <v>220</v>
      </c>
      <c r="E41" s="9" t="n">
        <v>15</v>
      </c>
      <c r="F41" s="9" t="n">
        <v>8</v>
      </c>
      <c r="G41" s="9" t="n">
        <v>3</v>
      </c>
      <c r="H41" s="9" t="n">
        <v>1.5</v>
      </c>
      <c r="I41" s="9" t="n">
        <v>2.5</v>
      </c>
      <c r="K41" s="9" t="n">
        <v>50</v>
      </c>
      <c r="L41" s="9" t="n">
        <v>125</v>
      </c>
      <c r="M41" s="9" t="n">
        <v>365</v>
      </c>
    </row>
    <row r="42" customFormat="false" ht="15" hidden="false" customHeight="false" outlineLevel="0" collapsed="false">
      <c r="A42" s="4" t="s">
        <v>121</v>
      </c>
      <c r="B42" s="9" t="n">
        <v>40</v>
      </c>
      <c r="C42" s="9" t="n">
        <v>85</v>
      </c>
      <c r="D42" s="9" t="n">
        <v>300</v>
      </c>
      <c r="E42" s="9" t="n">
        <v>15</v>
      </c>
      <c r="F42" s="9" t="n">
        <v>4</v>
      </c>
      <c r="G42" s="9" t="n">
        <v>3</v>
      </c>
      <c r="H42" s="9" t="n">
        <v>1</v>
      </c>
      <c r="I42" s="9" t="n">
        <v>2.5</v>
      </c>
      <c r="K42" s="9" t="n">
        <v>50</v>
      </c>
      <c r="L42" s="9" t="n">
        <v>130</v>
      </c>
      <c r="M42" s="9" t="n">
        <v>395</v>
      </c>
    </row>
    <row r="43" customFormat="false" ht="15" hidden="false" customHeight="false" outlineLevel="0" collapsed="false">
      <c r="A43" s="4" t="s">
        <v>122</v>
      </c>
      <c r="B43" s="9" t="n">
        <v>90</v>
      </c>
      <c r="C43" s="9" t="n">
        <v>200</v>
      </c>
      <c r="D43" s="9" t="n">
        <v>650</v>
      </c>
      <c r="E43" s="9" t="n">
        <v>40</v>
      </c>
      <c r="F43" s="9" t="n">
        <v>20</v>
      </c>
      <c r="G43" s="9" t="n">
        <v>4</v>
      </c>
      <c r="H43" s="9" t="n">
        <v>1.5</v>
      </c>
      <c r="I43" s="9" t="n">
        <v>4</v>
      </c>
      <c r="K43" s="9" t="n">
        <v>105</v>
      </c>
      <c r="L43" s="9" t="n">
        <v>275</v>
      </c>
      <c r="M43" s="9" t="n">
        <v>830</v>
      </c>
    </row>
    <row r="44" customFormat="false" ht="15" hidden="false" customHeight="false" outlineLevel="0" collapsed="false">
      <c r="A44" s="4" t="s">
        <v>123</v>
      </c>
      <c r="B44" s="9" t="n">
        <v>80</v>
      </c>
      <c r="C44" s="9" t="n">
        <v>130</v>
      </c>
      <c r="D44" s="9" t="n">
        <v>320</v>
      </c>
      <c r="E44" s="9" t="n">
        <v>25</v>
      </c>
      <c r="F44" s="9" t="n">
        <v>25</v>
      </c>
      <c r="G44" s="9" t="n">
        <v>3.5</v>
      </c>
      <c r="H44" s="9" t="n">
        <v>3</v>
      </c>
      <c r="I44" s="9" t="n">
        <v>4.5</v>
      </c>
      <c r="K44" s="9" t="n">
        <v>85</v>
      </c>
      <c r="L44" s="9" t="n">
        <v>200</v>
      </c>
      <c r="M44" s="9" t="n">
        <v>550</v>
      </c>
    </row>
    <row r="45" customFormat="false" ht="15" hidden="false" customHeight="false" outlineLevel="0" collapsed="false">
      <c r="A45" s="4" t="s">
        <v>124</v>
      </c>
      <c r="B45" s="9" t="n">
        <v>30</v>
      </c>
      <c r="C45" s="9" t="n">
        <v>70</v>
      </c>
      <c r="D45" s="9" t="n">
        <v>180</v>
      </c>
      <c r="E45" s="9" t="n">
        <v>15</v>
      </c>
      <c r="F45" s="9" t="n">
        <v>5</v>
      </c>
      <c r="G45" s="9" t="n">
        <v>2.5</v>
      </c>
      <c r="H45" s="9" t="n">
        <v>1</v>
      </c>
      <c r="I45" s="9" t="n">
        <v>3</v>
      </c>
      <c r="K45" s="9" t="n">
        <v>45</v>
      </c>
      <c r="L45" s="9" t="n">
        <v>110</v>
      </c>
      <c r="M45" s="9" t="n">
        <v>325</v>
      </c>
    </row>
    <row r="46" customFormat="false" ht="15" hidden="false" customHeight="false" outlineLevel="0" collapsed="false">
      <c r="A46" s="4" t="s">
        <v>125</v>
      </c>
      <c r="B46" s="9" t="n">
        <v>45</v>
      </c>
      <c r="C46" s="9" t="n">
        <v>90</v>
      </c>
      <c r="D46" s="9" t="n">
        <v>280</v>
      </c>
      <c r="E46" s="9" t="n">
        <v>18</v>
      </c>
      <c r="F46" s="9" t="n">
        <v>15</v>
      </c>
      <c r="G46" s="9" t="n">
        <v>2.5</v>
      </c>
      <c r="H46" s="9" t="n">
        <v>1.5</v>
      </c>
      <c r="I46" s="9" t="n">
        <v>2</v>
      </c>
      <c r="K46" s="9" t="n">
        <v>55</v>
      </c>
      <c r="L46" s="9" t="n">
        <v>130</v>
      </c>
      <c r="M46" s="9" t="n">
        <v>360</v>
      </c>
    </row>
    <row r="47" customFormat="false" ht="15" hidden="false" customHeight="false" outlineLevel="0" collapsed="false">
      <c r="A47" s="4" t="s">
        <v>126</v>
      </c>
      <c r="B47" s="9" t="n">
        <v>40</v>
      </c>
      <c r="C47" s="9" t="n">
        <v>90</v>
      </c>
      <c r="D47" s="9" t="n">
        <v>250</v>
      </c>
      <c r="E47" s="9" t="n">
        <v>20</v>
      </c>
      <c r="F47" s="9" t="n">
        <v>12</v>
      </c>
      <c r="G47" s="9" t="n">
        <v>2.5</v>
      </c>
      <c r="H47" s="9" t="n">
        <v>1.5</v>
      </c>
      <c r="I47" s="9" t="n">
        <v>3.5</v>
      </c>
      <c r="K47" s="9" t="n">
        <v>50</v>
      </c>
      <c r="L47" s="9" t="n">
        <v>120</v>
      </c>
      <c r="M47" s="9" t="n">
        <v>350</v>
      </c>
    </row>
    <row r="48" customFormat="false" ht="15" hidden="false" customHeight="false" outlineLevel="0" collapsed="false">
      <c r="A48" s="4" t="s">
        <v>127</v>
      </c>
      <c r="B48" s="9" t="n">
        <v>20</v>
      </c>
      <c r="C48" s="9" t="n">
        <v>70</v>
      </c>
      <c r="D48" s="9" t="n">
        <v>180</v>
      </c>
      <c r="E48" s="9" t="n">
        <v>15</v>
      </c>
      <c r="F48" s="9" t="n">
        <v>6</v>
      </c>
      <c r="G48" s="9" t="n">
        <v>3</v>
      </c>
      <c r="H48" s="9" t="n">
        <v>1</v>
      </c>
      <c r="I48" s="9" t="n">
        <v>2.5</v>
      </c>
      <c r="K48" s="9" t="n">
        <v>40</v>
      </c>
      <c r="L48" s="9" t="n">
        <v>105</v>
      </c>
      <c r="M48" s="9" t="n">
        <v>315</v>
      </c>
    </row>
    <row r="49" customFormat="false" ht="15" hidden="false" customHeight="false" outlineLevel="0" collapsed="false">
      <c r="A49" s="4" t="s">
        <v>128</v>
      </c>
      <c r="B49" s="9" t="n">
        <v>40</v>
      </c>
      <c r="C49" s="9" t="n">
        <v>80</v>
      </c>
      <c r="D49" s="9" t="n">
        <v>220</v>
      </c>
      <c r="E49" s="9" t="n">
        <v>15</v>
      </c>
      <c r="F49" s="9" t="n">
        <v>12</v>
      </c>
      <c r="G49" s="9" t="n">
        <v>4</v>
      </c>
      <c r="H49" s="9" t="n">
        <v>1</v>
      </c>
      <c r="I49" s="9" t="n">
        <v>3.5</v>
      </c>
      <c r="K49" s="9" t="n">
        <v>60</v>
      </c>
      <c r="L49" s="9" t="n">
        <v>140</v>
      </c>
      <c r="M49" s="9" t="n">
        <v>390</v>
      </c>
    </row>
    <row r="50" customFormat="false" ht="15" hidden="false" customHeight="false" outlineLevel="0" collapsed="false">
      <c r="A50" s="4" t="s">
        <v>129</v>
      </c>
      <c r="B50" s="9" t="n">
        <v>30</v>
      </c>
      <c r="C50" s="9" t="n">
        <v>70</v>
      </c>
      <c r="D50" s="9" t="n">
        <v>180</v>
      </c>
      <c r="E50" s="9" t="n">
        <v>12</v>
      </c>
      <c r="F50" s="9" t="n">
        <v>8</v>
      </c>
      <c r="G50" s="9" t="n">
        <v>1.5</v>
      </c>
      <c r="H50" s="9" t="n">
        <v>0.3</v>
      </c>
      <c r="I50" s="9" t="n">
        <v>2.5</v>
      </c>
      <c r="K50" s="9" t="n">
        <v>35</v>
      </c>
      <c r="L50" s="9" t="n">
        <v>85</v>
      </c>
      <c r="M50" s="9" t="n">
        <v>280</v>
      </c>
    </row>
    <row r="51" customFormat="false" ht="15" hidden="false" customHeight="false" outlineLevel="0" collapsed="false">
      <c r="A51" s="4" t="s">
        <v>130</v>
      </c>
      <c r="B51" s="9" t="n">
        <v>55</v>
      </c>
      <c r="C51" s="9" t="n">
        <v>120</v>
      </c>
      <c r="D51" s="9" t="n">
        <v>350</v>
      </c>
      <c r="E51" s="9" t="n">
        <v>20</v>
      </c>
      <c r="F51" s="9" t="n">
        <v>12</v>
      </c>
      <c r="G51" s="9" t="n">
        <v>3</v>
      </c>
      <c r="H51" s="9" t="n">
        <v>0.8</v>
      </c>
      <c r="I51" s="9" t="n">
        <v>2.5</v>
      </c>
      <c r="K51" s="9" t="n">
        <v>60</v>
      </c>
      <c r="L51" s="9" t="n">
        <v>150</v>
      </c>
      <c r="M51" s="9" t="n">
        <v>450</v>
      </c>
    </row>
    <row r="52" customFormat="false" ht="15" hidden="false" customHeight="false" outlineLevel="0" collapsed="false">
      <c r="A52" s="4" t="s">
        <v>131</v>
      </c>
      <c r="B52" s="9" t="n">
        <v>40</v>
      </c>
      <c r="C52" s="9" t="n">
        <v>90</v>
      </c>
      <c r="D52" s="9" t="n">
        <v>250</v>
      </c>
      <c r="E52" s="9" t="n">
        <v>15</v>
      </c>
      <c r="F52" s="9" t="n">
        <v>12</v>
      </c>
      <c r="G52" s="9" t="n">
        <v>2.5</v>
      </c>
      <c r="H52" s="9" t="n">
        <v>0.8</v>
      </c>
      <c r="I52" s="9" t="n">
        <v>2.5</v>
      </c>
      <c r="K52" s="9" t="n">
        <v>45</v>
      </c>
      <c r="L52" s="9" t="n">
        <v>110</v>
      </c>
      <c r="M52" s="9" t="n">
        <v>350</v>
      </c>
    </row>
    <row r="53" customFormat="false" ht="15" hidden="false" customHeight="false" outlineLevel="0" collapsed="false">
      <c r="A53" s="4" t="s">
        <v>132</v>
      </c>
      <c r="B53" s="9" t="n">
        <v>20</v>
      </c>
      <c r="C53" s="9" t="n">
        <v>75</v>
      </c>
      <c r="D53" s="9" t="n">
        <v>200</v>
      </c>
      <c r="E53" s="9" t="n">
        <v>15</v>
      </c>
      <c r="F53" s="9" t="n">
        <v>6</v>
      </c>
      <c r="G53" s="9" t="n">
        <v>2</v>
      </c>
      <c r="H53" s="9" t="n">
        <v>1</v>
      </c>
      <c r="I53" s="9" t="n">
        <v>3</v>
      </c>
      <c r="K53" s="9" t="n">
        <v>40</v>
      </c>
      <c r="L53" s="9" t="n">
        <v>105</v>
      </c>
      <c r="M53" s="9" t="n">
        <v>320</v>
      </c>
    </row>
    <row r="54" customFormat="false" ht="15" hidden="false" customHeight="false" outlineLevel="0" collapsed="false">
      <c r="A54" s="4" t="s">
        <v>133</v>
      </c>
      <c r="B54" s="9" t="n">
        <v>60</v>
      </c>
      <c r="C54" s="9" t="n">
        <v>180</v>
      </c>
      <c r="D54" s="9" t="n">
        <v>500</v>
      </c>
      <c r="E54" s="9" t="n">
        <v>25</v>
      </c>
      <c r="F54" s="9" t="n">
        <v>15</v>
      </c>
      <c r="G54" s="9" t="n">
        <v>3.5</v>
      </c>
      <c r="H54" s="9" t="n">
        <v>1.5</v>
      </c>
      <c r="I54" s="9" t="n">
        <v>4</v>
      </c>
      <c r="K54" s="9" t="n">
        <v>75</v>
      </c>
      <c r="L54" s="9" t="n">
        <v>200</v>
      </c>
      <c r="M54" s="9" t="n">
        <v>595</v>
      </c>
    </row>
    <row r="55" customFormat="false" ht="15" hidden="false" customHeight="false" outlineLevel="0" collapsed="false">
      <c r="A55" s="4" t="s">
        <v>134</v>
      </c>
      <c r="B55" s="9" t="n">
        <v>20</v>
      </c>
      <c r="C55" s="9" t="n">
        <v>45</v>
      </c>
      <c r="D55" s="9" t="n">
        <v>120</v>
      </c>
      <c r="E55" s="9" t="n">
        <v>6</v>
      </c>
      <c r="F55" s="9" t="n">
        <v>3</v>
      </c>
      <c r="G55" s="9" t="n">
        <v>4</v>
      </c>
      <c r="H55" s="9" t="n">
        <v>0.3</v>
      </c>
      <c r="I55" s="9" t="n">
        <v>1.5</v>
      </c>
      <c r="K55" s="9" t="n">
        <v>30</v>
      </c>
      <c r="L55" s="9" t="n">
        <v>70</v>
      </c>
      <c r="M55" s="9" t="n">
        <v>200</v>
      </c>
    </row>
    <row r="56" customFormat="false" ht="15" hidden="false" customHeight="false" outlineLevel="0" collapsed="false">
      <c r="A56" s="4" t="s">
        <v>135</v>
      </c>
      <c r="B56" s="9" t="n">
        <v>20</v>
      </c>
      <c r="C56" s="9" t="n">
        <v>60</v>
      </c>
      <c r="D56" s="9" t="n">
        <v>180</v>
      </c>
      <c r="E56" s="9" t="n">
        <v>6</v>
      </c>
      <c r="F56" s="9" t="n">
        <v>3</v>
      </c>
      <c r="G56" s="9" t="n">
        <v>4</v>
      </c>
      <c r="H56" s="9" t="n">
        <v>0.4</v>
      </c>
      <c r="I56" s="9" t="n">
        <v>1.5</v>
      </c>
      <c r="K56" s="9" t="n">
        <v>30</v>
      </c>
      <c r="L56" s="9" t="n">
        <v>75</v>
      </c>
      <c r="M56" s="9" t="n">
        <v>220</v>
      </c>
    </row>
    <row r="57" customFormat="false" ht="15" hidden="false" customHeight="false" outlineLevel="0" collapsed="false">
      <c r="A57" s="4" t="s">
        <v>136</v>
      </c>
      <c r="B57" s="9" t="n">
        <v>15</v>
      </c>
      <c r="C57" s="9" t="n">
        <v>45</v>
      </c>
      <c r="D57" s="9" t="n">
        <v>120</v>
      </c>
      <c r="E57" s="9" t="n">
        <v>4</v>
      </c>
      <c r="F57" s="9" t="n">
        <v>3</v>
      </c>
      <c r="G57" s="9" t="n">
        <v>1</v>
      </c>
      <c r="H57" s="9" t="n">
        <v>0.25</v>
      </c>
      <c r="I57" s="9" t="n">
        <v>3</v>
      </c>
      <c r="K57" s="9" t="n">
        <v>25</v>
      </c>
      <c r="L57" s="9" t="n">
        <v>65</v>
      </c>
      <c r="M57" s="9" t="n">
        <v>180</v>
      </c>
    </row>
    <row r="58" customFormat="false" ht="15" hidden="false" customHeight="false" outlineLevel="0" collapsed="false">
      <c r="A58" s="4" t="s">
        <v>137</v>
      </c>
      <c r="B58" s="9" t="n">
        <v>15</v>
      </c>
      <c r="C58" s="9" t="n">
        <v>55</v>
      </c>
      <c r="D58" s="9" t="n">
        <v>120</v>
      </c>
      <c r="E58" s="9" t="n">
        <v>4</v>
      </c>
      <c r="F58" s="9" t="n">
        <v>3</v>
      </c>
      <c r="G58" s="9" t="n">
        <v>2</v>
      </c>
      <c r="H58" s="9" t="n">
        <v>0.4</v>
      </c>
      <c r="I58" s="9" t="n">
        <v>8</v>
      </c>
      <c r="K58" s="9" t="n">
        <v>25</v>
      </c>
      <c r="L58" s="9" t="n">
        <v>60</v>
      </c>
      <c r="M58" s="9" t="n">
        <v>180</v>
      </c>
    </row>
    <row r="59" customFormat="false" ht="15" hidden="false" customHeight="false" outlineLevel="0" collapsed="false">
      <c r="A59" s="4" t="s">
        <v>138</v>
      </c>
      <c r="B59" s="9" t="n">
        <v>20</v>
      </c>
      <c r="C59" s="9" t="n">
        <v>60</v>
      </c>
      <c r="D59" s="9" t="n">
        <v>150</v>
      </c>
      <c r="E59" s="9" t="n">
        <v>12</v>
      </c>
      <c r="F59" s="9" t="n">
        <v>4</v>
      </c>
      <c r="G59" s="9" t="n">
        <v>2</v>
      </c>
      <c r="H59" s="9" t="n">
        <v>0.6</v>
      </c>
      <c r="I59" s="9" t="n">
        <v>2</v>
      </c>
      <c r="K59" s="9" t="n">
        <v>35</v>
      </c>
      <c r="L59" s="9" t="n">
        <v>90</v>
      </c>
      <c r="M59" s="9" t="n">
        <v>275</v>
      </c>
    </row>
    <row r="60" customFormat="false" ht="15" hidden="false" customHeight="false" outlineLevel="0" collapsed="false">
      <c r="A60" s="4" t="s">
        <v>139</v>
      </c>
      <c r="B60" s="9" t="n">
        <v>20</v>
      </c>
      <c r="C60" s="9" t="n">
        <v>55</v>
      </c>
      <c r="D60" s="9" t="n">
        <v>180</v>
      </c>
      <c r="E60" s="9" t="n">
        <v>8</v>
      </c>
      <c r="F60" s="9" t="n">
        <v>4</v>
      </c>
      <c r="G60" s="9" t="n">
        <v>4</v>
      </c>
      <c r="H60" s="9" t="n">
        <v>0.4</v>
      </c>
      <c r="I60" s="9" t="n">
        <v>1.5</v>
      </c>
      <c r="K60" s="9" t="n">
        <v>30</v>
      </c>
      <c r="L60" s="9" t="n">
        <v>80</v>
      </c>
      <c r="M60" s="9" t="n">
        <v>250</v>
      </c>
    </row>
    <row r="61" customFormat="false" ht="15" hidden="false" customHeight="false" outlineLevel="0" collapsed="false">
      <c r="A61" s="4" t="s">
        <v>140</v>
      </c>
      <c r="B61" s="9" t="n">
        <v>15</v>
      </c>
      <c r="C61" s="9" t="n">
        <v>70</v>
      </c>
      <c r="D61" s="9" t="n">
        <v>300</v>
      </c>
      <c r="E61" s="9" t="n">
        <v>8</v>
      </c>
      <c r="F61" s="9" t="n">
        <v>4</v>
      </c>
      <c r="G61" s="9" t="n">
        <v>2.5</v>
      </c>
      <c r="H61" s="9" t="n">
        <v>0.4</v>
      </c>
      <c r="I61" s="9" t="n">
        <v>3</v>
      </c>
      <c r="K61" s="9" t="n">
        <v>35</v>
      </c>
      <c r="L61" s="9" t="n">
        <v>95</v>
      </c>
      <c r="M61" s="9" t="n">
        <v>305</v>
      </c>
    </row>
    <row r="62" customFormat="false" ht="15" hidden="false" customHeight="false" outlineLevel="0" collapsed="false">
      <c r="A62" s="4" t="s">
        <v>141</v>
      </c>
      <c r="B62" s="9" t="n">
        <v>25</v>
      </c>
      <c r="C62" s="9" t="n">
        <v>70</v>
      </c>
      <c r="D62" s="9" t="n">
        <v>150</v>
      </c>
      <c r="E62" s="9" t="n">
        <v>12</v>
      </c>
      <c r="F62" s="9" t="n">
        <v>4</v>
      </c>
      <c r="G62" s="9" t="n">
        <v>2.5</v>
      </c>
      <c r="H62" s="9" t="n">
        <v>0.6</v>
      </c>
      <c r="I62" s="9" t="n">
        <v>3</v>
      </c>
      <c r="K62" s="9" t="n">
        <v>40</v>
      </c>
      <c r="L62" s="9" t="n">
        <v>95</v>
      </c>
      <c r="M62" s="9" t="n">
        <v>280</v>
      </c>
    </row>
    <row r="63" customFormat="false" ht="15" hidden="false" customHeight="false" outlineLevel="0" collapsed="false">
      <c r="A63" s="4" t="s">
        <v>142</v>
      </c>
      <c r="B63" s="9" t="n">
        <v>100</v>
      </c>
      <c r="C63" s="9" t="n">
        <v>180</v>
      </c>
      <c r="D63" s="9" t="n">
        <v>400</v>
      </c>
      <c r="E63" s="9" t="n">
        <v>30</v>
      </c>
      <c r="F63" s="9" t="n">
        <v>35</v>
      </c>
      <c r="G63" s="9" t="n">
        <v>5.5</v>
      </c>
      <c r="H63" s="9" t="n">
        <v>3</v>
      </c>
      <c r="I63" s="9" t="n">
        <v>7.5</v>
      </c>
      <c r="K63" s="9" t="n">
        <v>100</v>
      </c>
      <c r="L63" s="9" t="n">
        <v>240</v>
      </c>
      <c r="M63" s="9" t="n">
        <v>650</v>
      </c>
    </row>
    <row r="64" customFormat="false" ht="15" hidden="false" customHeight="false" outlineLevel="0" collapsed="false">
      <c r="A64" s="4" t="s">
        <v>143</v>
      </c>
      <c r="B64" s="9" t="n">
        <v>25</v>
      </c>
      <c r="C64" s="9" t="n">
        <v>75</v>
      </c>
      <c r="D64" s="9" t="n">
        <v>300</v>
      </c>
      <c r="E64" s="9" t="n">
        <v>10</v>
      </c>
      <c r="F64" s="9" t="n">
        <v>5</v>
      </c>
      <c r="G64" s="9" t="n">
        <v>2.5</v>
      </c>
      <c r="H64" s="9" t="n">
        <v>0.7</v>
      </c>
      <c r="I64" s="9" t="n">
        <v>2</v>
      </c>
      <c r="K64" s="9" t="n">
        <v>40</v>
      </c>
      <c r="L64" s="9" t="n">
        <v>105</v>
      </c>
      <c r="M64" s="9" t="n">
        <v>335</v>
      </c>
    </row>
    <row r="65" customFormat="false" ht="15" hidden="false" customHeight="false" outlineLevel="0" collapsed="false">
      <c r="A65" s="4" t="s">
        <v>144</v>
      </c>
      <c r="B65" s="9" t="n">
        <v>30</v>
      </c>
      <c r="C65" s="9" t="n">
        <v>90</v>
      </c>
      <c r="D65" s="9" t="n">
        <v>220</v>
      </c>
      <c r="E65" s="9" t="n">
        <v>12</v>
      </c>
      <c r="F65" s="9" t="n">
        <v>6</v>
      </c>
      <c r="G65" s="9" t="n">
        <v>2.5</v>
      </c>
      <c r="H65" s="9" t="n">
        <v>0.8</v>
      </c>
      <c r="I65" s="9" t="n">
        <v>3</v>
      </c>
      <c r="K65" s="9" t="n">
        <v>45</v>
      </c>
      <c r="L65" s="9" t="n">
        <v>110</v>
      </c>
      <c r="M65" s="9" t="n">
        <v>320</v>
      </c>
    </row>
    <row r="66" customFormat="false" ht="15" hidden="false" customHeight="false" outlineLevel="0" collapsed="false">
      <c r="A66" s="4" t="s">
        <v>145</v>
      </c>
      <c r="B66" s="9" t="n">
        <v>22</v>
      </c>
      <c r="C66" s="9" t="n">
        <v>60</v>
      </c>
      <c r="D66" s="9" t="n">
        <v>130</v>
      </c>
      <c r="E66" s="9" t="n">
        <v>8</v>
      </c>
      <c r="F66" s="9" t="n">
        <v>4</v>
      </c>
      <c r="G66" s="9" t="n">
        <v>3.5</v>
      </c>
      <c r="H66" s="9" t="n">
        <v>0.5</v>
      </c>
      <c r="I66" s="9" t="n">
        <v>1.5</v>
      </c>
      <c r="K66" s="9" t="n">
        <v>40</v>
      </c>
      <c r="L66" s="9" t="n">
        <v>90</v>
      </c>
      <c r="M66" s="9" t="n">
        <v>260</v>
      </c>
    </row>
    <row r="67" customFormat="false" ht="15" hidden="false" customHeight="false" outlineLevel="0" collapsed="false">
      <c r="A67" s="4" t="s">
        <v>146</v>
      </c>
      <c r="B67" s="9" t="n">
        <v>25</v>
      </c>
      <c r="C67" s="9" t="n">
        <v>75</v>
      </c>
      <c r="D67" s="9" t="n">
        <v>220</v>
      </c>
      <c r="E67" s="9" t="n">
        <v>10</v>
      </c>
      <c r="F67" s="9" t="n">
        <v>4</v>
      </c>
      <c r="G67" s="9" t="n">
        <v>2</v>
      </c>
      <c r="H67" s="9" t="n">
        <v>0.5</v>
      </c>
      <c r="I67" s="9" t="n">
        <v>4</v>
      </c>
      <c r="K67" s="9" t="n">
        <v>40</v>
      </c>
      <c r="L67" s="9" t="n">
        <v>100</v>
      </c>
      <c r="M67" s="9" t="n">
        <v>300</v>
      </c>
    </row>
    <row r="68" customFormat="false" ht="15" hidden="false" customHeight="false" outlineLevel="0" collapsed="false">
      <c r="A68" s="4" t="s">
        <v>147</v>
      </c>
      <c r="B68" s="9" t="n">
        <v>25</v>
      </c>
      <c r="C68" s="9" t="n">
        <v>70</v>
      </c>
      <c r="D68" s="9" t="n">
        <v>250</v>
      </c>
      <c r="E68" s="9" t="n">
        <v>12</v>
      </c>
      <c r="F68" s="9" t="n">
        <v>8</v>
      </c>
      <c r="G68" s="9" t="n">
        <v>2.5</v>
      </c>
      <c r="H68" s="9" t="n">
        <v>0.3</v>
      </c>
      <c r="I68" s="9" t="n">
        <v>3.5</v>
      </c>
      <c r="K68" s="9" t="n">
        <v>30</v>
      </c>
      <c r="L68" s="9" t="n">
        <v>75</v>
      </c>
      <c r="M68" s="9" t="n">
        <v>250</v>
      </c>
    </row>
    <row r="69" customFormat="false" ht="15" hidden="false" customHeight="false" outlineLevel="0" collapsed="false">
      <c r="A69" s="4" t="s">
        <v>148</v>
      </c>
      <c r="B69" s="9" t="n">
        <v>25</v>
      </c>
      <c r="C69" s="9" t="n">
        <v>60</v>
      </c>
      <c r="D69" s="9" t="n">
        <v>180</v>
      </c>
      <c r="E69" s="9" t="n">
        <v>12</v>
      </c>
      <c r="F69" s="9" t="n">
        <v>12</v>
      </c>
      <c r="G69" s="9" t="n">
        <v>2</v>
      </c>
      <c r="H69" s="9" t="n">
        <v>0.5</v>
      </c>
      <c r="I69" s="9" t="n">
        <v>2.5</v>
      </c>
      <c r="K69" s="9" t="n">
        <v>35</v>
      </c>
      <c r="L69" s="9" t="n">
        <v>85</v>
      </c>
      <c r="M69" s="9" t="n">
        <v>280</v>
      </c>
    </row>
    <row r="70" customFormat="false" ht="15" hidden="false" customHeight="false" outlineLevel="0" collapsed="false">
      <c r="A70" s="4" t="s">
        <v>149</v>
      </c>
      <c r="B70" s="9" t="n">
        <v>20</v>
      </c>
      <c r="C70" s="9" t="n">
        <v>70</v>
      </c>
      <c r="D70" s="9" t="n">
        <v>180</v>
      </c>
      <c r="E70" s="9" t="n">
        <v>6</v>
      </c>
      <c r="F70" s="9" t="n">
        <v>4</v>
      </c>
      <c r="G70" s="9" t="n">
        <v>2.5</v>
      </c>
      <c r="H70" s="9" t="n">
        <v>0.3</v>
      </c>
      <c r="J70" s="9" t="s">
        <v>82</v>
      </c>
      <c r="K70" s="9" t="n">
        <v>30</v>
      </c>
      <c r="L70" s="9" t="n">
        <v>80</v>
      </c>
      <c r="M70" s="9" t="n">
        <v>240</v>
      </c>
    </row>
    <row r="71" customFormat="false" ht="15" hidden="false" customHeight="false" outlineLevel="0" collapsed="false">
      <c r="A71" s="4" t="s">
        <v>150</v>
      </c>
      <c r="B71" s="9" t="n">
        <v>20</v>
      </c>
      <c r="C71" s="9" t="n">
        <v>70</v>
      </c>
      <c r="D71" s="9" t="n">
        <v>150</v>
      </c>
      <c r="E71" s="9" t="n">
        <v>10</v>
      </c>
      <c r="F71" s="9" t="n">
        <v>4</v>
      </c>
      <c r="G71" s="9" t="n">
        <v>2</v>
      </c>
      <c r="H71" s="9" t="n">
        <v>1</v>
      </c>
      <c r="I71" s="9" t="n">
        <v>3.5</v>
      </c>
      <c r="K71" s="9" t="n">
        <v>35</v>
      </c>
      <c r="L71" s="9" t="n">
        <v>85</v>
      </c>
      <c r="M71" s="9" t="n">
        <v>260</v>
      </c>
    </row>
    <row r="72" customFormat="false" ht="15" hidden="false" customHeight="false" outlineLevel="0" collapsed="false">
      <c r="A72" s="4" t="s">
        <v>151</v>
      </c>
      <c r="B72" s="9" t="n">
        <v>30</v>
      </c>
      <c r="C72" s="9" t="n">
        <v>90</v>
      </c>
      <c r="D72" s="9" t="n">
        <v>260</v>
      </c>
      <c r="E72" s="9" t="n">
        <v>12</v>
      </c>
      <c r="F72" s="9" t="n">
        <v>5</v>
      </c>
      <c r="G72" s="9" t="n">
        <v>2.5</v>
      </c>
      <c r="H72" s="9" t="n">
        <v>1</v>
      </c>
      <c r="I72" s="9" t="n">
        <v>5</v>
      </c>
      <c r="K72" s="9" t="n">
        <v>45</v>
      </c>
      <c r="L72" s="9" t="n">
        <v>110</v>
      </c>
      <c r="M72" s="9" t="n">
        <v>340</v>
      </c>
    </row>
    <row r="73" customFormat="false" ht="15" hidden="false" customHeight="false" outlineLevel="0" collapsed="false">
      <c r="A73" s="4" t="s">
        <v>152</v>
      </c>
      <c r="B73" s="9" t="n">
        <v>80</v>
      </c>
      <c r="C73" s="9" t="n">
        <v>150</v>
      </c>
      <c r="D73" s="9" t="n">
        <v>400</v>
      </c>
      <c r="E73" s="9" t="n">
        <v>30</v>
      </c>
      <c r="F73" s="9" t="n">
        <v>15</v>
      </c>
      <c r="G73" s="9" t="n">
        <v>5</v>
      </c>
      <c r="H73" s="9" t="n">
        <v>1</v>
      </c>
      <c r="J73" s="9" t="s">
        <v>82</v>
      </c>
      <c r="K73" s="9" t="n">
        <v>70</v>
      </c>
      <c r="L73" s="9" t="n">
        <v>180</v>
      </c>
      <c r="M73" s="9" t="n">
        <v>550</v>
      </c>
    </row>
    <row r="74" customFormat="false" ht="15" hidden="false" customHeight="false" outlineLevel="0" collapsed="false">
      <c r="A74" s="4" t="s">
        <v>153</v>
      </c>
      <c r="B74" s="9" t="n">
        <v>20</v>
      </c>
      <c r="C74" s="9" t="n">
        <v>55</v>
      </c>
      <c r="D74" s="9" t="n">
        <v>130</v>
      </c>
      <c r="E74" s="9" t="n">
        <v>6</v>
      </c>
      <c r="F74" s="9" t="n">
        <v>4</v>
      </c>
      <c r="G74" s="9" t="n">
        <v>3.5</v>
      </c>
      <c r="H74" s="9" t="n">
        <v>0.4</v>
      </c>
      <c r="I74" s="9" t="n">
        <v>1.5</v>
      </c>
      <c r="K74" s="9" t="n">
        <v>30</v>
      </c>
      <c r="L74" s="9" t="n">
        <v>75</v>
      </c>
      <c r="M74" s="9" t="n">
        <v>200</v>
      </c>
    </row>
    <row r="75" customFormat="false" ht="15" hidden="false" customHeight="false" outlineLevel="0" collapsed="false">
      <c r="A75" s="4" t="s">
        <v>154</v>
      </c>
      <c r="B75" s="9" t="n">
        <v>30</v>
      </c>
      <c r="C75" s="9" t="n">
        <v>75</v>
      </c>
      <c r="D75" s="9" t="n">
        <v>250</v>
      </c>
      <c r="E75" s="9" t="n">
        <v>10</v>
      </c>
      <c r="F75" s="9" t="n">
        <v>5</v>
      </c>
      <c r="G75" s="9" t="n">
        <v>2.5</v>
      </c>
      <c r="H75" s="9" t="n">
        <v>0.6</v>
      </c>
      <c r="I75" s="9" t="n">
        <v>2</v>
      </c>
      <c r="K75" s="9" t="n">
        <v>40</v>
      </c>
      <c r="L75" s="9" t="n">
        <v>105</v>
      </c>
      <c r="M75" s="9" t="n">
        <v>320</v>
      </c>
    </row>
    <row r="76" customFormat="false" ht="15" hidden="false" customHeight="false" outlineLevel="0" collapsed="false">
      <c r="A76" s="4" t="s">
        <v>155</v>
      </c>
      <c r="B76" s="9" t="n">
        <v>50</v>
      </c>
      <c r="C76" s="9" t="n">
        <v>120</v>
      </c>
      <c r="D76" s="9" t="n">
        <v>350</v>
      </c>
      <c r="E76" s="9" t="n">
        <v>25</v>
      </c>
      <c r="F76" s="9" t="n">
        <v>8</v>
      </c>
      <c r="G76" s="9" t="n">
        <v>4.5</v>
      </c>
      <c r="H76" s="9" t="n">
        <v>0.5</v>
      </c>
      <c r="J76" s="9" t="s">
        <v>82</v>
      </c>
      <c r="K76" s="9" t="n">
        <v>75</v>
      </c>
      <c r="L76" s="9" t="n">
        <v>200</v>
      </c>
      <c r="M76" s="9" t="n">
        <v>650</v>
      </c>
    </row>
    <row r="77" customFormat="false" ht="15" hidden="false" customHeight="false" outlineLevel="0" collapsed="false">
      <c r="A77" s="4" t="s">
        <v>156</v>
      </c>
      <c r="B77" s="9" t="n">
        <v>90</v>
      </c>
      <c r="C77" s="9" t="n">
        <v>160</v>
      </c>
      <c r="D77" s="9" t="n">
        <v>350</v>
      </c>
      <c r="E77" s="9" t="n">
        <v>25</v>
      </c>
      <c r="F77" s="9" t="n">
        <v>30</v>
      </c>
      <c r="G77" s="9" t="n">
        <v>3.5</v>
      </c>
      <c r="H77" s="9" t="n">
        <v>2</v>
      </c>
      <c r="I77" s="9" t="n">
        <v>6.5</v>
      </c>
      <c r="K77" s="9" t="n">
        <v>85</v>
      </c>
      <c r="L77" s="9" t="n">
        <v>210</v>
      </c>
      <c r="M77" s="9" t="n">
        <v>580</v>
      </c>
    </row>
    <row r="78" customFormat="false" ht="15" hidden="false" customHeight="false" outlineLevel="0" collapsed="false">
      <c r="A78" s="4" t="s">
        <v>157</v>
      </c>
      <c r="B78" s="9" t="n">
        <v>50</v>
      </c>
      <c r="C78" s="9" t="n">
        <v>160</v>
      </c>
      <c r="D78" s="9" t="n">
        <v>420</v>
      </c>
      <c r="E78" s="9" t="n">
        <v>25</v>
      </c>
      <c r="F78" s="9" t="n">
        <v>15</v>
      </c>
      <c r="G78" s="9" t="n">
        <v>3</v>
      </c>
      <c r="H78" s="9" t="n">
        <v>2</v>
      </c>
      <c r="I78" s="9" t="n">
        <v>4.5</v>
      </c>
      <c r="K78" s="9" t="n">
        <v>70</v>
      </c>
      <c r="L78" s="9" t="n">
        <v>180</v>
      </c>
      <c r="M78" s="9" t="n">
        <v>545</v>
      </c>
    </row>
    <row r="79" customFormat="false" ht="15" hidden="false" customHeight="false" outlineLevel="0" collapsed="false">
      <c r="A79" s="4" t="s">
        <v>158</v>
      </c>
      <c r="B79" s="9" t="n">
        <v>15</v>
      </c>
      <c r="C79" s="9" t="n">
        <v>55</v>
      </c>
      <c r="D79" s="9" t="n">
        <v>180</v>
      </c>
      <c r="E79" s="9" t="n">
        <v>10</v>
      </c>
      <c r="F79" s="9" t="n">
        <v>3</v>
      </c>
      <c r="G79" s="9" t="n">
        <v>2</v>
      </c>
      <c r="H79" s="9" t="n">
        <v>0.5</v>
      </c>
      <c r="I79" s="9" t="n">
        <v>1.5</v>
      </c>
      <c r="K79" s="9" t="n">
        <v>35</v>
      </c>
      <c r="L79" s="9" t="n">
        <v>85</v>
      </c>
      <c r="M79" s="9" t="n">
        <v>265</v>
      </c>
    </row>
    <row r="80" customFormat="false" ht="15" hidden="false" customHeight="false" outlineLevel="0" collapsed="false">
      <c r="A80" s="4" t="s">
        <v>159</v>
      </c>
      <c r="B80" s="9" t="n">
        <v>80</v>
      </c>
      <c r="C80" s="9" t="n">
        <v>160</v>
      </c>
      <c r="D80" s="9" t="n">
        <v>400</v>
      </c>
      <c r="E80" s="9" t="n">
        <v>25</v>
      </c>
      <c r="F80" s="9" t="n">
        <v>20</v>
      </c>
      <c r="G80" s="9" t="n">
        <v>3.5</v>
      </c>
      <c r="H80" s="9" t="n">
        <v>2</v>
      </c>
      <c r="I80" s="9" t="n">
        <v>6</v>
      </c>
      <c r="K80" s="9" t="n">
        <v>90</v>
      </c>
      <c r="L80" s="9" t="n">
        <v>220</v>
      </c>
      <c r="M80" s="9" t="n">
        <v>620</v>
      </c>
    </row>
    <row r="81" customFormat="false" ht="15" hidden="false" customHeight="false" outlineLevel="0" collapsed="false">
      <c r="A81" s="4" t="s">
        <v>160</v>
      </c>
      <c r="B81" s="9" t="n">
        <v>70</v>
      </c>
      <c r="C81" s="9" t="n">
        <v>130</v>
      </c>
      <c r="D81" s="9" t="n">
        <v>320</v>
      </c>
      <c r="E81" s="9" t="n">
        <v>25</v>
      </c>
      <c r="F81" s="9" t="n">
        <v>25</v>
      </c>
      <c r="G81" s="9" t="n">
        <v>1.3</v>
      </c>
      <c r="H81" s="9" t="n">
        <v>1</v>
      </c>
      <c r="I81" s="9" t="n">
        <v>5</v>
      </c>
      <c r="K81" s="9" t="n">
        <v>75</v>
      </c>
      <c r="L81" s="9" t="n">
        <v>180</v>
      </c>
      <c r="M81" s="9" t="n">
        <v>500</v>
      </c>
    </row>
    <row r="82" customFormat="false" ht="15" hidden="false" customHeight="false" outlineLevel="0" collapsed="false">
      <c r="A82" s="4" t="s">
        <v>161</v>
      </c>
      <c r="B82" s="9" t="n">
        <v>22</v>
      </c>
      <c r="C82" s="9" t="n">
        <v>55</v>
      </c>
      <c r="D82" s="9" t="n">
        <v>130</v>
      </c>
      <c r="E82" s="9" t="n">
        <v>6</v>
      </c>
      <c r="F82" s="9" t="n">
        <v>3</v>
      </c>
      <c r="G82" s="9" t="n">
        <v>3.5</v>
      </c>
      <c r="H82" s="9" t="n">
        <v>0.4</v>
      </c>
      <c r="I82" s="9" t="n">
        <v>1.5</v>
      </c>
      <c r="K82" s="9" t="n">
        <v>30</v>
      </c>
      <c r="L82" s="9" t="n">
        <v>75</v>
      </c>
      <c r="M82" s="9" t="n">
        <v>220</v>
      </c>
    </row>
    <row r="83" customFormat="false" ht="15" hidden="false" customHeight="false" outlineLevel="0" collapsed="false">
      <c r="A83" s="4" t="s">
        <v>162</v>
      </c>
      <c r="B83" s="9" t="n">
        <v>80</v>
      </c>
      <c r="C83" s="9" t="n">
        <v>140</v>
      </c>
      <c r="D83" s="9" t="n">
        <v>350</v>
      </c>
      <c r="E83" s="9" t="n">
        <v>22</v>
      </c>
      <c r="F83" s="9" t="n">
        <v>30</v>
      </c>
      <c r="G83" s="9" t="n">
        <v>3.5</v>
      </c>
      <c r="H83" s="9" t="n">
        <v>3</v>
      </c>
      <c r="I83" s="9" t="n">
        <v>4.5</v>
      </c>
      <c r="K83" s="9" t="n">
        <v>80</v>
      </c>
      <c r="L83" s="9" t="n">
        <v>195</v>
      </c>
      <c r="M83" s="9" t="n">
        <v>540</v>
      </c>
    </row>
    <row r="84" customFormat="false" ht="15" hidden="false" customHeight="false" outlineLevel="0" collapsed="false">
      <c r="A84" s="4" t="s">
        <v>163</v>
      </c>
      <c r="B84" s="9" t="n">
        <v>25</v>
      </c>
      <c r="C84" s="9" t="n">
        <v>90</v>
      </c>
      <c r="D84" s="9" t="n">
        <v>180</v>
      </c>
      <c r="E84" s="9" t="n">
        <v>12</v>
      </c>
      <c r="F84" s="9" t="n">
        <v>4</v>
      </c>
      <c r="G84" s="9" t="n">
        <v>3</v>
      </c>
      <c r="H84" s="9" t="n">
        <v>1</v>
      </c>
      <c r="I84" s="9" t="n">
        <v>3</v>
      </c>
      <c r="K84" s="9" t="n">
        <v>40</v>
      </c>
      <c r="L84" s="9" t="n">
        <v>100</v>
      </c>
      <c r="M84" s="9" t="n">
        <v>295</v>
      </c>
    </row>
    <row r="85" customFormat="false" ht="15" hidden="false" customHeight="false" outlineLevel="0" collapsed="false">
      <c r="A85" s="4" t="s">
        <v>164</v>
      </c>
      <c r="B85" s="9" t="n">
        <v>45</v>
      </c>
      <c r="C85" s="9" t="n">
        <v>90</v>
      </c>
      <c r="D85" s="9" t="n">
        <v>250</v>
      </c>
      <c r="E85" s="9" t="n">
        <v>15</v>
      </c>
      <c r="F85" s="9" t="n">
        <v>20</v>
      </c>
      <c r="G85" s="9" t="n">
        <v>4</v>
      </c>
      <c r="H85" s="9" t="n">
        <v>1.5</v>
      </c>
      <c r="I85" s="9" t="n">
        <v>5</v>
      </c>
      <c r="K85" s="9" t="n">
        <v>60</v>
      </c>
      <c r="L85" s="9" t="n">
        <v>140</v>
      </c>
      <c r="M85" s="9" t="n">
        <v>380</v>
      </c>
    </row>
    <row r="86" customFormat="false" ht="15" hidden="false" customHeight="false" outlineLevel="0" collapsed="false">
      <c r="A86" s="4" t="s">
        <v>165</v>
      </c>
      <c r="B86" s="9" t="n">
        <v>45</v>
      </c>
      <c r="C86" s="9" t="n">
        <v>80</v>
      </c>
      <c r="D86" s="9" t="n">
        <v>180</v>
      </c>
      <c r="E86" s="9" t="n">
        <v>15</v>
      </c>
      <c r="F86" s="9" t="n">
        <v>5</v>
      </c>
      <c r="G86" s="9" t="n">
        <v>3.5</v>
      </c>
      <c r="H86" s="9" t="n">
        <v>1.5</v>
      </c>
      <c r="I86" s="9" t="n">
        <v>5</v>
      </c>
      <c r="K86" s="9" t="n">
        <v>50</v>
      </c>
      <c r="L86" s="9" t="n">
        <v>120</v>
      </c>
      <c r="M86" s="9" t="n">
        <v>350</v>
      </c>
    </row>
    <row r="87" customFormat="false" ht="15" hidden="false" customHeight="false" outlineLevel="0" collapsed="false">
      <c r="A87" s="4" t="s">
        <v>166</v>
      </c>
      <c r="B87" s="9" t="n">
        <v>25</v>
      </c>
      <c r="C87" s="9" t="n">
        <v>95</v>
      </c>
      <c r="D87" s="9" t="n">
        <v>180</v>
      </c>
      <c r="E87" s="9" t="n">
        <v>15</v>
      </c>
      <c r="F87" s="9" t="n">
        <v>8</v>
      </c>
      <c r="G87" s="9" t="n">
        <v>2.5</v>
      </c>
      <c r="H87" s="9" t="n">
        <v>1</v>
      </c>
      <c r="I87" s="9" t="n">
        <v>2.5</v>
      </c>
      <c r="K87" s="9" t="n">
        <v>45</v>
      </c>
      <c r="L87" s="9" t="n">
        <v>110</v>
      </c>
      <c r="M87" s="9" t="n">
        <v>320</v>
      </c>
    </row>
    <row r="88" customFormat="false" ht="15" hidden="false" customHeight="false" outlineLevel="0" collapsed="false">
      <c r="A88" s="4" t="s">
        <v>167</v>
      </c>
      <c r="B88" s="9" t="n">
        <v>45</v>
      </c>
      <c r="C88" s="9" t="n">
        <v>90</v>
      </c>
      <c r="D88" s="9" t="n">
        <v>220</v>
      </c>
      <c r="E88" s="9" t="n">
        <v>15</v>
      </c>
      <c r="F88" s="9" t="n">
        <v>6</v>
      </c>
      <c r="G88" s="9" t="n">
        <v>2.5</v>
      </c>
      <c r="H88" s="9" t="n">
        <v>1</v>
      </c>
      <c r="I88" s="9" t="n">
        <v>2.5</v>
      </c>
      <c r="K88" s="9" t="n">
        <v>50</v>
      </c>
      <c r="L88" s="9" t="n">
        <v>125</v>
      </c>
      <c r="M88" s="9" t="n">
        <v>365</v>
      </c>
    </row>
    <row r="89" customFormat="false" ht="15" hidden="false" customHeight="false" outlineLevel="0" collapsed="false">
      <c r="A89" s="4" t="s">
        <v>168</v>
      </c>
      <c r="B89" s="9" t="n">
        <v>30</v>
      </c>
      <c r="C89" s="9" t="n">
        <v>70</v>
      </c>
      <c r="D89" s="9" t="n">
        <v>200</v>
      </c>
      <c r="E89" s="9" t="n">
        <v>12</v>
      </c>
      <c r="F89" s="9" t="n">
        <v>8</v>
      </c>
      <c r="G89" s="9" t="n">
        <v>4</v>
      </c>
      <c r="H89" s="9" t="n">
        <v>0.5</v>
      </c>
      <c r="I89" s="9" t="n">
        <v>3</v>
      </c>
      <c r="K89" s="9" t="n">
        <v>50</v>
      </c>
      <c r="L89" s="9" t="n">
        <v>125</v>
      </c>
      <c r="M89" s="9" t="n">
        <v>350</v>
      </c>
    </row>
    <row r="90" customFormat="false" ht="15" hidden="false" customHeight="false" outlineLevel="0" collapsed="false">
      <c r="A90" s="4" t="s">
        <v>169</v>
      </c>
      <c r="B90" s="9" t="n">
        <v>20</v>
      </c>
      <c r="C90" s="9" t="n">
        <v>70</v>
      </c>
      <c r="D90" s="9" t="n">
        <v>200</v>
      </c>
      <c r="E90" s="9" t="n">
        <v>10</v>
      </c>
      <c r="F90" s="9" t="n">
        <v>6</v>
      </c>
      <c r="G90" s="9" t="n">
        <v>3.5</v>
      </c>
      <c r="H90" s="9" t="n">
        <v>1.1</v>
      </c>
      <c r="I90" s="9" t="n">
        <v>1.8</v>
      </c>
      <c r="K90" s="9" t="n">
        <v>35</v>
      </c>
      <c r="L90" s="9" t="n">
        <v>95</v>
      </c>
      <c r="M90" s="9" t="n">
        <v>280</v>
      </c>
    </row>
    <row r="91" customFormat="false" ht="15" hidden="false" customHeight="false" outlineLevel="0" collapsed="false">
      <c r="A91" s="4" t="s">
        <v>170</v>
      </c>
      <c r="B91" s="9" t="n">
        <v>30</v>
      </c>
      <c r="C91" s="9" t="n">
        <v>90</v>
      </c>
      <c r="D91" s="9" t="n">
        <v>220</v>
      </c>
      <c r="E91" s="9" t="n">
        <v>10</v>
      </c>
      <c r="F91" s="9" t="n">
        <v>5</v>
      </c>
      <c r="G91" s="9" t="n">
        <v>4</v>
      </c>
      <c r="H91" s="9" t="n">
        <v>0.5</v>
      </c>
      <c r="I91" s="9" t="n">
        <v>3</v>
      </c>
      <c r="K91" s="9" t="n">
        <v>45</v>
      </c>
      <c r="L91" s="9" t="n">
        <v>110</v>
      </c>
      <c r="M91" s="9" t="n">
        <v>320</v>
      </c>
    </row>
    <row r="92" customFormat="false" ht="15" hidden="false" customHeight="false" outlineLevel="0" collapsed="false">
      <c r="A92" s="4" t="s">
        <v>171</v>
      </c>
      <c r="B92" s="9" t="n">
        <v>18</v>
      </c>
      <c r="C92" s="9" t="n">
        <v>55</v>
      </c>
      <c r="D92" s="9" t="n">
        <v>200</v>
      </c>
      <c r="E92" s="9" t="n">
        <v>8</v>
      </c>
      <c r="F92" s="9" t="n">
        <v>8</v>
      </c>
      <c r="G92" s="9" t="n">
        <v>1.2</v>
      </c>
      <c r="H92" s="9" t="n">
        <v>0.4</v>
      </c>
      <c r="I92" s="9" t="n">
        <v>0.8</v>
      </c>
      <c r="K92" s="9" t="n">
        <v>30</v>
      </c>
      <c r="L92" s="9" t="n">
        <v>70</v>
      </c>
      <c r="M92" s="9" t="n">
        <v>220</v>
      </c>
    </row>
    <row r="93" customFormat="false" ht="15" hidden="false" customHeight="false" outlineLevel="0" collapsed="false">
      <c r="A93" s="4" t="s">
        <v>172</v>
      </c>
      <c r="B93" s="9" t="n">
        <v>20</v>
      </c>
      <c r="C93" s="9" t="n">
        <v>55</v>
      </c>
      <c r="D93" s="9" t="n">
        <v>140</v>
      </c>
      <c r="E93" s="9" t="n">
        <v>7</v>
      </c>
      <c r="F93" s="9" t="n">
        <v>3</v>
      </c>
      <c r="G93" s="9" t="n">
        <v>3.5</v>
      </c>
      <c r="H93" s="9" t="n">
        <v>0.4</v>
      </c>
      <c r="I93" s="9" t="n">
        <v>1.5</v>
      </c>
      <c r="K93" s="9" t="n">
        <v>30</v>
      </c>
      <c r="L93" s="9" t="n">
        <v>75</v>
      </c>
      <c r="M93" s="9" t="n">
        <v>220</v>
      </c>
    </row>
    <row r="94" customFormat="false" ht="15" hidden="false" customHeight="false" outlineLevel="0" collapsed="false">
      <c r="A94" s="4" t="s">
        <v>173</v>
      </c>
      <c r="B94" s="9" t="n">
        <v>25</v>
      </c>
      <c r="C94" s="9" t="n">
        <v>90</v>
      </c>
      <c r="D94" s="9" t="n">
        <v>200</v>
      </c>
      <c r="E94" s="9" t="n">
        <v>15</v>
      </c>
      <c r="F94" s="9" t="n">
        <v>6</v>
      </c>
      <c r="G94" s="9" t="n">
        <v>2</v>
      </c>
      <c r="H94" s="9" t="n">
        <v>1</v>
      </c>
      <c r="I94" s="9" t="n">
        <v>2.5</v>
      </c>
      <c r="K94" s="9" t="n">
        <v>45</v>
      </c>
      <c r="L94" s="9" t="n">
        <v>110</v>
      </c>
      <c r="M94" s="9" t="n">
        <v>330</v>
      </c>
    </row>
    <row r="95" customFormat="false" ht="15" hidden="false" customHeight="false" outlineLevel="0" collapsed="false">
      <c r="A95" s="4" t="s">
        <v>174</v>
      </c>
      <c r="B95" s="9" t="n">
        <v>90</v>
      </c>
      <c r="C95" s="9" t="n">
        <v>150</v>
      </c>
      <c r="D95" s="9" t="n">
        <v>350</v>
      </c>
      <c r="E95" s="9" t="n">
        <v>28</v>
      </c>
      <c r="F95" s="9" t="n">
        <v>35</v>
      </c>
      <c r="G95" s="9" t="n">
        <v>4.5</v>
      </c>
      <c r="H95" s="9" t="n">
        <v>2.5</v>
      </c>
      <c r="I95" s="9" t="n">
        <v>7.5</v>
      </c>
      <c r="K95" s="9" t="n">
        <v>95</v>
      </c>
      <c r="L95" s="9" t="n">
        <v>220</v>
      </c>
      <c r="M95" s="9" t="n">
        <v>600</v>
      </c>
    </row>
    <row r="96" customFormat="false" ht="15" hidden="false" customHeight="false" outlineLevel="0" collapsed="false">
      <c r="A96" s="4" t="s">
        <v>175</v>
      </c>
      <c r="B96" s="9" t="n">
        <v>50</v>
      </c>
      <c r="C96" s="9" t="n">
        <v>100</v>
      </c>
      <c r="D96" s="9" t="n">
        <v>250</v>
      </c>
      <c r="E96" s="9" t="n">
        <v>22</v>
      </c>
      <c r="F96" s="9" t="n">
        <v>18</v>
      </c>
      <c r="G96" s="9" t="n">
        <v>3</v>
      </c>
      <c r="H96" s="9" t="n">
        <v>0.6</v>
      </c>
      <c r="I96" s="9" t="n">
        <v>4</v>
      </c>
      <c r="K96" s="9" t="n">
        <v>60</v>
      </c>
      <c r="L96" s="9" t="n">
        <v>140</v>
      </c>
      <c r="M96" s="9" t="n">
        <v>400</v>
      </c>
    </row>
    <row r="97" customFormat="false" ht="15" hidden="false" customHeight="false" outlineLevel="0" collapsed="false">
      <c r="A97" s="4" t="s">
        <v>176</v>
      </c>
      <c r="B97" s="9" t="n">
        <v>20</v>
      </c>
      <c r="C97" s="9" t="n">
        <v>55</v>
      </c>
      <c r="D97" s="9" t="n">
        <v>200</v>
      </c>
      <c r="E97" s="9" t="n">
        <v>8</v>
      </c>
      <c r="F97" s="9" t="n">
        <v>8</v>
      </c>
      <c r="G97" s="9" t="n">
        <v>1.5</v>
      </c>
      <c r="H97" s="9" t="n">
        <v>0.4</v>
      </c>
      <c r="I97" s="9" t="n">
        <v>1</v>
      </c>
      <c r="K97" s="9" t="n">
        <v>30</v>
      </c>
      <c r="L97" s="9" t="n">
        <v>75</v>
      </c>
      <c r="M97" s="9" t="n">
        <v>230</v>
      </c>
    </row>
    <row r="98" customFormat="false" ht="15" hidden="false" customHeight="false" outlineLevel="0" collapsed="false">
      <c r="A98" s="4" t="s">
        <v>177</v>
      </c>
      <c r="B98" s="9" t="n">
        <v>60</v>
      </c>
      <c r="C98" s="9" t="n">
        <v>150</v>
      </c>
      <c r="D98" s="9" t="n">
        <v>350</v>
      </c>
      <c r="E98" s="9" t="n">
        <v>25</v>
      </c>
      <c r="F98" s="9" t="n">
        <v>13</v>
      </c>
      <c r="G98" s="9" t="n">
        <v>4.5</v>
      </c>
      <c r="H98" s="9" t="n">
        <v>1.2</v>
      </c>
      <c r="I98" s="9" t="n">
        <v>6</v>
      </c>
      <c r="K98" s="9" t="n">
        <v>60</v>
      </c>
      <c r="L98" s="9" t="n">
        <v>150</v>
      </c>
      <c r="M98" s="9" t="n">
        <v>400</v>
      </c>
    </row>
    <row r="99" customFormat="false" ht="15" hidden="false" customHeight="false" outlineLevel="0" collapsed="false">
      <c r="A99" s="4" t="s">
        <v>178</v>
      </c>
      <c r="B99" s="9" t="n">
        <v>70</v>
      </c>
      <c r="C99" s="9" t="n">
        <v>130</v>
      </c>
      <c r="D99" s="9" t="n">
        <v>250</v>
      </c>
      <c r="E99" s="9" t="n">
        <v>12</v>
      </c>
      <c r="F99" s="9" t="n">
        <v>8</v>
      </c>
      <c r="G99" s="9" t="n">
        <v>3</v>
      </c>
      <c r="H99" s="9" t="n">
        <v>1.5</v>
      </c>
      <c r="I99" s="9" t="n">
        <v>4.5</v>
      </c>
      <c r="K99" s="9" t="n">
        <v>60</v>
      </c>
      <c r="L99" s="9" t="n">
        <v>140</v>
      </c>
      <c r="M99" s="9" t="n">
        <v>395</v>
      </c>
    </row>
    <row r="100" customFormat="false" ht="15" hidden="false" customHeight="false" outlineLevel="0" collapsed="false">
      <c r="A100" s="4" t="s">
        <v>179</v>
      </c>
      <c r="B100" s="9" t="n">
        <v>150</v>
      </c>
      <c r="C100" s="9" t="n">
        <v>250</v>
      </c>
      <c r="D100" s="9" t="n">
        <v>550</v>
      </c>
      <c r="E100" s="9" t="n">
        <v>30</v>
      </c>
      <c r="F100" s="9" t="n">
        <v>30</v>
      </c>
      <c r="G100" s="9" t="n">
        <v>5</v>
      </c>
      <c r="H100" s="9" t="n">
        <v>2</v>
      </c>
      <c r="I100" s="9" t="n">
        <v>7</v>
      </c>
      <c r="K100" s="9" t="n">
        <v>115</v>
      </c>
      <c r="L100" s="9" t="n">
        <v>280</v>
      </c>
      <c r="M100" s="9" t="n">
        <v>780</v>
      </c>
    </row>
    <row r="101" customFormat="false" ht="15" hidden="false" customHeight="false" outlineLevel="0" collapsed="false">
      <c r="A101" s="4" t="s">
        <v>180</v>
      </c>
      <c r="B101" s="9" t="n">
        <v>15</v>
      </c>
      <c r="C101" s="9" t="n">
        <v>45</v>
      </c>
      <c r="D101" s="9" t="n">
        <v>120</v>
      </c>
      <c r="E101" s="9" t="n">
        <v>4</v>
      </c>
      <c r="F101" s="9" t="n">
        <v>3</v>
      </c>
      <c r="G101" s="9" t="n">
        <v>2</v>
      </c>
      <c r="H101" s="9" t="n">
        <v>0.3</v>
      </c>
      <c r="I101" s="9" t="n">
        <v>3</v>
      </c>
      <c r="K101" s="9" t="n">
        <v>20</v>
      </c>
      <c r="L101" s="9" t="n">
        <v>55</v>
      </c>
      <c r="M101" s="9" t="n">
        <v>200</v>
      </c>
    </row>
    <row r="102" customFormat="false" ht="15" hidden="false" customHeight="false" outlineLevel="0" collapsed="false">
      <c r="A102" s="4" t="s">
        <v>181</v>
      </c>
      <c r="B102" s="9" t="n">
        <v>18</v>
      </c>
      <c r="C102" s="9" t="n">
        <v>55</v>
      </c>
      <c r="D102" s="9" t="n">
        <v>130</v>
      </c>
      <c r="E102" s="9" t="n">
        <v>5</v>
      </c>
      <c r="F102" s="9" t="n">
        <v>3</v>
      </c>
      <c r="G102" s="9" t="n">
        <v>2</v>
      </c>
      <c r="H102" s="9" t="n">
        <v>0.4</v>
      </c>
      <c r="I102" s="9" t="n">
        <v>2</v>
      </c>
      <c r="K102" s="9" t="n">
        <v>25</v>
      </c>
      <c r="L102" s="9" t="n">
        <v>65</v>
      </c>
      <c r="M102" s="9" t="n">
        <v>200</v>
      </c>
    </row>
    <row r="103" customFormat="false" ht="15" hidden="false" customHeight="false" outlineLevel="0" collapsed="false">
      <c r="A103" s="4" t="s">
        <v>182</v>
      </c>
      <c r="B103" s="9" t="n">
        <v>45</v>
      </c>
      <c r="C103" s="9" t="n">
        <v>140</v>
      </c>
      <c r="D103" s="9" t="n">
        <v>400</v>
      </c>
      <c r="E103" s="9" t="n">
        <v>30</v>
      </c>
      <c r="F103" s="9" t="n">
        <v>15</v>
      </c>
      <c r="G103" s="9" t="n">
        <v>2.2</v>
      </c>
      <c r="H103" s="9" t="n">
        <v>1.5</v>
      </c>
      <c r="I103" s="9" t="n">
        <v>4.5</v>
      </c>
      <c r="K103" s="9" t="n">
        <v>70</v>
      </c>
      <c r="L103" s="9" t="n">
        <v>190</v>
      </c>
      <c r="M103" s="9" t="n">
        <v>550</v>
      </c>
    </row>
    <row r="104" customFormat="false" ht="15" hidden="false" customHeight="false" outlineLevel="0" collapsed="false">
      <c r="A104" s="4" t="s">
        <v>183</v>
      </c>
      <c r="B104" s="9" t="n">
        <v>25</v>
      </c>
      <c r="C104" s="9" t="n">
        <v>60</v>
      </c>
      <c r="D104" s="9" t="n">
        <v>180</v>
      </c>
      <c r="E104" s="9" t="n">
        <v>12</v>
      </c>
      <c r="F104" s="9" t="n">
        <v>7</v>
      </c>
      <c r="G104" s="9" t="n">
        <v>3</v>
      </c>
      <c r="H104" s="9" t="n">
        <v>0.4</v>
      </c>
      <c r="I104" s="9" t="n">
        <v>4</v>
      </c>
      <c r="K104" s="9" t="n">
        <v>45</v>
      </c>
      <c r="L104" s="9" t="n">
        <v>110</v>
      </c>
      <c r="M104" s="9" t="n">
        <v>320</v>
      </c>
    </row>
    <row r="105" customFormat="false" ht="15" hidden="false" customHeight="false" outlineLevel="0" collapsed="false">
      <c r="A105" s="4" t="s">
        <v>184</v>
      </c>
      <c r="B105" s="9" t="n">
        <v>20</v>
      </c>
      <c r="C105" s="9" t="n">
        <v>50</v>
      </c>
      <c r="D105" s="9" t="n">
        <v>150</v>
      </c>
      <c r="E105" s="9" t="n">
        <v>5</v>
      </c>
      <c r="F105" s="9" t="n">
        <v>5</v>
      </c>
      <c r="G105" s="9" t="n">
        <v>2.5</v>
      </c>
      <c r="H105" s="9" t="n">
        <v>0.5</v>
      </c>
      <c r="I105" s="9" t="n">
        <v>3.5</v>
      </c>
      <c r="K105" s="9" t="n">
        <v>30</v>
      </c>
      <c r="L105" s="9" t="n">
        <v>75</v>
      </c>
      <c r="M105" s="9" t="n">
        <v>220</v>
      </c>
    </row>
    <row r="106" customFormat="false" ht="15" hidden="false" customHeight="false" outlineLevel="0" collapsed="false">
      <c r="A106" s="4" t="s">
        <v>185</v>
      </c>
      <c r="B106" s="9" t="n">
        <v>45</v>
      </c>
      <c r="C106" s="9" t="n">
        <v>100</v>
      </c>
      <c r="D106" s="9" t="n">
        <v>230</v>
      </c>
      <c r="E106" s="9" t="n">
        <v>18</v>
      </c>
      <c r="F106" s="9" t="n">
        <v>11</v>
      </c>
      <c r="G106" s="9" t="n">
        <v>2.5</v>
      </c>
      <c r="H106" s="9" t="n">
        <v>0.3</v>
      </c>
      <c r="J106" s="9" t="s">
        <v>186</v>
      </c>
      <c r="K106" s="9" t="n">
        <v>65</v>
      </c>
      <c r="L106" s="9" t="n">
        <v>165</v>
      </c>
      <c r="M106" s="9" t="n">
        <v>520</v>
      </c>
    </row>
    <row r="107" customFormat="false" ht="15" hidden="false" customHeight="false" outlineLevel="0" collapsed="false">
      <c r="A107" s="4" t="s">
        <v>187</v>
      </c>
      <c r="B107" s="9" t="n">
        <v>60</v>
      </c>
      <c r="C107" s="9" t="n">
        <v>130</v>
      </c>
      <c r="D107" s="9" t="n">
        <v>280</v>
      </c>
      <c r="E107" s="9" t="n">
        <v>25</v>
      </c>
      <c r="F107" s="9" t="n">
        <v>15</v>
      </c>
      <c r="G107" s="9" t="n">
        <v>3.5</v>
      </c>
      <c r="H107" s="9" t="n">
        <v>1.5</v>
      </c>
      <c r="I107" s="9" t="n">
        <v>6</v>
      </c>
      <c r="K107" s="9" t="n">
        <v>95</v>
      </c>
      <c r="L107" s="9" t="n">
        <v>230</v>
      </c>
      <c r="M107" s="9" t="n">
        <v>650</v>
      </c>
    </row>
    <row r="108" customFormat="false" ht="15" hidden="false" customHeight="false" outlineLevel="0" collapsed="false">
      <c r="A108" s="4" t="s">
        <v>188</v>
      </c>
      <c r="B108" s="9" t="n">
        <v>20</v>
      </c>
      <c r="C108" s="9" t="n">
        <v>55</v>
      </c>
      <c r="D108" s="9" t="n">
        <v>130</v>
      </c>
      <c r="E108" s="9" t="n">
        <v>6</v>
      </c>
      <c r="F108" s="9" t="n">
        <v>3</v>
      </c>
      <c r="G108" s="9" t="n">
        <v>4</v>
      </c>
      <c r="H108" s="9" t="n">
        <v>0.5</v>
      </c>
      <c r="I108" s="9" t="n">
        <v>1.5</v>
      </c>
      <c r="K108" s="9" t="n">
        <v>30</v>
      </c>
      <c r="L108" s="9" t="n">
        <v>70</v>
      </c>
      <c r="M108" s="9" t="n">
        <v>200</v>
      </c>
    </row>
    <row r="109" customFormat="false" ht="15" hidden="false" customHeight="false" outlineLevel="0" collapsed="false">
      <c r="A109" s="4" t="s">
        <v>189</v>
      </c>
      <c r="B109" s="9" t="n">
        <v>25</v>
      </c>
      <c r="C109" s="9" t="n">
        <v>55</v>
      </c>
      <c r="D109" s="9" t="n">
        <v>180</v>
      </c>
      <c r="E109" s="9" t="n">
        <v>8</v>
      </c>
      <c r="F109" s="9" t="n">
        <v>8</v>
      </c>
      <c r="G109" s="9" t="n">
        <v>2.5</v>
      </c>
      <c r="H109" s="9" t="n">
        <v>0.5</v>
      </c>
      <c r="I109" s="9" t="n">
        <v>4.5</v>
      </c>
      <c r="K109" s="9" t="n">
        <v>30</v>
      </c>
      <c r="L109" s="9" t="n">
        <v>75</v>
      </c>
      <c r="M109" s="9" t="n">
        <v>220</v>
      </c>
    </row>
    <row r="110" customFormat="false" ht="15" hidden="false" customHeight="false" outlineLevel="0" collapsed="false">
      <c r="A110" s="4" t="s">
        <v>190</v>
      </c>
      <c r="B110" s="9" t="n">
        <v>30</v>
      </c>
      <c r="C110" s="9" t="n">
        <v>130</v>
      </c>
      <c r="D110" s="9" t="n">
        <v>220</v>
      </c>
      <c r="E110" s="9" t="n">
        <v>15</v>
      </c>
      <c r="F110" s="9" t="n">
        <v>8</v>
      </c>
      <c r="G110" s="9" t="n">
        <v>3</v>
      </c>
      <c r="H110" s="9" t="n">
        <v>1</v>
      </c>
      <c r="I110" s="9" t="n">
        <v>3</v>
      </c>
      <c r="K110" s="9" t="n">
        <v>45</v>
      </c>
      <c r="L110" s="9" t="n">
        <v>115</v>
      </c>
      <c r="M110" s="9" t="n">
        <v>345</v>
      </c>
    </row>
    <row r="111" customFormat="false" ht="15" hidden="false" customHeight="false" outlineLevel="0" collapsed="false">
      <c r="A111" s="4" t="s">
        <v>191</v>
      </c>
      <c r="B111" s="9" t="n">
        <v>15</v>
      </c>
      <c r="C111" s="9" t="n">
        <v>70</v>
      </c>
      <c r="D111" s="9" t="n">
        <v>180</v>
      </c>
      <c r="E111" s="9" t="n">
        <v>10</v>
      </c>
      <c r="F111" s="9" t="n">
        <v>4</v>
      </c>
      <c r="G111" s="9" t="n">
        <v>2.5</v>
      </c>
      <c r="H111" s="9" t="n">
        <v>0.6</v>
      </c>
      <c r="J111" s="9" t="s">
        <v>82</v>
      </c>
      <c r="K111" s="9" t="n">
        <v>35</v>
      </c>
      <c r="L111" s="9" t="n">
        <v>85</v>
      </c>
      <c r="M111" s="9" t="n">
        <v>265</v>
      </c>
    </row>
    <row r="112" customFormat="false" ht="15" hidden="false" customHeight="false" outlineLevel="0" collapsed="false">
      <c r="A112" s="4" t="s">
        <v>192</v>
      </c>
      <c r="B112" s="9" t="n">
        <v>15</v>
      </c>
      <c r="C112" s="9" t="n">
        <v>70</v>
      </c>
      <c r="D112" s="9" t="n">
        <v>250</v>
      </c>
      <c r="E112" s="9" t="n">
        <v>10</v>
      </c>
      <c r="F112" s="9" t="n">
        <v>5</v>
      </c>
      <c r="G112" s="9" t="n">
        <v>3</v>
      </c>
      <c r="H112" s="9" t="n">
        <v>1</v>
      </c>
      <c r="I112" s="9" t="n">
        <v>2</v>
      </c>
      <c r="K112" s="9" t="n">
        <v>35</v>
      </c>
      <c r="L112" s="9" t="n">
        <v>95</v>
      </c>
      <c r="M112" s="9" t="n">
        <v>295</v>
      </c>
    </row>
    <row r="113" customFormat="false" ht="15" hidden="false" customHeight="false" outlineLevel="0" collapsed="false">
      <c r="A113" s="4" t="s">
        <v>193</v>
      </c>
      <c r="B113" s="9" t="n">
        <v>25</v>
      </c>
      <c r="C113" s="9" t="n">
        <v>70</v>
      </c>
      <c r="D113" s="9" t="n">
        <v>130</v>
      </c>
      <c r="E113" s="9" t="n">
        <v>5</v>
      </c>
      <c r="F113" s="9" t="n">
        <v>3</v>
      </c>
      <c r="G113" s="9" t="n">
        <v>1.5</v>
      </c>
      <c r="H113" s="9" t="n">
        <v>0.5</v>
      </c>
      <c r="I113" s="9" t="n">
        <v>1.5</v>
      </c>
      <c r="K113" s="9" t="n">
        <v>30</v>
      </c>
      <c r="L113" s="9" t="n">
        <v>70</v>
      </c>
      <c r="M113" s="9" t="n">
        <v>200</v>
      </c>
    </row>
    <row r="114" customFormat="false" ht="15" hidden="false" customHeight="false" outlineLevel="0" collapsed="false">
      <c r="A114" s="4" t="s">
        <v>194</v>
      </c>
      <c r="B114" s="9" t="n">
        <v>20</v>
      </c>
      <c r="C114" s="9" t="n">
        <v>70</v>
      </c>
      <c r="D114" s="9" t="n">
        <v>150</v>
      </c>
      <c r="E114" s="9" t="n">
        <v>8</v>
      </c>
      <c r="F114" s="9" t="n">
        <v>4</v>
      </c>
      <c r="G114" s="9" t="n">
        <v>3</v>
      </c>
      <c r="H114" s="9" t="n">
        <v>0.3</v>
      </c>
      <c r="J114" s="9" t="s">
        <v>82</v>
      </c>
      <c r="K114" s="9" t="n">
        <v>35</v>
      </c>
      <c r="L114" s="9" t="n">
        <v>80</v>
      </c>
      <c r="M114" s="9" t="n">
        <v>245</v>
      </c>
    </row>
    <row r="115" customFormat="false" ht="15" hidden="false" customHeight="false" outlineLevel="0" collapsed="false">
      <c r="A115" s="4" t="s">
        <v>195</v>
      </c>
      <c r="B115" s="9" t="n">
        <v>12</v>
      </c>
      <c r="C115" s="9" t="n">
        <v>45</v>
      </c>
      <c r="D115" s="9" t="n">
        <v>220</v>
      </c>
      <c r="E115" s="9" t="n">
        <v>6</v>
      </c>
      <c r="F115" s="9" t="n">
        <v>4</v>
      </c>
      <c r="G115" s="9" t="n">
        <v>2.5</v>
      </c>
      <c r="H115" s="9" t="n">
        <v>0.4</v>
      </c>
      <c r="I115" s="9" t="n">
        <v>3.5</v>
      </c>
      <c r="K115" s="9" t="n">
        <v>30</v>
      </c>
      <c r="L115" s="9" t="n">
        <v>80</v>
      </c>
      <c r="M115" s="9" t="n">
        <v>245</v>
      </c>
    </row>
    <row r="116" customFormat="false" ht="15" hidden="false" customHeight="false" outlineLevel="0" collapsed="false">
      <c r="A116" s="4" t="s">
        <v>196</v>
      </c>
      <c r="B116" s="9" t="n">
        <v>35</v>
      </c>
      <c r="C116" s="9" t="n">
        <v>90</v>
      </c>
      <c r="D116" s="9" t="n">
        <v>220</v>
      </c>
      <c r="E116" s="9" t="n">
        <v>12</v>
      </c>
      <c r="F116" s="9" t="n">
        <v>6</v>
      </c>
      <c r="G116" s="9" t="n">
        <v>2.5</v>
      </c>
      <c r="H116" s="9" t="n">
        <v>0.5</v>
      </c>
      <c r="J116" s="9" t="s">
        <v>82</v>
      </c>
      <c r="K116" s="9" t="n">
        <v>45</v>
      </c>
      <c r="L116" s="9" t="n">
        <v>110</v>
      </c>
      <c r="M116" s="9" t="n">
        <v>330</v>
      </c>
    </row>
    <row r="117" customFormat="false" ht="15" hidden="false" customHeight="false" outlineLevel="0" collapsed="false">
      <c r="A117" s="4" t="s">
        <v>197</v>
      </c>
      <c r="B117" s="9" t="n">
        <v>25</v>
      </c>
      <c r="C117" s="9" t="n">
        <v>75</v>
      </c>
      <c r="D117" s="9" t="n">
        <v>250</v>
      </c>
      <c r="E117" s="9" t="n">
        <v>12</v>
      </c>
      <c r="F117" s="9" t="n">
        <v>6</v>
      </c>
      <c r="G117" s="9" t="n">
        <v>2.5</v>
      </c>
      <c r="H117" s="9" t="n">
        <v>0.7</v>
      </c>
      <c r="I117" s="9" t="n">
        <v>2</v>
      </c>
      <c r="K117" s="9" t="n">
        <v>40</v>
      </c>
      <c r="L117" s="9" t="n">
        <v>105</v>
      </c>
      <c r="M117" s="9" t="n">
        <v>330</v>
      </c>
    </row>
    <row r="118" customFormat="false" ht="15" hidden="false" customHeight="false" outlineLevel="0" collapsed="false">
      <c r="A118" s="4" t="s">
        <v>198</v>
      </c>
      <c r="B118" s="9" t="n">
        <v>65</v>
      </c>
      <c r="C118" s="9" t="n">
        <v>120</v>
      </c>
      <c r="D118" s="9" t="n">
        <v>280</v>
      </c>
      <c r="E118" s="9" t="n">
        <v>18</v>
      </c>
      <c r="F118" s="9" t="n">
        <v>12</v>
      </c>
      <c r="G118" s="9" t="n">
        <v>3</v>
      </c>
      <c r="H118" s="9" t="n">
        <v>1.5</v>
      </c>
      <c r="I118" s="9" t="n">
        <v>3.5</v>
      </c>
      <c r="K118" s="9" t="n">
        <v>65</v>
      </c>
      <c r="L118" s="9" t="n">
        <v>160</v>
      </c>
      <c r="M118" s="9" t="n">
        <v>450</v>
      </c>
    </row>
    <row r="119" customFormat="false" ht="15" hidden="false" customHeight="false" outlineLevel="0" collapsed="false">
      <c r="A119" s="4" t="s">
        <v>199</v>
      </c>
      <c r="B119" s="9" t="n">
        <v>45</v>
      </c>
      <c r="C119" s="9" t="n">
        <v>150</v>
      </c>
      <c r="D119" s="9" t="n">
        <v>300</v>
      </c>
      <c r="E119" s="9" t="n">
        <v>18</v>
      </c>
      <c r="F119" s="9" t="n">
        <v>8</v>
      </c>
      <c r="G119" s="9" t="n">
        <v>5.5</v>
      </c>
      <c r="H119" s="9" t="n">
        <v>1.5</v>
      </c>
      <c r="I119" s="9" t="n">
        <v>2.5</v>
      </c>
      <c r="K119" s="9" t="n">
        <v>55</v>
      </c>
      <c r="L119" s="9" t="n">
        <v>145</v>
      </c>
      <c r="M119" s="9" t="n">
        <v>425</v>
      </c>
    </row>
    <row r="120" customFormat="false" ht="15" hidden="false" customHeight="false" outlineLevel="0" collapsed="false">
      <c r="A120" s="4" t="s">
        <v>200</v>
      </c>
      <c r="B120" s="9" t="n">
        <v>18</v>
      </c>
      <c r="C120" s="9" t="n">
        <v>45</v>
      </c>
      <c r="D120" s="9" t="n">
        <v>130</v>
      </c>
      <c r="E120" s="9" t="n">
        <v>5</v>
      </c>
      <c r="F120" s="9" t="n">
        <v>3</v>
      </c>
      <c r="G120" s="9" t="n">
        <v>1.5</v>
      </c>
      <c r="H120" s="9" t="n">
        <v>0.3</v>
      </c>
      <c r="I120" s="9" t="n">
        <v>2.5</v>
      </c>
      <c r="K120" s="9" t="n">
        <v>25</v>
      </c>
      <c r="L120" s="9" t="n">
        <v>60</v>
      </c>
      <c r="M120" s="9" t="n">
        <v>200</v>
      </c>
    </row>
    <row r="121" customFormat="false" ht="15" hidden="false" customHeight="false" outlineLevel="0" collapsed="false">
      <c r="A121" s="4" t="s">
        <v>201</v>
      </c>
      <c r="B121" s="9" t="n">
        <v>60</v>
      </c>
      <c r="C121" s="9" t="n">
        <v>140</v>
      </c>
      <c r="D121" s="9" t="n">
        <v>300</v>
      </c>
      <c r="E121" s="9" t="n">
        <v>18</v>
      </c>
      <c r="F121" s="9" t="n">
        <v>8</v>
      </c>
      <c r="G121" s="9" t="n">
        <v>4</v>
      </c>
      <c r="H121" s="9" t="n">
        <v>1.5</v>
      </c>
      <c r="I121" s="9" t="n">
        <v>3.5</v>
      </c>
      <c r="K121" s="9" t="n">
        <v>60</v>
      </c>
      <c r="L121" s="9" t="n">
        <v>155</v>
      </c>
      <c r="M121" s="9" t="n">
        <v>450</v>
      </c>
    </row>
    <row r="122" customFormat="false" ht="15" hidden="false" customHeight="false" outlineLevel="0" collapsed="false">
      <c r="A122" s="4" t="s">
        <v>202</v>
      </c>
      <c r="B122" s="9" t="n">
        <v>40</v>
      </c>
      <c r="C122" s="9" t="n">
        <v>90</v>
      </c>
      <c r="D122" s="9" t="n">
        <v>300</v>
      </c>
      <c r="E122" s="9" t="n">
        <v>15</v>
      </c>
      <c r="F122" s="9" t="n">
        <v>6</v>
      </c>
      <c r="G122" s="9" t="n">
        <v>2</v>
      </c>
      <c r="H122" s="9" t="n">
        <v>1.3</v>
      </c>
      <c r="I122" s="9" t="n">
        <v>3.5</v>
      </c>
      <c r="K122" s="9" t="n">
        <v>50</v>
      </c>
      <c r="L122" s="9" t="n">
        <v>130</v>
      </c>
      <c r="M122" s="9" t="n">
        <v>395</v>
      </c>
    </row>
    <row r="123" customFormat="false" ht="15" hidden="false" customHeight="false" outlineLevel="0" collapsed="false">
      <c r="A123" s="4" t="s">
        <v>203</v>
      </c>
      <c r="B123" s="9" t="n">
        <v>40</v>
      </c>
      <c r="C123" s="9" t="n">
        <v>80</v>
      </c>
      <c r="D123" s="9" t="n">
        <v>220</v>
      </c>
      <c r="E123" s="9" t="n">
        <v>15</v>
      </c>
      <c r="F123" s="9" t="n">
        <v>12</v>
      </c>
      <c r="G123" s="9" t="n">
        <v>2.5</v>
      </c>
      <c r="H123" s="9" t="n">
        <v>1</v>
      </c>
      <c r="I123" s="9" t="n">
        <v>3</v>
      </c>
      <c r="K123" s="9" t="n">
        <v>50</v>
      </c>
      <c r="L123" s="9" t="n">
        <v>120</v>
      </c>
      <c r="M123" s="9" t="n">
        <v>330</v>
      </c>
    </row>
    <row r="124" customFormat="false" ht="15" hidden="false" customHeight="false" outlineLevel="0" collapsed="false">
      <c r="A124" s="4" t="s">
        <v>204</v>
      </c>
      <c r="B124" s="9" t="n">
        <v>20</v>
      </c>
      <c r="C124" s="9" t="n">
        <v>50</v>
      </c>
      <c r="D124" s="9" t="n">
        <v>150</v>
      </c>
      <c r="E124" s="9" t="n">
        <v>8</v>
      </c>
      <c r="F124" s="9" t="n">
        <v>5</v>
      </c>
      <c r="G124" s="9" t="n">
        <v>3</v>
      </c>
      <c r="H124" s="9" t="n">
        <v>0.6</v>
      </c>
      <c r="I124" s="9" t="n">
        <v>4</v>
      </c>
      <c r="K124" s="9" t="n">
        <v>30</v>
      </c>
      <c r="L124" s="9" t="n">
        <v>75</v>
      </c>
      <c r="M124" s="9" t="n">
        <v>220</v>
      </c>
    </row>
    <row r="125" customFormat="false" ht="15" hidden="false" customHeight="false" outlineLevel="0" collapsed="false">
      <c r="A125" s="4" t="s">
        <v>205</v>
      </c>
      <c r="B125" s="9" t="n">
        <v>18</v>
      </c>
      <c r="C125" s="9" t="n">
        <v>50</v>
      </c>
      <c r="D125" s="9" t="n">
        <v>120</v>
      </c>
      <c r="E125" s="9" t="n">
        <v>6</v>
      </c>
      <c r="F125" s="9" t="n">
        <v>3</v>
      </c>
      <c r="G125" s="9" t="n">
        <v>3.5</v>
      </c>
      <c r="H125" s="9" t="n">
        <v>0.5</v>
      </c>
      <c r="I125" s="9" t="n">
        <v>1.5</v>
      </c>
      <c r="K125" s="9" t="n">
        <v>30</v>
      </c>
      <c r="L125" s="9" t="n">
        <v>75</v>
      </c>
      <c r="M125" s="9" t="n">
        <v>220</v>
      </c>
    </row>
    <row r="126" customFormat="false" ht="15" hidden="false" customHeight="false" outlineLevel="0" collapsed="false">
      <c r="A126" s="4" t="s">
        <v>206</v>
      </c>
      <c r="B126" s="9" t="n">
        <v>80</v>
      </c>
      <c r="C126" s="9" t="n">
        <v>150</v>
      </c>
      <c r="D126" s="9" t="n">
        <v>350</v>
      </c>
      <c r="E126" s="9" t="n">
        <v>30</v>
      </c>
      <c r="F126" s="9" t="n">
        <v>10</v>
      </c>
      <c r="G126" s="9" t="n">
        <v>5</v>
      </c>
      <c r="H126" s="9" t="n">
        <v>1</v>
      </c>
      <c r="J126" s="9" t="s">
        <v>82</v>
      </c>
      <c r="K126" s="9" t="n">
        <v>85</v>
      </c>
      <c r="L126" s="9" t="n">
        <v>205</v>
      </c>
      <c r="M126" s="9" t="n">
        <v>595</v>
      </c>
    </row>
    <row r="127" customFormat="false" ht="15" hidden="false" customHeight="false" outlineLevel="0" collapsed="false">
      <c r="A127" s="4" t="s">
        <v>207</v>
      </c>
      <c r="B127" s="9" t="n">
        <v>28</v>
      </c>
      <c r="C127" s="9" t="n">
        <v>70</v>
      </c>
      <c r="D127" s="9" t="n">
        <v>190</v>
      </c>
      <c r="E127" s="9" t="n">
        <v>12</v>
      </c>
      <c r="F127" s="9" t="n">
        <v>5</v>
      </c>
      <c r="G127" s="9" t="n">
        <v>2.5</v>
      </c>
      <c r="H127" s="9" t="n">
        <v>1</v>
      </c>
      <c r="I127" s="9" t="n">
        <v>2</v>
      </c>
      <c r="K127" s="9" t="n">
        <v>40</v>
      </c>
      <c r="L127" s="9" t="n">
        <v>100</v>
      </c>
      <c r="M127" s="9" t="n">
        <v>305</v>
      </c>
    </row>
    <row r="128" customFormat="false" ht="15" hidden="false" customHeight="false" outlineLevel="0" collapsed="false">
      <c r="A128" s="4" t="s">
        <v>208</v>
      </c>
      <c r="B128" s="9" t="n">
        <v>60</v>
      </c>
      <c r="C128" s="9" t="n">
        <v>120</v>
      </c>
      <c r="D128" s="9" t="n">
        <v>300</v>
      </c>
      <c r="E128" s="9" t="n">
        <v>18</v>
      </c>
      <c r="F128" s="9" t="n">
        <v>25</v>
      </c>
      <c r="G128" s="9" t="n">
        <v>3.5</v>
      </c>
      <c r="H128" s="9" t="n">
        <v>1</v>
      </c>
      <c r="I128" s="9" t="n">
        <v>4</v>
      </c>
      <c r="K128" s="9" t="n">
        <v>65</v>
      </c>
      <c r="L128" s="9" t="n">
        <v>155</v>
      </c>
      <c r="M128" s="9" t="n">
        <v>420</v>
      </c>
    </row>
    <row r="129" customFormat="false" ht="15" hidden="false" customHeight="false" outlineLevel="0" collapsed="false">
      <c r="A129" s="4" t="s">
        <v>209</v>
      </c>
      <c r="B129" s="9" t="n">
        <v>20</v>
      </c>
      <c r="C129" s="9" t="n">
        <v>55</v>
      </c>
      <c r="D129" s="9" t="n">
        <v>150</v>
      </c>
      <c r="E129" s="9" t="n">
        <v>10</v>
      </c>
      <c r="F129" s="9" t="n">
        <v>4</v>
      </c>
      <c r="G129" s="9" t="n">
        <v>2.5</v>
      </c>
      <c r="H129" s="9" t="n">
        <v>1</v>
      </c>
      <c r="I129" s="9" t="n">
        <v>2.5</v>
      </c>
      <c r="K129" s="9" t="n">
        <v>35</v>
      </c>
      <c r="L129" s="9" t="n">
        <v>85</v>
      </c>
      <c r="M129" s="9" t="n">
        <v>260</v>
      </c>
    </row>
    <row r="130" customFormat="false" ht="15" hidden="false" customHeight="false" outlineLevel="0" collapsed="false">
      <c r="A130" s="4" t="s">
        <v>210</v>
      </c>
      <c r="B130" s="9" t="n">
        <v>30</v>
      </c>
      <c r="C130" s="9" t="n">
        <v>90</v>
      </c>
      <c r="D130" s="9" t="n">
        <v>350</v>
      </c>
      <c r="E130" s="9" t="n">
        <v>15</v>
      </c>
      <c r="F130" s="9" t="n">
        <v>8</v>
      </c>
      <c r="G130" s="9" t="n">
        <v>3</v>
      </c>
      <c r="H130" s="9" t="n">
        <v>0.5</v>
      </c>
      <c r="I130" s="9" t="n">
        <v>3</v>
      </c>
      <c r="K130" s="9" t="n">
        <v>50</v>
      </c>
      <c r="L130" s="9" t="n">
        <v>130</v>
      </c>
      <c r="M130" s="9" t="n">
        <v>405</v>
      </c>
    </row>
    <row r="131" customFormat="false" ht="15" hidden="false" customHeight="false" outlineLevel="0" collapsed="false">
      <c r="A131" s="4" t="s">
        <v>211</v>
      </c>
      <c r="B131" s="9" t="n">
        <v>18</v>
      </c>
      <c r="C131" s="9" t="n">
        <v>55</v>
      </c>
      <c r="D131" s="9" t="n">
        <v>120</v>
      </c>
      <c r="E131" s="9" t="n">
        <v>5</v>
      </c>
      <c r="F131" s="9" t="n">
        <v>3</v>
      </c>
      <c r="G131" s="9" t="n">
        <v>2</v>
      </c>
      <c r="H131" s="9" t="n">
        <v>0.3</v>
      </c>
      <c r="I131" s="9" t="n">
        <v>4</v>
      </c>
      <c r="K131" s="9" t="n">
        <v>20</v>
      </c>
      <c r="L131" s="9" t="n">
        <v>55</v>
      </c>
      <c r="M131" s="9" t="n">
        <v>180</v>
      </c>
    </row>
    <row r="132" customFormat="false" ht="15" hidden="false" customHeight="false" outlineLevel="0" collapsed="false">
      <c r="A132" s="4" t="s">
        <v>212</v>
      </c>
      <c r="B132" s="9" t="n">
        <v>45</v>
      </c>
      <c r="C132" s="9" t="n">
        <v>120</v>
      </c>
      <c r="D132" s="9" t="n">
        <v>300</v>
      </c>
      <c r="E132" s="9" t="n">
        <v>25</v>
      </c>
      <c r="F132" s="9" t="n">
        <v>30</v>
      </c>
      <c r="G132" s="9" t="n">
        <v>5</v>
      </c>
      <c r="H132" s="9" t="n">
        <v>2</v>
      </c>
      <c r="I132" s="9" t="n">
        <v>7</v>
      </c>
      <c r="K132" s="9" t="n">
        <v>90</v>
      </c>
      <c r="L132" s="9" t="n">
        <v>230</v>
      </c>
      <c r="M132" s="9" t="n">
        <v>650</v>
      </c>
    </row>
    <row r="133" customFormat="false" ht="15" hidden="false" customHeight="false" outlineLevel="0" collapsed="false">
      <c r="A133" s="4" t="s">
        <v>213</v>
      </c>
      <c r="B133" s="9" t="n">
        <v>45</v>
      </c>
      <c r="C133" s="9" t="n">
        <v>90</v>
      </c>
      <c r="D133" s="9" t="n">
        <v>220</v>
      </c>
      <c r="E133" s="9" t="n">
        <v>15</v>
      </c>
      <c r="F133" s="9" t="n">
        <v>6</v>
      </c>
      <c r="G133" s="9" t="n">
        <v>3</v>
      </c>
      <c r="H133" s="9" t="n">
        <v>1</v>
      </c>
      <c r="I133" s="9" t="n">
        <v>3.5</v>
      </c>
      <c r="K133" s="9" t="n">
        <v>50</v>
      </c>
      <c r="L133" s="9" t="n">
        <v>125</v>
      </c>
      <c r="M133" s="9" t="n">
        <v>365</v>
      </c>
    </row>
    <row r="134" customFormat="false" ht="15" hidden="false" customHeight="false" outlineLevel="0" collapsed="false">
      <c r="A134" s="4" t="s">
        <v>214</v>
      </c>
      <c r="B134" s="9" t="n">
        <v>18</v>
      </c>
      <c r="C134" s="9" t="n">
        <v>70</v>
      </c>
      <c r="D134" s="9" t="n">
        <v>180</v>
      </c>
      <c r="E134" s="9" t="n">
        <v>8</v>
      </c>
      <c r="F134" s="9" t="n">
        <v>6</v>
      </c>
      <c r="G134" s="9" t="n">
        <v>2.5</v>
      </c>
      <c r="H134" s="9" t="n">
        <v>0.6</v>
      </c>
      <c r="I134" s="9" t="n">
        <v>2</v>
      </c>
      <c r="K134" s="9" t="n">
        <v>35</v>
      </c>
      <c r="L134" s="9" t="n">
        <v>85</v>
      </c>
      <c r="M134" s="9" t="n">
        <v>255</v>
      </c>
    </row>
    <row r="135" customFormat="false" ht="15" hidden="false" customHeight="false" outlineLevel="0" collapsed="false">
      <c r="A135" s="4" t="s">
        <v>215</v>
      </c>
      <c r="B135" s="9" t="n">
        <v>35</v>
      </c>
      <c r="C135" s="9" t="n">
        <v>80</v>
      </c>
      <c r="D135" s="9" t="n">
        <v>160</v>
      </c>
      <c r="E135" s="9" t="n">
        <v>15</v>
      </c>
      <c r="F135" s="9" t="n">
        <v>10</v>
      </c>
      <c r="G135" s="9" t="n">
        <v>2.5</v>
      </c>
      <c r="H135" s="9" t="n">
        <v>0.8</v>
      </c>
      <c r="I135" s="9" t="n">
        <v>3</v>
      </c>
      <c r="K135" s="9" t="n">
        <v>45</v>
      </c>
      <c r="L135" s="9" t="n">
        <v>110</v>
      </c>
      <c r="M135" s="9" t="n">
        <v>320</v>
      </c>
    </row>
    <row r="136" customFormat="false" ht="15" hidden="false" customHeight="false" outlineLevel="0" collapsed="false">
      <c r="A136" s="4" t="s">
        <v>216</v>
      </c>
      <c r="B136" s="9" t="n">
        <v>65</v>
      </c>
      <c r="C136" s="9" t="n">
        <v>120</v>
      </c>
      <c r="D136" s="9" t="n">
        <v>280</v>
      </c>
      <c r="E136" s="9" t="n">
        <v>18</v>
      </c>
      <c r="F136" s="9" t="n">
        <v>20</v>
      </c>
      <c r="G136" s="9" t="n">
        <v>0.9</v>
      </c>
      <c r="H136" s="9" t="n">
        <v>1.2</v>
      </c>
      <c r="I136" s="9" t="n">
        <v>2.5</v>
      </c>
      <c r="K136" s="9" t="n">
        <v>65</v>
      </c>
      <c r="L136" s="9" t="n">
        <v>160</v>
      </c>
      <c r="M136" s="9" t="n">
        <v>440</v>
      </c>
    </row>
    <row r="137" customFormat="false" ht="15" hidden="false" customHeight="false" outlineLevel="0" collapsed="false">
      <c r="A137" s="4" t="s">
        <v>217</v>
      </c>
      <c r="B137" s="9" t="n">
        <v>55</v>
      </c>
      <c r="C137" s="9" t="n">
        <v>120</v>
      </c>
      <c r="D137" s="9" t="n">
        <v>280</v>
      </c>
      <c r="E137" s="9" t="n">
        <v>22</v>
      </c>
      <c r="F137" s="9" t="n">
        <v>9</v>
      </c>
      <c r="G137" s="9" t="n">
        <v>2.8</v>
      </c>
      <c r="H137" s="9" t="n">
        <v>1.8</v>
      </c>
      <c r="I137" s="9" t="n">
        <v>4.5</v>
      </c>
      <c r="K137" s="9" t="n">
        <v>65</v>
      </c>
      <c r="L137" s="9" t="n">
        <v>160</v>
      </c>
      <c r="M137" s="9" t="n">
        <v>465</v>
      </c>
    </row>
    <row r="138" customFormat="false" ht="15" hidden="false" customHeight="false" outlineLevel="0" collapsed="false">
      <c r="A138" s="4" t="s">
        <v>218</v>
      </c>
      <c r="B138" s="9" t="n">
        <v>20</v>
      </c>
      <c r="C138" s="9" t="n">
        <v>70</v>
      </c>
      <c r="D138" s="9" t="n">
        <v>200</v>
      </c>
      <c r="E138" s="9" t="n">
        <v>10</v>
      </c>
      <c r="F138" s="9" t="n">
        <v>4</v>
      </c>
      <c r="G138" s="9" t="n">
        <v>2</v>
      </c>
      <c r="H138" s="9" t="n">
        <v>0.6</v>
      </c>
      <c r="I138" s="9" t="n">
        <v>1.5</v>
      </c>
      <c r="K138" s="9" t="n">
        <v>35</v>
      </c>
      <c r="L138" s="9" t="n">
        <v>90</v>
      </c>
      <c r="M138" s="9" t="n">
        <v>280</v>
      </c>
    </row>
    <row r="139" customFormat="false" ht="15" hidden="false" customHeight="false" outlineLevel="0" collapsed="false">
      <c r="A139" s="4" t="s">
        <v>219</v>
      </c>
      <c r="B139" s="9" t="n">
        <v>80</v>
      </c>
      <c r="C139" s="9" t="n">
        <v>165</v>
      </c>
      <c r="D139" s="9" t="n">
        <v>400</v>
      </c>
      <c r="E139" s="9" t="n">
        <v>30</v>
      </c>
      <c r="F139" s="9" t="n">
        <v>25</v>
      </c>
      <c r="G139" s="9" t="n">
        <v>4</v>
      </c>
      <c r="H139" s="9" t="n">
        <v>1.5</v>
      </c>
      <c r="I139" s="9" t="n">
        <v>7</v>
      </c>
      <c r="K139" s="9" t="n">
        <v>110</v>
      </c>
      <c r="L139" s="9" t="n">
        <v>290</v>
      </c>
      <c r="M139" s="9" t="n">
        <v>830</v>
      </c>
    </row>
    <row r="140" customFormat="false" ht="15" hidden="false" customHeight="false" outlineLevel="0" collapsed="false">
      <c r="A140" s="4" t="s">
        <v>220</v>
      </c>
      <c r="B140" s="9" t="n">
        <v>100</v>
      </c>
      <c r="C140" s="9" t="n">
        <v>200</v>
      </c>
      <c r="D140" s="9" t="n">
        <v>450</v>
      </c>
      <c r="E140" s="9" t="n">
        <v>30</v>
      </c>
      <c r="F140" s="9" t="n">
        <v>25</v>
      </c>
      <c r="G140" s="9" t="n">
        <v>4.5</v>
      </c>
      <c r="H140" s="9" t="n">
        <v>1.5</v>
      </c>
      <c r="I140" s="9" t="n">
        <v>7</v>
      </c>
      <c r="K140" s="9" t="n">
        <v>110</v>
      </c>
      <c r="L140" s="9" t="n">
        <v>280</v>
      </c>
      <c r="M140" s="9" t="n">
        <v>750</v>
      </c>
    </row>
    <row r="141" customFormat="false" ht="15" hidden="false" customHeight="false" outlineLevel="0" collapsed="false">
      <c r="A141" s="4" t="s">
        <v>221</v>
      </c>
      <c r="B141" s="9" t="n">
        <v>70</v>
      </c>
      <c r="C141" s="9" t="n">
        <v>180</v>
      </c>
      <c r="D141" s="9" t="n">
        <v>350</v>
      </c>
      <c r="E141" s="9" t="n">
        <v>25</v>
      </c>
      <c r="F141" s="9" t="n">
        <v>12</v>
      </c>
      <c r="G141" s="9" t="n">
        <v>2</v>
      </c>
      <c r="H141" s="9" t="n">
        <v>1.5</v>
      </c>
      <c r="I141" s="9" t="n">
        <v>3.5</v>
      </c>
      <c r="K141" s="9" t="n">
        <v>75</v>
      </c>
      <c r="L141" s="9" t="n">
        <v>185</v>
      </c>
      <c r="M141" s="9" t="n">
        <v>545</v>
      </c>
    </row>
    <row r="142" customFormat="false" ht="15" hidden="false" customHeight="false" outlineLevel="0" collapsed="false">
      <c r="A142" s="4" t="s">
        <v>222</v>
      </c>
      <c r="B142" s="9" t="n">
        <v>30</v>
      </c>
      <c r="C142" s="9" t="n">
        <v>90</v>
      </c>
      <c r="D142" s="9" t="n">
        <v>220</v>
      </c>
      <c r="E142" s="9" t="n">
        <v>10</v>
      </c>
      <c r="F142" s="9" t="n">
        <v>7</v>
      </c>
      <c r="G142" s="9" t="n">
        <v>2.9</v>
      </c>
      <c r="H142" s="9" t="n">
        <v>0.5</v>
      </c>
      <c r="I142" s="9" t="n">
        <v>1.6</v>
      </c>
      <c r="K142" s="9" t="n">
        <v>40</v>
      </c>
      <c r="L142" s="9" t="n">
        <v>105</v>
      </c>
      <c r="M142" s="9" t="n">
        <v>305</v>
      </c>
    </row>
    <row r="143" customFormat="false" ht="15" hidden="false" customHeight="false" outlineLevel="0" collapsed="false">
      <c r="A143" s="4" t="s">
        <v>223</v>
      </c>
      <c r="B143" s="9" t="n">
        <v>95</v>
      </c>
      <c r="C143" s="9" t="n">
        <v>180</v>
      </c>
      <c r="D143" s="9" t="n">
        <v>320</v>
      </c>
      <c r="E143" s="9" t="n">
        <v>35</v>
      </c>
      <c r="F143" s="9" t="n">
        <v>15</v>
      </c>
      <c r="G143" s="9" t="n">
        <v>3.5</v>
      </c>
      <c r="H143" s="9" t="n">
        <v>2.5</v>
      </c>
      <c r="I143" s="9" t="n">
        <v>6</v>
      </c>
      <c r="K143" s="9" t="n">
        <v>95</v>
      </c>
      <c r="L143" s="9" t="n">
        <v>230</v>
      </c>
      <c r="M143" s="9" t="n">
        <v>645</v>
      </c>
    </row>
    <row r="144" customFormat="false" ht="15" hidden="false" customHeight="false" outlineLevel="0" collapsed="false">
      <c r="A144" s="4" t="s">
        <v>224</v>
      </c>
      <c r="B144" s="9" t="n">
        <v>55</v>
      </c>
      <c r="C144" s="9" t="n">
        <v>130</v>
      </c>
      <c r="D144" s="9" t="n">
        <v>320</v>
      </c>
      <c r="E144" s="9" t="n">
        <v>22</v>
      </c>
      <c r="F144" s="9" t="n">
        <v>10</v>
      </c>
      <c r="G144" s="9" t="n">
        <v>4</v>
      </c>
      <c r="H144" s="9" t="n">
        <v>1</v>
      </c>
      <c r="I144" s="9" t="n">
        <v>5</v>
      </c>
      <c r="K144" s="9" t="n">
        <v>55</v>
      </c>
      <c r="L144" s="9" t="n">
        <v>140</v>
      </c>
      <c r="M144" s="9" t="n">
        <v>400</v>
      </c>
    </row>
    <row r="145" customFormat="false" ht="15" hidden="false" customHeight="false" outlineLevel="0" collapsed="false">
      <c r="A145" s="4" t="s">
        <v>225</v>
      </c>
      <c r="B145" s="9" t="n">
        <v>70</v>
      </c>
      <c r="C145" s="9" t="n">
        <v>130</v>
      </c>
      <c r="D145" s="9" t="n">
        <v>300</v>
      </c>
      <c r="E145" s="9" t="n">
        <v>20</v>
      </c>
      <c r="F145" s="9" t="n">
        <v>25</v>
      </c>
      <c r="G145" s="9" t="n">
        <v>1.6</v>
      </c>
      <c r="H145" s="9" t="n">
        <v>1</v>
      </c>
      <c r="I145" s="9" t="n">
        <v>2.5</v>
      </c>
      <c r="K145" s="9" t="n">
        <v>70</v>
      </c>
      <c r="L145" s="9" t="n">
        <v>170</v>
      </c>
      <c r="M145" s="9" t="n">
        <v>470</v>
      </c>
    </row>
    <row r="146" customFormat="false" ht="15" hidden="false" customHeight="false" outlineLevel="0" collapsed="false">
      <c r="A146" s="4" t="s">
        <v>226</v>
      </c>
      <c r="B146" s="9" t="n">
        <v>45</v>
      </c>
      <c r="C146" s="9" t="n">
        <v>90</v>
      </c>
      <c r="D146" s="9" t="n">
        <v>150</v>
      </c>
      <c r="E146" s="9" t="n">
        <v>15</v>
      </c>
      <c r="F146" s="9" t="n">
        <v>5</v>
      </c>
      <c r="G146" s="9" t="n">
        <v>4</v>
      </c>
      <c r="H146" s="9" t="n">
        <v>1.5</v>
      </c>
      <c r="I146" s="9" t="n">
        <v>4</v>
      </c>
      <c r="K146" s="9" t="n">
        <v>50</v>
      </c>
      <c r="L146" s="9" t="n">
        <v>120</v>
      </c>
      <c r="M146" s="9" t="n">
        <v>335</v>
      </c>
    </row>
    <row r="147" customFormat="false" ht="15" hidden="false" customHeight="false" outlineLevel="0" collapsed="false">
      <c r="A147" s="4" t="s">
        <v>227</v>
      </c>
      <c r="B147" s="9" t="n">
        <v>60</v>
      </c>
      <c r="C147" s="9" t="n">
        <v>160</v>
      </c>
      <c r="D147" s="9" t="n">
        <v>300</v>
      </c>
      <c r="E147" s="9" t="n">
        <v>30</v>
      </c>
      <c r="F147" s="9" t="n">
        <v>8</v>
      </c>
      <c r="G147" s="9" t="n">
        <v>3.5</v>
      </c>
      <c r="H147" s="9" t="n">
        <v>1.5</v>
      </c>
      <c r="I147" s="9" t="n">
        <v>4.5</v>
      </c>
      <c r="K147" s="9" t="n">
        <v>75</v>
      </c>
      <c r="L147" s="9" t="n">
        <v>185</v>
      </c>
      <c r="M147" s="9" t="n">
        <v>545</v>
      </c>
    </row>
    <row r="148" customFormat="false" ht="15" hidden="false" customHeight="false" outlineLevel="0" collapsed="false">
      <c r="A148" s="4" t="s">
        <v>228</v>
      </c>
      <c r="B148" s="9" t="n">
        <v>25</v>
      </c>
      <c r="C148" s="9" t="n">
        <v>90</v>
      </c>
      <c r="D148" s="9" t="n">
        <v>280</v>
      </c>
      <c r="E148" s="9" t="n">
        <v>15</v>
      </c>
      <c r="F148" s="9" t="n">
        <v>5</v>
      </c>
      <c r="G148" s="9" t="n">
        <v>3</v>
      </c>
      <c r="H148" s="9" t="n">
        <v>1</v>
      </c>
      <c r="J148" s="9" t="s">
        <v>82</v>
      </c>
      <c r="K148" s="9" t="n">
        <v>45</v>
      </c>
      <c r="L148" s="9" t="n">
        <v>115</v>
      </c>
      <c r="M148" s="9" t="n">
        <v>365</v>
      </c>
    </row>
    <row r="149" customFormat="false" ht="15" hidden="false" customHeight="false" outlineLevel="0" collapsed="false">
      <c r="A149" s="4" t="s">
        <v>229</v>
      </c>
      <c r="B149" s="9" t="n">
        <v>15</v>
      </c>
      <c r="C149" s="9" t="n">
        <v>70</v>
      </c>
      <c r="D149" s="9" t="n">
        <v>130</v>
      </c>
      <c r="E149" s="9" t="n">
        <v>8</v>
      </c>
      <c r="F149" s="9" t="n">
        <v>4</v>
      </c>
      <c r="G149" s="9" t="n">
        <v>2.5</v>
      </c>
      <c r="H149" s="9" t="n">
        <v>1</v>
      </c>
      <c r="I149" s="9" t="n">
        <v>2</v>
      </c>
      <c r="K149" s="9" t="n">
        <v>30</v>
      </c>
      <c r="L149" s="9" t="n">
        <v>75</v>
      </c>
      <c r="M149" s="9" t="n">
        <v>225</v>
      </c>
    </row>
    <row r="150" customFormat="false" ht="15" hidden="false" customHeight="false" outlineLevel="0" collapsed="false">
      <c r="A150" s="4" t="s">
        <v>230</v>
      </c>
      <c r="B150" s="9" t="n">
        <v>35</v>
      </c>
      <c r="C150" s="9" t="n">
        <v>90</v>
      </c>
      <c r="D150" s="9" t="n">
        <v>280</v>
      </c>
      <c r="E150" s="9" t="n">
        <v>18</v>
      </c>
      <c r="F150" s="9" t="n">
        <v>6</v>
      </c>
      <c r="G150" s="9" t="n">
        <v>4</v>
      </c>
      <c r="H150" s="9" t="n">
        <v>0.6</v>
      </c>
      <c r="I150" s="9" t="n">
        <v>9</v>
      </c>
      <c r="K150" s="9" t="n">
        <v>50</v>
      </c>
      <c r="L150" s="9" t="n">
        <v>135</v>
      </c>
      <c r="M150" s="9" t="n">
        <v>405</v>
      </c>
    </row>
    <row r="151" customFormat="false" ht="15" hidden="false" customHeight="false" outlineLevel="0" collapsed="false">
      <c r="A151" s="4" t="s">
        <v>231</v>
      </c>
      <c r="B151" s="9" t="n">
        <v>20</v>
      </c>
      <c r="C151" s="9" t="n">
        <v>70</v>
      </c>
      <c r="D151" s="9" t="n">
        <v>200</v>
      </c>
      <c r="E151" s="9" t="n">
        <v>8</v>
      </c>
      <c r="F151" s="9" t="n">
        <v>5</v>
      </c>
      <c r="G151" s="9" t="n">
        <v>3</v>
      </c>
      <c r="H151" s="9" t="n">
        <v>0.5</v>
      </c>
      <c r="I151" s="9" t="n">
        <v>2</v>
      </c>
      <c r="K151" s="9" t="n">
        <v>35</v>
      </c>
      <c r="L151" s="9" t="n">
        <v>85</v>
      </c>
      <c r="M151" s="9" t="n">
        <v>265</v>
      </c>
    </row>
    <row r="152" customFormat="false" ht="15" hidden="false" customHeight="false" outlineLevel="0" collapsed="false">
      <c r="A152" s="4" t="s">
        <v>232</v>
      </c>
      <c r="B152" s="9" t="n">
        <v>25</v>
      </c>
      <c r="C152" s="9" t="n">
        <v>90</v>
      </c>
      <c r="D152" s="9" t="n">
        <v>180</v>
      </c>
      <c r="E152" s="9" t="n">
        <v>12</v>
      </c>
      <c r="F152" s="9" t="n">
        <v>6</v>
      </c>
      <c r="G152" s="9" t="n">
        <v>1.5</v>
      </c>
      <c r="H152" s="9" t="n">
        <v>0.8</v>
      </c>
      <c r="I152" s="9" t="n">
        <v>2</v>
      </c>
      <c r="K152" s="9" t="n">
        <v>40</v>
      </c>
      <c r="L152" s="9" t="n">
        <v>100</v>
      </c>
      <c r="M152" s="9" t="n">
        <v>295</v>
      </c>
    </row>
    <row r="153" customFormat="false" ht="15" hidden="false" customHeight="false" outlineLevel="0" collapsed="false">
      <c r="A153" s="4" t="s">
        <v>233</v>
      </c>
      <c r="B153" s="9" t="n">
        <v>110</v>
      </c>
      <c r="C153" s="9" t="n">
        <v>200</v>
      </c>
      <c r="D153" s="9" t="n">
        <v>500</v>
      </c>
      <c r="E153" s="9" t="n">
        <v>30</v>
      </c>
      <c r="F153" s="9" t="n">
        <v>30</v>
      </c>
      <c r="G153" s="9" t="n">
        <v>3.5</v>
      </c>
      <c r="H153" s="9" t="n">
        <v>2.5</v>
      </c>
      <c r="I153" s="9" t="n">
        <v>7.5</v>
      </c>
      <c r="K153" s="9" t="n">
        <v>90</v>
      </c>
      <c r="L153" s="9" t="n">
        <v>220</v>
      </c>
      <c r="M153" s="9" t="n">
        <v>600</v>
      </c>
    </row>
    <row r="154" customFormat="false" ht="15" hidden="false" customHeight="false" outlineLevel="0" collapsed="false">
      <c r="A154" s="4" t="s">
        <v>234</v>
      </c>
      <c r="B154" s="9" t="n">
        <v>30</v>
      </c>
      <c r="C154" s="9" t="n">
        <v>70</v>
      </c>
      <c r="D154" s="9" t="n">
        <v>250</v>
      </c>
      <c r="E154" s="9" t="n">
        <v>12</v>
      </c>
      <c r="F154" s="9" t="n">
        <v>6</v>
      </c>
      <c r="G154" s="9" t="n">
        <v>1.5</v>
      </c>
      <c r="H154" s="9" t="n">
        <v>0.4</v>
      </c>
      <c r="J154" s="9" t="s">
        <v>82</v>
      </c>
      <c r="K154" s="9" t="n">
        <v>40</v>
      </c>
      <c r="L154" s="9" t="n">
        <v>95</v>
      </c>
      <c r="M154" s="9" t="n">
        <v>300</v>
      </c>
    </row>
    <row r="155" customFormat="false" ht="15" hidden="false" customHeight="false" outlineLevel="0" collapsed="false">
      <c r="A155" s="4" t="s">
        <v>235</v>
      </c>
      <c r="B155" s="9" t="n">
        <v>40</v>
      </c>
      <c r="C155" s="9" t="n">
        <v>75</v>
      </c>
      <c r="D155" s="9" t="n">
        <v>210</v>
      </c>
      <c r="E155" s="9" t="n">
        <v>9</v>
      </c>
      <c r="F155" s="9" t="n">
        <v>4</v>
      </c>
      <c r="G155" s="9" t="n">
        <v>2</v>
      </c>
      <c r="H155" s="9" t="n">
        <v>1</v>
      </c>
      <c r="I155" s="9" t="n">
        <v>2</v>
      </c>
      <c r="K155" s="9" t="n">
        <v>45</v>
      </c>
      <c r="L155" s="9" t="n">
        <v>105</v>
      </c>
      <c r="M155" s="9" t="n">
        <v>305</v>
      </c>
    </row>
    <row r="156" customFormat="false" ht="15" hidden="false" customHeight="false" outlineLevel="0" collapsed="false">
      <c r="A156" s="4" t="s">
        <v>236</v>
      </c>
      <c r="B156" s="9" t="n">
        <v>25</v>
      </c>
      <c r="C156" s="9" t="n">
        <v>90</v>
      </c>
      <c r="D156" s="9" t="n">
        <v>220</v>
      </c>
      <c r="E156" s="9" t="n">
        <v>12</v>
      </c>
      <c r="F156" s="9" t="n">
        <v>6</v>
      </c>
      <c r="G156" s="9" t="n">
        <v>2.5</v>
      </c>
      <c r="H156" s="9" t="n">
        <v>1</v>
      </c>
      <c r="I156" s="9" t="n">
        <v>2.5</v>
      </c>
      <c r="K156" s="9" t="n">
        <v>40</v>
      </c>
      <c r="L156" s="9" t="n">
        <v>105</v>
      </c>
      <c r="M156" s="9" t="n">
        <v>315</v>
      </c>
    </row>
    <row r="157" customFormat="false" ht="15" hidden="false" customHeight="false" outlineLevel="0" collapsed="false">
      <c r="A157" s="4" t="s">
        <v>237</v>
      </c>
      <c r="B157" s="9" t="n">
        <v>45</v>
      </c>
      <c r="C157" s="9" t="n">
        <v>120</v>
      </c>
      <c r="D157" s="9" t="n">
        <v>300</v>
      </c>
      <c r="E157" s="9" t="n">
        <v>12</v>
      </c>
      <c r="F157" s="9" t="n">
        <v>10</v>
      </c>
      <c r="G157" s="9" t="n">
        <v>2</v>
      </c>
      <c r="H157" s="9" t="n">
        <v>0.3</v>
      </c>
      <c r="J157" s="9" t="s">
        <v>186</v>
      </c>
      <c r="K157" s="9" t="n">
        <v>60</v>
      </c>
      <c r="L157" s="9" t="n">
        <v>150</v>
      </c>
      <c r="M157" s="9" t="n">
        <v>500</v>
      </c>
    </row>
    <row r="158" customFormat="false" ht="15" hidden="false" customHeight="false" outlineLevel="0" collapsed="false">
      <c r="A158" s="4" t="s">
        <v>238</v>
      </c>
      <c r="B158" s="9" t="n">
        <v>40</v>
      </c>
      <c r="C158" s="9" t="n">
        <v>90</v>
      </c>
      <c r="D158" s="9" t="n">
        <v>200</v>
      </c>
      <c r="E158" s="9" t="n">
        <v>12</v>
      </c>
      <c r="F158" s="9" t="n">
        <v>10</v>
      </c>
      <c r="G158" s="9" t="n">
        <v>2</v>
      </c>
      <c r="H158" s="9" t="n">
        <v>0.3</v>
      </c>
      <c r="J158" s="9" t="s">
        <v>186</v>
      </c>
      <c r="K158" s="9" t="n">
        <v>55</v>
      </c>
      <c r="L158" s="9" t="n">
        <v>140</v>
      </c>
      <c r="M158" s="9" t="n">
        <v>450</v>
      </c>
    </row>
    <row r="159" customFormat="false" ht="15" hidden="false" customHeight="false" outlineLevel="0" collapsed="false">
      <c r="A159" s="4" t="s">
        <v>239</v>
      </c>
      <c r="B159" s="9" t="n">
        <v>75</v>
      </c>
      <c r="C159" s="9" t="n">
        <v>130</v>
      </c>
      <c r="D159" s="9" t="n">
        <v>300</v>
      </c>
      <c r="E159" s="9" t="n">
        <v>22</v>
      </c>
      <c r="F159" s="9" t="n">
        <v>22</v>
      </c>
      <c r="G159" s="9" t="n">
        <v>3.5</v>
      </c>
      <c r="H159" s="9" t="n">
        <v>2</v>
      </c>
      <c r="I159" s="9" t="n">
        <v>6</v>
      </c>
      <c r="K159" s="9" t="n">
        <v>85</v>
      </c>
      <c r="L159" s="9" t="n">
        <v>210</v>
      </c>
      <c r="M159" s="9" t="n">
        <v>570</v>
      </c>
    </row>
    <row r="160" customFormat="false" ht="15" hidden="false" customHeight="false" outlineLevel="0" collapsed="false">
      <c r="A160" s="4" t="s">
        <v>240</v>
      </c>
      <c r="B160" s="9" t="n">
        <v>40</v>
      </c>
      <c r="C160" s="9" t="n">
        <v>90</v>
      </c>
      <c r="D160" s="9" t="n">
        <v>300</v>
      </c>
      <c r="E160" s="9" t="n">
        <v>15</v>
      </c>
      <c r="F160" s="9" t="n">
        <v>12</v>
      </c>
      <c r="G160" s="9" t="n">
        <v>2.5</v>
      </c>
      <c r="H160" s="9" t="n">
        <v>0.7</v>
      </c>
      <c r="I160" s="9" t="n">
        <v>2</v>
      </c>
      <c r="K160" s="9" t="n">
        <v>40</v>
      </c>
      <c r="L160" s="9" t="n">
        <v>100</v>
      </c>
      <c r="M160" s="9" t="n">
        <v>300</v>
      </c>
    </row>
    <row r="161" customFormat="false" ht="15" hidden="false" customHeight="false" outlineLevel="0" collapsed="false">
      <c r="A161" s="4" t="s">
        <v>241</v>
      </c>
      <c r="B161" s="9" t="n">
        <v>90</v>
      </c>
      <c r="C161" s="9" t="n">
        <v>180</v>
      </c>
      <c r="D161" s="9" t="n">
        <v>400</v>
      </c>
      <c r="E161" s="9" t="n">
        <v>30</v>
      </c>
      <c r="F161" s="9" t="n">
        <v>30</v>
      </c>
      <c r="G161" s="9" t="n">
        <v>4</v>
      </c>
      <c r="H161" s="9" t="n">
        <v>2</v>
      </c>
      <c r="I161" s="9" t="n">
        <v>6</v>
      </c>
      <c r="K161" s="9" t="n">
        <v>100</v>
      </c>
      <c r="L161" s="9" t="n">
        <v>250</v>
      </c>
      <c r="M161" s="9" t="n">
        <v>700</v>
      </c>
    </row>
    <row r="162" customFormat="false" ht="15" hidden="false" customHeight="false" outlineLevel="0" collapsed="false">
      <c r="A162" s="4" t="s">
        <v>242</v>
      </c>
      <c r="B162" s="9" t="n">
        <v>65</v>
      </c>
      <c r="C162" s="9" t="n">
        <v>130</v>
      </c>
      <c r="D162" s="9" t="n">
        <v>330</v>
      </c>
      <c r="E162" s="9" t="n">
        <v>25</v>
      </c>
      <c r="F162" s="9" t="n">
        <v>18</v>
      </c>
      <c r="G162" s="9" t="n">
        <v>1.5</v>
      </c>
      <c r="H162" s="9" t="n">
        <v>1</v>
      </c>
      <c r="I162" s="9" t="n">
        <v>6</v>
      </c>
      <c r="K162" s="9" t="n">
        <v>85</v>
      </c>
      <c r="L162" s="9" t="n">
        <v>200</v>
      </c>
      <c r="M162" s="9" t="n">
        <v>550</v>
      </c>
    </row>
    <row r="163" customFormat="false" ht="15" hidden="false" customHeight="false" outlineLevel="0" collapsed="false">
      <c r="A163" s="4" t="s">
        <v>243</v>
      </c>
      <c r="B163" s="9" t="n">
        <v>35</v>
      </c>
      <c r="C163" s="9" t="n">
        <v>75</v>
      </c>
      <c r="D163" s="9" t="n">
        <v>150</v>
      </c>
      <c r="E163" s="9" t="n">
        <v>15</v>
      </c>
      <c r="F163" s="9" t="n">
        <v>5</v>
      </c>
      <c r="G163" s="9" t="n">
        <v>2.5</v>
      </c>
      <c r="H163" s="9" t="n">
        <v>0.7</v>
      </c>
      <c r="I163" s="9" t="n">
        <v>2</v>
      </c>
      <c r="K163" s="9" t="n">
        <v>45</v>
      </c>
      <c r="L163" s="9" t="n">
        <v>110</v>
      </c>
      <c r="M163" s="9" t="n">
        <v>320</v>
      </c>
    </row>
    <row r="164" customFormat="false" ht="15" hidden="false" customHeight="false" outlineLevel="0" collapsed="false">
      <c r="A164" s="4" t="s">
        <v>244</v>
      </c>
      <c r="B164" s="9" t="n">
        <v>35</v>
      </c>
      <c r="C164" s="9" t="n">
        <v>90</v>
      </c>
      <c r="D164" s="9" t="n">
        <v>180</v>
      </c>
      <c r="E164" s="9" t="n">
        <v>12</v>
      </c>
      <c r="F164" s="9" t="n">
        <v>10</v>
      </c>
      <c r="G164" s="9" t="n">
        <v>2</v>
      </c>
      <c r="H164" s="9" t="n">
        <v>1</v>
      </c>
      <c r="J164" s="9" t="s">
        <v>82</v>
      </c>
      <c r="K164" s="9" t="n">
        <v>45</v>
      </c>
      <c r="L164" s="9" t="n">
        <v>110</v>
      </c>
      <c r="M164" s="9" t="n">
        <v>310</v>
      </c>
    </row>
    <row r="165" customFormat="false" ht="15" hidden="false" customHeight="false" outlineLevel="0" collapsed="false">
      <c r="A165" s="4" t="s">
        <v>245</v>
      </c>
      <c r="B165" s="9" t="n">
        <v>180</v>
      </c>
      <c r="C165" s="9" t="n">
        <v>380</v>
      </c>
      <c r="D165" s="9" t="n">
        <v>1200</v>
      </c>
      <c r="E165" s="9" t="n">
        <v>55</v>
      </c>
      <c r="F165" s="9" t="n">
        <v>20</v>
      </c>
      <c r="G165" s="9" t="n">
        <v>4.5</v>
      </c>
      <c r="H165" s="9" t="n">
        <v>3</v>
      </c>
      <c r="I165" s="9" t="n">
        <v>9</v>
      </c>
      <c r="K165" s="9" t="n">
        <v>165</v>
      </c>
      <c r="L165" s="9" t="n">
        <v>440</v>
      </c>
      <c r="M165" s="9" t="n">
        <v>1325</v>
      </c>
    </row>
    <row r="166" customFormat="false" ht="15" hidden="false" customHeight="false" outlineLevel="0" collapsed="false">
      <c r="A166" s="4" t="s">
        <v>246</v>
      </c>
      <c r="B166" s="9" t="n">
        <v>35</v>
      </c>
      <c r="C166" s="9" t="n">
        <v>150</v>
      </c>
      <c r="D166" s="9" t="n">
        <v>325</v>
      </c>
      <c r="E166" s="9" t="n">
        <v>18</v>
      </c>
      <c r="F166" s="9" t="n">
        <v>6</v>
      </c>
      <c r="G166" s="9" t="n">
        <v>3</v>
      </c>
      <c r="H166" s="9" t="n">
        <v>1</v>
      </c>
      <c r="I166" s="9" t="n">
        <v>3</v>
      </c>
      <c r="K166" s="9" t="n">
        <v>55</v>
      </c>
      <c r="L166" s="9" t="n">
        <v>135</v>
      </c>
      <c r="M166" s="9" t="n">
        <v>425</v>
      </c>
    </row>
    <row r="167" customFormat="false" ht="15" hidden="false" customHeight="false" outlineLevel="0" collapsed="false">
      <c r="A167" s="4" t="s">
        <v>247</v>
      </c>
      <c r="B167" s="9" t="n">
        <v>55</v>
      </c>
      <c r="C167" s="9" t="n">
        <v>140</v>
      </c>
      <c r="D167" s="9" t="n">
        <v>500</v>
      </c>
      <c r="E167" s="9" t="n">
        <v>18</v>
      </c>
      <c r="F167" s="9" t="n">
        <v>12</v>
      </c>
      <c r="G167" s="9" t="n">
        <v>3</v>
      </c>
      <c r="H167" s="9" t="n">
        <v>1.5</v>
      </c>
      <c r="I167" s="9" t="n">
        <v>4</v>
      </c>
      <c r="K167" s="9" t="n">
        <v>65</v>
      </c>
      <c r="L167" s="9" t="n">
        <v>175</v>
      </c>
      <c r="M167" s="9" t="n">
        <v>535</v>
      </c>
    </row>
    <row r="168" customFormat="false" ht="15" hidden="false" customHeight="false" outlineLevel="0" collapsed="false">
      <c r="A168" s="4" t="s">
        <v>248</v>
      </c>
      <c r="B168" s="9" t="n">
        <v>35</v>
      </c>
      <c r="C168" s="9" t="n">
        <v>100</v>
      </c>
      <c r="D168" s="9" t="n">
        <v>300</v>
      </c>
      <c r="E168" s="9" t="n">
        <v>18</v>
      </c>
      <c r="F168" s="9" t="n">
        <v>7</v>
      </c>
      <c r="G168" s="9" t="n">
        <v>2.5</v>
      </c>
      <c r="H168" s="9" t="n">
        <v>1.3</v>
      </c>
      <c r="I168" s="9" t="n">
        <v>4</v>
      </c>
      <c r="K168" s="9" t="n">
        <v>55</v>
      </c>
      <c r="L168" s="9" t="n">
        <v>135</v>
      </c>
      <c r="M168" s="9" t="n">
        <v>415</v>
      </c>
    </row>
    <row r="169" customFormat="false" ht="15" hidden="false" customHeight="false" outlineLevel="0" collapsed="false">
      <c r="A169" s="4" t="s">
        <v>249</v>
      </c>
      <c r="B169" s="9" t="n">
        <v>90</v>
      </c>
      <c r="C169" s="9" t="n">
        <v>180</v>
      </c>
      <c r="D169" s="9" t="n">
        <v>400</v>
      </c>
      <c r="E169" s="9" t="n">
        <v>30</v>
      </c>
      <c r="F169" s="9" t="n">
        <v>25</v>
      </c>
      <c r="G169" s="9" t="n">
        <v>3.5</v>
      </c>
      <c r="H169" s="9" t="n">
        <v>1.75</v>
      </c>
      <c r="I169" s="9" t="n">
        <v>6.5</v>
      </c>
      <c r="K169" s="9" t="n">
        <v>80</v>
      </c>
      <c r="L169" s="9" t="n">
        <v>190</v>
      </c>
      <c r="M169" s="9" t="n">
        <v>520</v>
      </c>
    </row>
    <row r="170" customFormat="false" ht="15" hidden="false" customHeight="false" outlineLevel="0" collapsed="false">
      <c r="A170" s="4" t="s">
        <v>250</v>
      </c>
      <c r="B170" s="9" t="n">
        <v>25</v>
      </c>
      <c r="C170" s="9" t="n">
        <v>60</v>
      </c>
      <c r="D170" s="9" t="n">
        <v>180</v>
      </c>
      <c r="E170" s="9" t="n">
        <v>10</v>
      </c>
      <c r="F170" s="9" t="n">
        <v>4</v>
      </c>
      <c r="G170" s="9" t="n">
        <v>2</v>
      </c>
      <c r="H170" s="9" t="n">
        <v>1</v>
      </c>
      <c r="I170" s="9" t="n">
        <v>4</v>
      </c>
      <c r="K170" s="9" t="n">
        <v>40</v>
      </c>
      <c r="L170" s="9" t="n">
        <v>95</v>
      </c>
      <c r="M170" s="9" t="n">
        <v>280</v>
      </c>
    </row>
    <row r="171" customFormat="false" ht="15" hidden="false" customHeight="false" outlineLevel="0" collapsed="false">
      <c r="A171" s="4" t="s">
        <v>251</v>
      </c>
      <c r="B171" s="9" t="n">
        <v>40</v>
      </c>
      <c r="C171" s="9" t="n">
        <v>90</v>
      </c>
      <c r="D171" s="9" t="n">
        <v>250</v>
      </c>
      <c r="E171" s="9" t="n">
        <v>15</v>
      </c>
      <c r="F171" s="9" t="n">
        <v>6</v>
      </c>
      <c r="G171" s="9" t="n">
        <v>3.5</v>
      </c>
      <c r="H171" s="9" t="n">
        <v>1</v>
      </c>
      <c r="I171" s="9" t="n">
        <v>3</v>
      </c>
      <c r="K171" s="9" t="n">
        <v>50</v>
      </c>
      <c r="L171" s="9" t="n">
        <v>125</v>
      </c>
      <c r="M171" s="9" t="n">
        <v>375</v>
      </c>
    </row>
    <row r="172" customFormat="false" ht="15" hidden="false" customHeight="false" outlineLevel="0" collapsed="false">
      <c r="A172" s="4" t="s">
        <v>252</v>
      </c>
      <c r="B172" s="9" t="n">
        <v>20</v>
      </c>
      <c r="C172" s="9" t="n">
        <v>75</v>
      </c>
      <c r="D172" s="9" t="n">
        <v>260</v>
      </c>
      <c r="E172" s="9" t="n">
        <v>6</v>
      </c>
      <c r="F172" s="9" t="n">
        <v>4</v>
      </c>
      <c r="G172" s="9" t="n">
        <v>2.5</v>
      </c>
      <c r="H172" s="9" t="n">
        <v>0.3</v>
      </c>
      <c r="I172" s="9" t="n">
        <v>4</v>
      </c>
      <c r="K172" s="9" t="n">
        <v>25</v>
      </c>
      <c r="L172" s="9" t="n">
        <v>75</v>
      </c>
      <c r="M172" s="9" t="n">
        <v>300</v>
      </c>
    </row>
    <row r="173" customFormat="false" ht="15" hidden="false" customHeight="false" outlineLevel="0" collapsed="false">
      <c r="A173" s="4" t="s">
        <v>253</v>
      </c>
      <c r="B173" s="9" t="n">
        <v>75</v>
      </c>
      <c r="C173" s="9" t="n">
        <v>140</v>
      </c>
      <c r="D173" s="9" t="n">
        <v>320</v>
      </c>
      <c r="E173" s="9" t="n">
        <v>20</v>
      </c>
      <c r="F173" s="9" t="n">
        <v>28</v>
      </c>
      <c r="G173" s="9" t="n">
        <v>3.2</v>
      </c>
      <c r="H173" s="9" t="n">
        <v>2.5</v>
      </c>
      <c r="I173" s="9" t="n">
        <v>4.5</v>
      </c>
      <c r="K173" s="9" t="n">
        <v>80</v>
      </c>
      <c r="L173" s="9" t="n">
        <v>190</v>
      </c>
      <c r="M173" s="9" t="n">
        <v>520</v>
      </c>
    </row>
    <row r="174" customFormat="false" ht="15" hidden="false" customHeight="false" outlineLevel="0" collapsed="false">
      <c r="A174" s="4" t="s">
        <v>254</v>
      </c>
      <c r="B174" s="9" t="n">
        <v>35</v>
      </c>
      <c r="C174" s="9" t="n">
        <v>90</v>
      </c>
      <c r="D174" s="9" t="n">
        <v>350</v>
      </c>
      <c r="E174" s="9" t="n">
        <v>18</v>
      </c>
      <c r="F174" s="9" t="n">
        <v>7</v>
      </c>
      <c r="G174" s="9" t="n">
        <v>4</v>
      </c>
      <c r="H174" s="9" t="n">
        <v>0.6</v>
      </c>
      <c r="I174" s="9" t="n">
        <v>10</v>
      </c>
      <c r="K174" s="9" t="n">
        <v>55</v>
      </c>
      <c r="L174" s="9" t="n">
        <v>140</v>
      </c>
      <c r="M174" s="9" t="n">
        <v>435</v>
      </c>
    </row>
    <row r="175" customFormat="false" ht="15" hidden="false" customHeight="false" outlineLevel="0" collapsed="false">
      <c r="A175" s="4" t="s">
        <v>255</v>
      </c>
      <c r="B175" s="9" t="n">
        <v>30</v>
      </c>
      <c r="C175" s="9" t="n">
        <v>90</v>
      </c>
      <c r="D175" s="9" t="n">
        <v>250</v>
      </c>
      <c r="E175" s="9" t="n">
        <v>10</v>
      </c>
      <c r="F175" s="9" t="n">
        <v>6</v>
      </c>
      <c r="G175" s="9" t="n">
        <v>2.5</v>
      </c>
      <c r="H175" s="9" t="n">
        <v>1</v>
      </c>
      <c r="I175" s="9" t="n">
        <v>4</v>
      </c>
      <c r="K175" s="9" t="n">
        <v>40</v>
      </c>
      <c r="L175" s="9" t="n">
        <v>105</v>
      </c>
      <c r="M175" s="9" t="n">
        <v>320</v>
      </c>
    </row>
    <row r="176" customFormat="false" ht="15" hidden="false" customHeight="false" outlineLevel="0" collapsed="false">
      <c r="A176" s="4" t="s">
        <v>256</v>
      </c>
      <c r="B176" s="9" t="n">
        <v>30</v>
      </c>
      <c r="C176" s="9" t="n">
        <v>90</v>
      </c>
      <c r="D176" s="9" t="n">
        <v>450</v>
      </c>
      <c r="E176" s="9" t="n">
        <v>15</v>
      </c>
      <c r="F176" s="9" t="n">
        <v>7</v>
      </c>
      <c r="G176" s="9" t="n">
        <v>3.5</v>
      </c>
      <c r="H176" s="9" t="n">
        <v>1.5</v>
      </c>
      <c r="I176" s="9" t="n">
        <v>4</v>
      </c>
      <c r="K176" s="9" t="n">
        <v>50</v>
      </c>
      <c r="L176" s="9" t="n">
        <v>140</v>
      </c>
      <c r="M176" s="9" t="n">
        <v>450</v>
      </c>
    </row>
    <row r="177" customFormat="false" ht="15" hidden="false" customHeight="false" outlineLevel="0" collapsed="false">
      <c r="A177" s="4" t="s">
        <v>257</v>
      </c>
      <c r="B177" s="9" t="n">
        <v>20</v>
      </c>
      <c r="C177" s="9" t="n">
        <v>90</v>
      </c>
      <c r="D177" s="9" t="n">
        <v>350</v>
      </c>
      <c r="E177" s="9" t="n">
        <v>12</v>
      </c>
      <c r="F177" s="9" t="n">
        <v>8</v>
      </c>
      <c r="G177" s="9" t="n">
        <v>3</v>
      </c>
      <c r="H177" s="9" t="n">
        <v>0.7</v>
      </c>
      <c r="I177" s="9" t="n">
        <v>3</v>
      </c>
      <c r="K177" s="9" t="n">
        <v>45</v>
      </c>
      <c r="L177" s="9" t="n">
        <v>115</v>
      </c>
      <c r="M177" s="9" t="n">
        <v>365</v>
      </c>
    </row>
    <row r="178" customFormat="false" ht="15" hidden="false" customHeight="false" outlineLevel="0" collapsed="false">
      <c r="A178" s="4" t="s">
        <v>258</v>
      </c>
      <c r="B178" s="9" t="n">
        <v>18</v>
      </c>
      <c r="C178" s="9" t="n">
        <v>40</v>
      </c>
      <c r="D178" s="9" t="n">
        <v>90</v>
      </c>
      <c r="E178" s="9" t="n">
        <v>6</v>
      </c>
      <c r="F178" s="9" t="n">
        <v>3</v>
      </c>
      <c r="G178" s="9" t="n">
        <v>3.5</v>
      </c>
      <c r="H178" s="9" t="n">
        <v>0.5</v>
      </c>
      <c r="I178" s="9" t="n">
        <v>1.2</v>
      </c>
      <c r="K178" s="9" t="n">
        <v>25</v>
      </c>
      <c r="L178" s="9" t="n">
        <v>55</v>
      </c>
      <c r="M178" s="9" t="n">
        <v>150</v>
      </c>
    </row>
    <row r="179" customFormat="false" ht="15" hidden="false" customHeight="false" outlineLevel="0" collapsed="false">
      <c r="A179" s="4" t="s">
        <v>259</v>
      </c>
      <c r="B179" s="9" t="n">
        <v>20</v>
      </c>
      <c r="C179" s="9" t="n">
        <v>55</v>
      </c>
      <c r="D179" s="9" t="n">
        <v>130</v>
      </c>
      <c r="E179" s="9" t="n">
        <v>6</v>
      </c>
      <c r="F179" s="9" t="n">
        <v>3</v>
      </c>
      <c r="G179" s="9" t="n">
        <v>4</v>
      </c>
      <c r="H179" s="9" t="n">
        <v>0.5</v>
      </c>
      <c r="I179" s="9" t="n">
        <v>1.5</v>
      </c>
      <c r="K179" s="9" t="n">
        <v>30</v>
      </c>
      <c r="L179" s="9" t="n">
        <v>75</v>
      </c>
      <c r="M179" s="9" t="n">
        <v>220</v>
      </c>
    </row>
    <row r="180" customFormat="false" ht="15" hidden="false" customHeight="false" outlineLevel="0" collapsed="false">
      <c r="A180" s="4" t="s">
        <v>260</v>
      </c>
      <c r="B180" s="9" t="n">
        <v>90</v>
      </c>
      <c r="C180" s="9" t="n">
        <v>220</v>
      </c>
      <c r="D180" s="9" t="n">
        <v>450</v>
      </c>
      <c r="E180" s="9" t="n">
        <v>25</v>
      </c>
      <c r="F180" s="9" t="n">
        <v>15</v>
      </c>
      <c r="G180" s="9" t="n">
        <v>4</v>
      </c>
      <c r="H180" s="9" t="n">
        <v>2</v>
      </c>
      <c r="I180" s="9" t="n">
        <v>6</v>
      </c>
      <c r="K180" s="9" t="n">
        <v>85</v>
      </c>
      <c r="L180" s="9" t="n">
        <v>215</v>
      </c>
      <c r="M180" s="9" t="n">
        <v>615</v>
      </c>
    </row>
    <row r="181" customFormat="false" ht="15" hidden="false" customHeight="false" outlineLevel="0" collapsed="false">
      <c r="A181" s="4" t="s">
        <v>261</v>
      </c>
      <c r="B181" s="9" t="n">
        <v>120</v>
      </c>
      <c r="C181" s="9" t="n">
        <v>250</v>
      </c>
      <c r="D181" s="9" t="n">
        <v>550</v>
      </c>
      <c r="E181" s="9" t="n">
        <v>35</v>
      </c>
      <c r="F181" s="9" t="n">
        <v>25</v>
      </c>
      <c r="G181" s="9" t="n">
        <v>4.5</v>
      </c>
      <c r="H181" s="9" t="n">
        <v>1.5</v>
      </c>
      <c r="I181" s="9" t="n">
        <v>8</v>
      </c>
      <c r="K181" s="9" t="n">
        <v>120</v>
      </c>
      <c r="L181" s="9" t="n">
        <v>300</v>
      </c>
      <c r="M181" s="9" t="n">
        <v>800</v>
      </c>
    </row>
    <row r="182" customFormat="false" ht="15" hidden="false" customHeight="false" outlineLevel="0" collapsed="false">
      <c r="A182" s="4" t="s">
        <v>262</v>
      </c>
      <c r="B182" s="9" t="n">
        <v>30</v>
      </c>
      <c r="C182" s="9" t="n">
        <v>90</v>
      </c>
      <c r="D182" s="9" t="n">
        <v>250</v>
      </c>
      <c r="E182" s="9" t="n">
        <v>8</v>
      </c>
      <c r="F182" s="9" t="n">
        <v>4</v>
      </c>
      <c r="G182" s="9" t="n">
        <v>2.5</v>
      </c>
      <c r="H182" s="9" t="n">
        <v>0.7</v>
      </c>
      <c r="I182" s="9" t="n">
        <v>3</v>
      </c>
      <c r="K182" s="9" t="n">
        <v>40</v>
      </c>
      <c r="L182" s="9" t="n">
        <v>100</v>
      </c>
      <c r="M182" s="9" t="n">
        <v>300</v>
      </c>
    </row>
    <row r="183" customFormat="false" ht="15" hidden="false" customHeight="false" outlineLevel="0" collapsed="false">
      <c r="A183" s="4" t="s">
        <v>263</v>
      </c>
      <c r="B183" s="9" t="n">
        <v>80</v>
      </c>
      <c r="C183" s="9" t="n">
        <v>150</v>
      </c>
      <c r="D183" s="9" t="n">
        <v>400</v>
      </c>
      <c r="E183" s="9" t="n">
        <v>30</v>
      </c>
      <c r="F183" s="9" t="n">
        <v>30</v>
      </c>
      <c r="G183" s="9" t="n">
        <v>3</v>
      </c>
      <c r="H183" s="9" t="n">
        <v>2.5</v>
      </c>
      <c r="I183" s="9" t="n">
        <v>6.5</v>
      </c>
      <c r="K183" s="9" t="n">
        <v>90</v>
      </c>
      <c r="L183" s="9" t="n">
        <v>210</v>
      </c>
      <c r="M183" s="9" t="n">
        <v>600</v>
      </c>
    </row>
    <row r="184" customFormat="false" ht="15" hidden="false" customHeight="false" outlineLevel="0" collapsed="false">
      <c r="A184" s="4" t="s">
        <v>264</v>
      </c>
      <c r="B184" s="9" t="n">
        <v>45</v>
      </c>
      <c r="C184" s="9" t="n">
        <v>110</v>
      </c>
      <c r="D184" s="9" t="n">
        <v>220</v>
      </c>
      <c r="E184" s="9" t="n">
        <v>20</v>
      </c>
      <c r="F184" s="9" t="n">
        <v>9</v>
      </c>
      <c r="G184" s="9" t="n">
        <v>4</v>
      </c>
      <c r="H184" s="9" t="n">
        <v>1.3</v>
      </c>
      <c r="I184" s="9" t="n">
        <v>5.5</v>
      </c>
      <c r="K184" s="9" t="n">
        <v>55</v>
      </c>
      <c r="L184" s="9" t="n">
        <v>140</v>
      </c>
      <c r="M184" s="9" t="n">
        <v>410</v>
      </c>
    </row>
    <row r="185" customFormat="false" ht="15" hidden="false" customHeight="false" outlineLevel="0" collapsed="false">
      <c r="A185" s="4" t="s">
        <v>265</v>
      </c>
      <c r="B185" s="9" t="n">
        <v>20</v>
      </c>
      <c r="C185" s="9" t="n">
        <v>55</v>
      </c>
      <c r="D185" s="9" t="n">
        <v>130</v>
      </c>
      <c r="E185" s="9" t="n">
        <v>8</v>
      </c>
      <c r="F185" s="9" t="n">
        <v>4</v>
      </c>
      <c r="G185" s="9" t="n">
        <v>4</v>
      </c>
      <c r="H185" s="9" t="n">
        <v>0.5</v>
      </c>
      <c r="I185" s="9" t="n">
        <v>1.5</v>
      </c>
      <c r="K185" s="9" t="n">
        <v>40</v>
      </c>
      <c r="L185" s="9" t="n">
        <v>100</v>
      </c>
      <c r="M185" s="9" t="n">
        <v>300</v>
      </c>
    </row>
    <row r="186" customFormat="false" ht="15" hidden="false" customHeight="false" outlineLevel="0" collapsed="false">
      <c r="A186" s="4" t="s">
        <v>266</v>
      </c>
      <c r="B186" s="9" t="n">
        <v>20</v>
      </c>
      <c r="C186" s="9" t="n">
        <v>70</v>
      </c>
      <c r="D186" s="9" t="n">
        <v>150</v>
      </c>
      <c r="E186" s="9" t="n">
        <v>10</v>
      </c>
      <c r="F186" s="9" t="n">
        <v>4</v>
      </c>
      <c r="G186" s="9" t="n">
        <v>1.5</v>
      </c>
      <c r="H186" s="9" t="n">
        <v>0.5</v>
      </c>
      <c r="J186" s="9" t="s">
        <v>82</v>
      </c>
      <c r="K186" s="9" t="n">
        <v>35</v>
      </c>
      <c r="L186" s="9" t="n">
        <v>85</v>
      </c>
      <c r="M186" s="9" t="n">
        <v>260</v>
      </c>
    </row>
    <row r="187" customFormat="false" ht="15" hidden="false" customHeight="false" outlineLevel="0" collapsed="false">
      <c r="A187" s="4" t="s">
        <v>267</v>
      </c>
      <c r="B187" s="9" t="n">
        <v>35</v>
      </c>
      <c r="C187" s="9" t="n">
        <v>90</v>
      </c>
      <c r="D187" s="9" t="n">
        <v>180</v>
      </c>
      <c r="E187" s="9" t="n">
        <v>12</v>
      </c>
      <c r="F187" s="9" t="n">
        <v>6</v>
      </c>
      <c r="G187" s="9" t="n">
        <v>3.5</v>
      </c>
      <c r="H187" s="9" t="n">
        <v>1.5</v>
      </c>
      <c r="I187" s="9" t="n">
        <v>5</v>
      </c>
      <c r="K187" s="9" t="n">
        <v>45</v>
      </c>
      <c r="L187" s="9" t="n">
        <v>105</v>
      </c>
      <c r="M187" s="9" t="n">
        <v>310</v>
      </c>
    </row>
    <row r="188" customFormat="false" ht="15" hidden="false" customHeight="false" outlineLevel="0" collapsed="false">
      <c r="A188" s="4" t="s">
        <v>268</v>
      </c>
      <c r="B188" s="9" t="n">
        <v>60</v>
      </c>
      <c r="C188" s="9" t="n">
        <v>120</v>
      </c>
      <c r="D188" s="9" t="n">
        <v>280</v>
      </c>
      <c r="E188" s="9" t="n">
        <v>22</v>
      </c>
      <c r="F188" s="9" t="n">
        <v>28</v>
      </c>
      <c r="G188" s="9" t="n">
        <v>5</v>
      </c>
      <c r="H188" s="9" t="n">
        <v>2</v>
      </c>
      <c r="I188" s="9" t="n">
        <v>6</v>
      </c>
      <c r="K188" s="9" t="n">
        <v>85</v>
      </c>
      <c r="L188" s="9" t="n">
        <v>210</v>
      </c>
      <c r="M188" s="9" t="n">
        <v>550</v>
      </c>
    </row>
    <row r="189" customFormat="false" ht="15" hidden="false" customHeight="false" outlineLevel="0" collapsed="false">
      <c r="A189" s="4" t="s">
        <v>269</v>
      </c>
      <c r="B189" s="9" t="n">
        <v>40</v>
      </c>
      <c r="C189" s="9" t="n">
        <v>90</v>
      </c>
      <c r="D189" s="9" t="n">
        <v>240</v>
      </c>
      <c r="E189" s="9" t="n">
        <v>14</v>
      </c>
      <c r="F189" s="9" t="n">
        <v>22</v>
      </c>
      <c r="G189" s="9" t="n">
        <v>3.5</v>
      </c>
      <c r="H189" s="9" t="n">
        <v>1</v>
      </c>
      <c r="I189" s="9" t="n">
        <v>5</v>
      </c>
      <c r="K189" s="9" t="n">
        <v>60</v>
      </c>
      <c r="L189" s="9" t="n">
        <v>140</v>
      </c>
      <c r="M189" s="9" t="n">
        <v>380</v>
      </c>
    </row>
    <row r="190" customFormat="false" ht="15" hidden="false" customHeight="false" outlineLevel="0" collapsed="false">
      <c r="A190" s="4" t="s">
        <v>270</v>
      </c>
      <c r="B190" s="9" t="n">
        <v>110</v>
      </c>
      <c r="C190" s="9" t="n">
        <v>190</v>
      </c>
      <c r="D190" s="9" t="n">
        <v>420</v>
      </c>
      <c r="E190" s="9" t="n">
        <v>35</v>
      </c>
      <c r="F190" s="9" t="n">
        <v>45</v>
      </c>
      <c r="G190" s="9" t="n">
        <v>5</v>
      </c>
      <c r="H190" s="9" t="n">
        <v>3</v>
      </c>
      <c r="I190" s="9" t="n">
        <v>9</v>
      </c>
      <c r="K190" s="9" t="n">
        <v>100</v>
      </c>
      <c r="L190" s="9" t="n">
        <v>240</v>
      </c>
      <c r="M190" s="9" t="n">
        <v>650</v>
      </c>
    </row>
    <row r="191" customFormat="false" ht="15" hidden="false" customHeight="false" outlineLevel="0" collapsed="false">
      <c r="A191" s="4" t="s">
        <v>271</v>
      </c>
      <c r="B191" s="9" t="n">
        <v>20</v>
      </c>
      <c r="C191" s="9" t="n">
        <v>60</v>
      </c>
      <c r="D191" s="9" t="n">
        <v>150</v>
      </c>
      <c r="E191" s="9" t="n">
        <v>8</v>
      </c>
      <c r="F191" s="9" t="n">
        <v>3</v>
      </c>
      <c r="G191" s="9" t="n">
        <v>2</v>
      </c>
      <c r="H191" s="9" t="n">
        <v>0.8</v>
      </c>
      <c r="I191" s="9" t="n">
        <v>1.5</v>
      </c>
      <c r="K191" s="9" t="n">
        <v>35</v>
      </c>
      <c r="L191" s="9" t="n">
        <v>80</v>
      </c>
      <c r="M191" s="9" t="n">
        <v>245</v>
      </c>
    </row>
    <row r="192" customFormat="false" ht="15" hidden="false" customHeight="false" outlineLevel="0" collapsed="false">
      <c r="A192" s="4" t="s">
        <v>272</v>
      </c>
      <c r="B192" s="9" t="n">
        <v>70</v>
      </c>
      <c r="C192" s="9" t="n">
        <v>130</v>
      </c>
      <c r="D192" s="9" t="n">
        <v>350</v>
      </c>
      <c r="E192" s="9" t="n">
        <v>25</v>
      </c>
      <c r="F192" s="9" t="n">
        <v>20</v>
      </c>
      <c r="G192" s="9" t="n">
        <v>2.5</v>
      </c>
      <c r="H192" s="9" t="n">
        <v>1.5</v>
      </c>
      <c r="I192" s="9" t="n">
        <v>3.5</v>
      </c>
      <c r="K192" s="9" t="n">
        <v>75</v>
      </c>
      <c r="L192" s="9" t="n">
        <v>180</v>
      </c>
      <c r="M192" s="9" t="n">
        <v>500</v>
      </c>
    </row>
    <row r="193" customFormat="false" ht="15" hidden="false" customHeight="false" outlineLevel="0" collapsed="false">
      <c r="A193" s="4" t="s">
        <v>273</v>
      </c>
      <c r="B193" s="9" t="n">
        <v>35</v>
      </c>
      <c r="C193" s="9" t="n">
        <v>95</v>
      </c>
      <c r="D193" s="9" t="n">
        <v>280</v>
      </c>
      <c r="E193" s="9" t="n">
        <v>16</v>
      </c>
      <c r="F193" s="9" t="n">
        <v>6</v>
      </c>
      <c r="G193" s="9" t="n">
        <v>2.5</v>
      </c>
      <c r="H193" s="9" t="n">
        <v>1</v>
      </c>
      <c r="I193" s="9" t="n">
        <v>3</v>
      </c>
      <c r="K193" s="9" t="n">
        <v>50</v>
      </c>
      <c r="L193" s="9" t="n">
        <v>130</v>
      </c>
      <c r="M193" s="9" t="n">
        <v>385</v>
      </c>
    </row>
    <row r="194" customFormat="false" ht="15" hidden="false" customHeight="false" outlineLevel="0" collapsed="false">
      <c r="A194" s="4" t="s">
        <v>274</v>
      </c>
      <c r="B194" s="9" t="n">
        <v>35</v>
      </c>
      <c r="C194" s="9" t="n">
        <v>90</v>
      </c>
      <c r="D194" s="9" t="n">
        <v>180</v>
      </c>
      <c r="E194" s="9" t="n">
        <v>12</v>
      </c>
      <c r="F194" s="9" t="n">
        <v>6</v>
      </c>
      <c r="G194" s="9" t="n">
        <v>2.8</v>
      </c>
      <c r="H194" s="9" t="n">
        <v>0.85</v>
      </c>
      <c r="I194" s="9" t="n">
        <v>2.7</v>
      </c>
      <c r="K194" s="9" t="n">
        <v>45</v>
      </c>
      <c r="L194" s="9" t="n">
        <v>105</v>
      </c>
      <c r="M194" s="9" t="n">
        <v>310</v>
      </c>
    </row>
    <row r="195" customFormat="false" ht="15" hidden="false" customHeight="false" outlineLevel="0" collapsed="false">
      <c r="A195" s="4" t="s">
        <v>275</v>
      </c>
      <c r="B195" s="9" t="n">
        <v>75</v>
      </c>
      <c r="C195" s="9" t="n">
        <v>150</v>
      </c>
      <c r="D195" s="9" t="n">
        <v>400</v>
      </c>
      <c r="E195" s="9" t="n">
        <v>28</v>
      </c>
      <c r="F195" s="9" t="n">
        <v>20</v>
      </c>
      <c r="G195" s="9" t="n">
        <v>3.5</v>
      </c>
      <c r="H195" s="9" t="n">
        <v>1.5</v>
      </c>
      <c r="I195" s="9" t="n">
        <v>7</v>
      </c>
      <c r="K195" s="9" t="n">
        <v>100</v>
      </c>
      <c r="L195" s="9" t="n">
        <v>250</v>
      </c>
      <c r="M195" s="9" t="n">
        <v>700</v>
      </c>
    </row>
    <row r="196" customFormat="false" ht="15" hidden="false" customHeight="false" outlineLevel="0" collapsed="false">
      <c r="A196" s="4" t="s">
        <v>276</v>
      </c>
      <c r="B196" s="9" t="n">
        <v>20</v>
      </c>
      <c r="C196" s="9" t="n">
        <v>45</v>
      </c>
      <c r="D196" s="9" t="n">
        <v>180</v>
      </c>
      <c r="E196" s="9" t="n">
        <v>8</v>
      </c>
      <c r="F196" s="9" t="n">
        <v>10</v>
      </c>
      <c r="G196" s="9" t="n">
        <v>2.5</v>
      </c>
      <c r="H196" s="9" t="n">
        <v>0.3</v>
      </c>
      <c r="I196" s="9" t="n">
        <v>2</v>
      </c>
      <c r="K196" s="9" t="n">
        <v>35</v>
      </c>
      <c r="L196" s="9" t="n">
        <v>85</v>
      </c>
      <c r="M196" s="9" t="n">
        <v>250</v>
      </c>
    </row>
    <row r="197" customFormat="false" ht="15" hidden="false" customHeight="false" outlineLevel="0" collapsed="false">
      <c r="A197" s="4" t="s">
        <v>277</v>
      </c>
      <c r="B197" s="9" t="n">
        <v>22</v>
      </c>
      <c r="C197" s="9" t="n">
        <v>55</v>
      </c>
      <c r="D197" s="9" t="n">
        <v>200</v>
      </c>
      <c r="E197" s="9" t="n">
        <v>10</v>
      </c>
      <c r="F197" s="9" t="n">
        <v>12</v>
      </c>
      <c r="G197" s="9" t="n">
        <v>2.5</v>
      </c>
      <c r="H197" s="9" t="n">
        <v>0.5</v>
      </c>
      <c r="I197" s="9" t="n">
        <v>3</v>
      </c>
      <c r="K197" s="9" t="n">
        <v>40</v>
      </c>
      <c r="L197" s="9" t="n">
        <v>100</v>
      </c>
      <c r="M197" s="9" t="n">
        <v>300</v>
      </c>
    </row>
    <row r="198" customFormat="false" ht="15" hidden="false" customHeight="false" outlineLevel="0" collapsed="false">
      <c r="A198" s="4" t="s">
        <v>278</v>
      </c>
      <c r="B198" s="9" t="n">
        <v>30</v>
      </c>
      <c r="C198" s="9" t="n">
        <v>90</v>
      </c>
      <c r="D198" s="9" t="n">
        <v>320</v>
      </c>
      <c r="E198" s="9" t="n">
        <v>15</v>
      </c>
      <c r="F198" s="9" t="n">
        <v>8</v>
      </c>
      <c r="G198" s="9" t="n">
        <v>2.5</v>
      </c>
      <c r="H198" s="9" t="n">
        <v>1</v>
      </c>
      <c r="I198" s="9" t="n">
        <v>3</v>
      </c>
      <c r="K198" s="9" t="n">
        <v>50</v>
      </c>
      <c r="L198" s="9" t="n">
        <v>125</v>
      </c>
      <c r="M198" s="9" t="n">
        <v>390</v>
      </c>
    </row>
    <row r="199" customFormat="false" ht="15" hidden="false" customHeight="false" outlineLevel="0" collapsed="false">
      <c r="A199" s="4" t="s">
        <v>279</v>
      </c>
      <c r="B199" s="9" t="n">
        <v>60</v>
      </c>
      <c r="C199" s="9" t="n">
        <v>160</v>
      </c>
      <c r="D199" s="9" t="n">
        <v>250</v>
      </c>
      <c r="E199" s="9" t="n">
        <v>20</v>
      </c>
      <c r="F199" s="9" t="n">
        <v>15</v>
      </c>
      <c r="G199" s="9" t="n">
        <v>3.5</v>
      </c>
      <c r="H199" s="9" t="n">
        <v>1.5</v>
      </c>
      <c r="I199" s="9" t="n">
        <v>5</v>
      </c>
      <c r="K199" s="9" t="n">
        <v>65</v>
      </c>
      <c r="L199" s="9" t="n">
        <v>160</v>
      </c>
      <c r="M199" s="9" t="n">
        <v>445</v>
      </c>
    </row>
    <row r="200" customFormat="false" ht="15" hidden="false" customHeight="false" outlineLevel="0" collapsed="false">
      <c r="A200" s="4" t="s">
        <v>280</v>
      </c>
      <c r="B200" s="9" t="n">
        <v>45</v>
      </c>
      <c r="C200" s="9" t="n">
        <v>120</v>
      </c>
      <c r="D200" s="9" t="n">
        <v>350</v>
      </c>
      <c r="E200" s="9" t="n">
        <v>18</v>
      </c>
      <c r="F200" s="9" t="n">
        <v>8</v>
      </c>
      <c r="G200" s="9" t="n">
        <v>4</v>
      </c>
      <c r="H200" s="9" t="n">
        <v>2</v>
      </c>
      <c r="I200" s="9" t="n">
        <v>5</v>
      </c>
      <c r="K200" s="9" t="n">
        <v>60</v>
      </c>
      <c r="L200" s="9" t="n">
        <v>150</v>
      </c>
      <c r="M200" s="9" t="n">
        <v>450</v>
      </c>
    </row>
    <row r="201" customFormat="false" ht="15" hidden="false" customHeight="false" outlineLevel="0" collapsed="false">
      <c r="A201" s="4" t="s">
        <v>281</v>
      </c>
      <c r="B201" s="9" t="n">
        <v>45</v>
      </c>
      <c r="C201" s="9" t="n">
        <v>110</v>
      </c>
      <c r="D201" s="9" t="n">
        <v>220</v>
      </c>
      <c r="E201" s="9" t="n">
        <v>18</v>
      </c>
      <c r="F201" s="9" t="n">
        <v>8</v>
      </c>
      <c r="G201" s="9" t="n">
        <v>2.5</v>
      </c>
      <c r="H201" s="9" t="n">
        <v>1</v>
      </c>
      <c r="I201" s="9" t="n">
        <v>3.5</v>
      </c>
      <c r="K201" s="9" t="n">
        <v>55</v>
      </c>
      <c r="L201" s="9" t="n">
        <v>135</v>
      </c>
      <c r="M201" s="9" t="n">
        <v>390</v>
      </c>
    </row>
    <row r="202" customFormat="false" ht="15" hidden="false" customHeight="false" outlineLevel="0" collapsed="false">
      <c r="A202" s="4" t="s">
        <v>282</v>
      </c>
      <c r="B202" s="9" t="n">
        <v>45</v>
      </c>
      <c r="C202" s="9" t="n">
        <v>110</v>
      </c>
      <c r="D202" s="9" t="n">
        <v>280</v>
      </c>
      <c r="E202" s="9" t="n">
        <v>18</v>
      </c>
      <c r="F202" s="9" t="n">
        <v>12</v>
      </c>
      <c r="G202" s="9" t="n">
        <v>3</v>
      </c>
      <c r="H202" s="9" t="n">
        <v>1.5</v>
      </c>
      <c r="I202" s="9" t="n">
        <v>3</v>
      </c>
      <c r="K202" s="9" t="n">
        <v>60</v>
      </c>
      <c r="L202" s="9" t="n">
        <v>145</v>
      </c>
      <c r="M202" s="9" t="n">
        <v>420</v>
      </c>
    </row>
    <row r="203" customFormat="false" ht="15" hidden="false" customHeight="false" outlineLevel="0" collapsed="false">
      <c r="A203" s="4" t="s">
        <v>283</v>
      </c>
      <c r="B203" s="9" t="n">
        <v>60</v>
      </c>
      <c r="C203" s="9" t="n">
        <v>120</v>
      </c>
      <c r="D203" s="9" t="n">
        <v>300</v>
      </c>
      <c r="E203" s="9" t="n">
        <v>22</v>
      </c>
      <c r="F203" s="9" t="n">
        <v>15</v>
      </c>
      <c r="G203" s="9" t="n">
        <v>1</v>
      </c>
      <c r="H203" s="9" t="n">
        <v>1</v>
      </c>
      <c r="I203" s="9" t="n">
        <v>2.5</v>
      </c>
      <c r="K203" s="9" t="n">
        <v>60</v>
      </c>
      <c r="L203" s="9" t="n">
        <v>145</v>
      </c>
      <c r="M203" s="9" t="n">
        <v>400</v>
      </c>
    </row>
    <row r="204" customFormat="false" ht="15" hidden="false" customHeight="false" outlineLevel="0" collapsed="false">
      <c r="A204" s="4" t="s">
        <v>284</v>
      </c>
      <c r="B204" s="9" t="n">
        <v>40</v>
      </c>
      <c r="C204" s="9" t="n">
        <v>90</v>
      </c>
      <c r="D204" s="9" t="n">
        <v>230</v>
      </c>
      <c r="E204" s="9" t="n">
        <v>15</v>
      </c>
      <c r="F204" s="9" t="n">
        <v>12</v>
      </c>
      <c r="G204" s="9" t="n">
        <v>3</v>
      </c>
      <c r="H204" s="9" t="n">
        <v>1</v>
      </c>
      <c r="I204" s="9" t="n">
        <v>2</v>
      </c>
      <c r="K204" s="9" t="n">
        <v>55</v>
      </c>
      <c r="L204" s="9" t="n">
        <v>130</v>
      </c>
      <c r="M204" s="9" t="n">
        <v>350</v>
      </c>
    </row>
    <row r="205" customFormat="false" ht="15" hidden="false" customHeight="false" outlineLevel="0" collapsed="false">
      <c r="A205" s="4" t="s">
        <v>285</v>
      </c>
      <c r="B205" s="9" t="n">
        <v>35</v>
      </c>
      <c r="C205" s="9" t="n">
        <v>70</v>
      </c>
      <c r="D205" s="9" t="n">
        <v>180</v>
      </c>
      <c r="E205" s="9" t="n">
        <v>10</v>
      </c>
      <c r="F205" s="9" t="n">
        <v>6</v>
      </c>
      <c r="G205" s="9" t="n">
        <v>1.5</v>
      </c>
      <c r="H205" s="9" t="n">
        <v>1</v>
      </c>
      <c r="I205" s="9" t="n">
        <v>2.5</v>
      </c>
      <c r="K205" s="9" t="n">
        <v>40</v>
      </c>
      <c r="L205" s="9" t="n">
        <v>100</v>
      </c>
      <c r="M205" s="9" t="n">
        <v>295</v>
      </c>
    </row>
    <row r="206" customFormat="false" ht="15" hidden="false" customHeight="false" outlineLevel="0" collapsed="false">
      <c r="A206" s="4" t="s">
        <v>286</v>
      </c>
      <c r="B206" s="9" t="n">
        <v>60</v>
      </c>
      <c r="C206" s="9" t="n">
        <v>150</v>
      </c>
      <c r="D206" s="9" t="n">
        <v>350</v>
      </c>
      <c r="E206" s="9" t="n">
        <v>25</v>
      </c>
      <c r="F206" s="9" t="n">
        <v>20</v>
      </c>
      <c r="G206" s="9" t="n">
        <v>2.5</v>
      </c>
      <c r="H206" s="9" t="n">
        <v>1.5</v>
      </c>
      <c r="I206" s="9" t="n">
        <v>3</v>
      </c>
      <c r="K206" s="9" t="n">
        <v>70</v>
      </c>
      <c r="L206" s="9" t="n">
        <v>180</v>
      </c>
      <c r="M206" s="9" t="n">
        <v>550</v>
      </c>
    </row>
    <row r="207" customFormat="false" ht="15" hidden="false" customHeight="false" outlineLevel="0" collapsed="false">
      <c r="A207" s="4" t="s">
        <v>287</v>
      </c>
      <c r="B207" s="9" t="n">
        <v>35</v>
      </c>
      <c r="C207" s="9" t="n">
        <v>70</v>
      </c>
      <c r="D207" s="9" t="n">
        <v>150</v>
      </c>
      <c r="E207" s="9" t="n">
        <v>18</v>
      </c>
      <c r="F207" s="9" t="n">
        <v>8</v>
      </c>
      <c r="G207" s="9" t="n">
        <v>3</v>
      </c>
      <c r="H207" s="9" t="n">
        <v>1.5</v>
      </c>
      <c r="I207" s="9" t="n">
        <v>3</v>
      </c>
      <c r="K207" s="9" t="n">
        <v>50</v>
      </c>
      <c r="L207" s="9" t="n">
        <v>120</v>
      </c>
      <c r="M207" s="9" t="n">
        <v>345</v>
      </c>
    </row>
    <row r="208" customFormat="false" ht="15" hidden="false" customHeight="false" outlineLevel="0" collapsed="false">
      <c r="A208" s="4" t="s">
        <v>288</v>
      </c>
      <c r="B208" s="9" t="n">
        <v>20</v>
      </c>
      <c r="C208" s="9" t="n">
        <v>55</v>
      </c>
      <c r="D208" s="9" t="n">
        <v>150</v>
      </c>
      <c r="E208" s="9" t="n">
        <v>8</v>
      </c>
      <c r="F208" s="9" t="n">
        <v>3</v>
      </c>
      <c r="G208" s="9" t="n">
        <v>4</v>
      </c>
      <c r="H208" s="9" t="n">
        <v>0.5</v>
      </c>
      <c r="I208" s="9" t="n">
        <v>1.5</v>
      </c>
      <c r="K208" s="9" t="n">
        <v>30</v>
      </c>
      <c r="L208" s="9" t="n">
        <v>75</v>
      </c>
      <c r="M208" s="9" t="n">
        <v>220</v>
      </c>
    </row>
    <row r="209" customFormat="false" ht="15" hidden="false" customHeight="false" outlineLevel="0" collapsed="false">
      <c r="A209" s="4" t="s">
        <v>289</v>
      </c>
      <c r="B209" s="9" t="n">
        <v>20</v>
      </c>
      <c r="C209" s="9" t="n">
        <v>75</v>
      </c>
      <c r="D209" s="9" t="n">
        <v>280</v>
      </c>
      <c r="E209" s="9" t="n">
        <v>12</v>
      </c>
      <c r="F209" s="9" t="n">
        <v>4</v>
      </c>
      <c r="G209" s="9" t="n">
        <v>2.5</v>
      </c>
      <c r="H209" s="9" t="n">
        <v>1</v>
      </c>
      <c r="I209" s="9" t="n">
        <v>3.5</v>
      </c>
      <c r="K209" s="9" t="n">
        <v>40</v>
      </c>
      <c r="L209" s="9" t="n">
        <v>105</v>
      </c>
      <c r="M209" s="9" t="n">
        <v>335</v>
      </c>
    </row>
    <row r="210" customFormat="false" ht="15" hidden="false" customHeight="false" outlineLevel="0" collapsed="false">
      <c r="A210" s="4" t="s">
        <v>290</v>
      </c>
      <c r="B210" s="9" t="n">
        <v>90</v>
      </c>
      <c r="C210" s="9" t="n">
        <v>190</v>
      </c>
      <c r="D210" s="9" t="n">
        <v>480</v>
      </c>
      <c r="E210" s="9" t="n">
        <v>32</v>
      </c>
      <c r="F210" s="9" t="n">
        <v>20</v>
      </c>
      <c r="G210" s="9" t="n">
        <v>6</v>
      </c>
      <c r="H210" s="9" t="n">
        <v>3.5</v>
      </c>
      <c r="I210" s="9" t="n">
        <v>11</v>
      </c>
      <c r="K210" s="9" t="n">
        <v>95</v>
      </c>
      <c r="L210" s="9" t="n">
        <v>240</v>
      </c>
      <c r="M210" s="9" t="n">
        <v>690</v>
      </c>
    </row>
    <row r="211" customFormat="false" ht="15" hidden="false" customHeight="false" outlineLevel="0" collapsed="false">
      <c r="A211" s="4" t="s">
        <v>291</v>
      </c>
      <c r="B211" s="9" t="n">
        <v>55</v>
      </c>
      <c r="C211" s="9" t="n">
        <v>110</v>
      </c>
      <c r="D211" s="9" t="n">
        <v>280</v>
      </c>
      <c r="E211" s="9" t="n">
        <v>25</v>
      </c>
      <c r="F211" s="9" t="n">
        <v>20</v>
      </c>
      <c r="G211" s="9" t="n">
        <v>3.5</v>
      </c>
      <c r="H211" s="9" t="n">
        <v>0.6</v>
      </c>
      <c r="I211" s="9" t="n">
        <v>4</v>
      </c>
      <c r="K211" s="9" t="n">
        <v>60</v>
      </c>
      <c r="L211" s="9" t="n">
        <v>140</v>
      </c>
      <c r="M211" s="9" t="n">
        <v>400</v>
      </c>
    </row>
    <row r="212" customFormat="false" ht="15" hidden="false" customHeight="false" outlineLevel="0" collapsed="false">
      <c r="A212" s="4" t="s">
        <v>292</v>
      </c>
      <c r="B212" s="9" t="n">
        <v>30</v>
      </c>
      <c r="C212" s="9" t="n">
        <v>90</v>
      </c>
      <c r="D212" s="9" t="n">
        <v>220</v>
      </c>
      <c r="E212" s="9" t="n">
        <v>15</v>
      </c>
      <c r="F212" s="9" t="n">
        <v>8</v>
      </c>
      <c r="G212" s="9" t="n">
        <v>3.3</v>
      </c>
      <c r="H212" s="9" t="n">
        <v>1.6</v>
      </c>
      <c r="I212" s="9" t="n">
        <v>4.5</v>
      </c>
      <c r="K212" s="9" t="n">
        <v>45</v>
      </c>
      <c r="L212" s="9" t="n">
        <v>115</v>
      </c>
      <c r="M212" s="9" t="n">
        <v>345</v>
      </c>
    </row>
    <row r="213" customFormat="false" ht="15" hidden="false" customHeight="false" outlineLevel="0" collapsed="false">
      <c r="A213" s="4" t="s">
        <v>293</v>
      </c>
      <c r="B213" s="9" t="n">
        <v>35</v>
      </c>
      <c r="C213" s="9" t="n">
        <v>80</v>
      </c>
      <c r="D213" s="9" t="n">
        <v>220</v>
      </c>
      <c r="E213" s="9" t="n">
        <v>15</v>
      </c>
      <c r="F213" s="9" t="n">
        <v>10</v>
      </c>
      <c r="G213" s="9" t="n">
        <v>2</v>
      </c>
      <c r="H213" s="9" t="n">
        <v>0.8</v>
      </c>
      <c r="I213" s="9" t="n">
        <v>2.5</v>
      </c>
      <c r="K213" s="9" t="n">
        <v>45</v>
      </c>
      <c r="L213" s="9" t="n">
        <v>110</v>
      </c>
      <c r="M213" s="9" t="n">
        <v>320</v>
      </c>
    </row>
    <row r="214" customFormat="false" ht="15" hidden="false" customHeight="false" outlineLevel="0" collapsed="false">
      <c r="A214" s="4" t="s">
        <v>294</v>
      </c>
      <c r="B214" s="9" t="n">
        <v>50</v>
      </c>
      <c r="C214" s="9" t="n">
        <v>110</v>
      </c>
      <c r="D214" s="9" t="n">
        <v>250</v>
      </c>
      <c r="E214" s="9" t="n">
        <v>20</v>
      </c>
      <c r="F214" s="9" t="n">
        <v>12</v>
      </c>
      <c r="G214" s="9" t="n">
        <v>2.5</v>
      </c>
      <c r="H214" s="9" t="n">
        <v>0.3</v>
      </c>
      <c r="J214" s="9" t="s">
        <v>186</v>
      </c>
      <c r="K214" s="9" t="n">
        <v>70</v>
      </c>
      <c r="L214" s="9" t="n">
        <v>180</v>
      </c>
      <c r="M214" s="9" t="n">
        <v>550</v>
      </c>
    </row>
    <row r="215" customFormat="false" ht="15" hidden="false" customHeight="false" outlineLevel="0" collapsed="false">
      <c r="A215" s="4" t="s">
        <v>295</v>
      </c>
      <c r="B215" s="9" t="n">
        <v>60</v>
      </c>
      <c r="C215" s="9" t="n">
        <v>120</v>
      </c>
      <c r="D215" s="9" t="n">
        <v>330</v>
      </c>
      <c r="E215" s="9" t="n">
        <v>25</v>
      </c>
      <c r="F215" s="9" t="n">
        <v>18</v>
      </c>
      <c r="G215" s="9" t="n">
        <v>1.5</v>
      </c>
      <c r="H215" s="9" t="n">
        <v>1</v>
      </c>
      <c r="I215" s="9" t="n">
        <v>6</v>
      </c>
      <c r="K215" s="9" t="n">
        <v>80</v>
      </c>
      <c r="L215" s="9" t="n">
        <v>190</v>
      </c>
      <c r="M215" s="9" t="n">
        <v>520</v>
      </c>
    </row>
    <row r="216" customFormat="false" ht="15" hidden="false" customHeight="false" outlineLevel="0" collapsed="false">
      <c r="A216" s="4" t="s">
        <v>296</v>
      </c>
      <c r="B216" s="9" t="n">
        <v>45</v>
      </c>
      <c r="C216" s="9" t="n">
        <v>110</v>
      </c>
      <c r="D216" s="9" t="n">
        <v>260</v>
      </c>
      <c r="E216" s="9" t="n">
        <v>20</v>
      </c>
      <c r="F216" s="9" t="n">
        <v>10</v>
      </c>
      <c r="G216" s="9" t="n">
        <v>3.5</v>
      </c>
      <c r="H216" s="9" t="n">
        <v>1.5</v>
      </c>
      <c r="I216" s="9" t="n">
        <v>4.5</v>
      </c>
      <c r="K216" s="9" t="n">
        <v>60</v>
      </c>
      <c r="L216" s="9" t="n">
        <v>145</v>
      </c>
      <c r="M216" s="9" t="n">
        <v>425</v>
      </c>
    </row>
    <row r="217" customFormat="false" ht="15" hidden="false" customHeight="false" outlineLevel="0" collapsed="false">
      <c r="A217" s="4" t="s">
        <v>297</v>
      </c>
      <c r="B217" s="9" t="n">
        <v>22</v>
      </c>
      <c r="C217" s="9" t="n">
        <v>55</v>
      </c>
      <c r="D217" s="9" t="n">
        <v>130</v>
      </c>
      <c r="E217" s="9" t="n">
        <v>12</v>
      </c>
      <c r="F217" s="9" t="n">
        <v>4</v>
      </c>
      <c r="G217" s="9" t="n">
        <v>2.5</v>
      </c>
      <c r="H217" s="9" t="n">
        <v>0.6</v>
      </c>
      <c r="I217" s="9" t="n">
        <v>2</v>
      </c>
      <c r="K217" s="9" t="n">
        <v>40</v>
      </c>
      <c r="L217" s="9" t="n">
        <v>95</v>
      </c>
      <c r="M217" s="9" t="n">
        <v>300</v>
      </c>
    </row>
    <row r="218" customFormat="false" ht="15" hidden="false" customHeight="false" outlineLevel="0" collapsed="false">
      <c r="A218" s="4" t="s">
        <v>298</v>
      </c>
      <c r="B218" s="9" t="n">
        <v>130</v>
      </c>
      <c r="C218" s="9" t="n">
        <v>230</v>
      </c>
      <c r="D218" s="9" t="n">
        <v>500</v>
      </c>
      <c r="E218" s="9" t="n">
        <v>30</v>
      </c>
      <c r="F218" s="9" t="n">
        <v>30</v>
      </c>
      <c r="G218" s="9" t="n">
        <v>4.5</v>
      </c>
      <c r="H218" s="9" t="n">
        <v>2</v>
      </c>
      <c r="I218" s="9" t="n">
        <v>7</v>
      </c>
      <c r="K218" s="9" t="n">
        <v>120</v>
      </c>
      <c r="L218" s="9" t="n">
        <v>300</v>
      </c>
      <c r="M218" s="9" t="n">
        <v>800</v>
      </c>
    </row>
    <row r="219" customFormat="false" ht="15" hidden="false" customHeight="false" outlineLevel="0" collapsed="false">
      <c r="A219" s="4" t="s">
        <v>299</v>
      </c>
      <c r="B219" s="9" t="n">
        <v>25</v>
      </c>
      <c r="C219" s="9" t="n">
        <v>75</v>
      </c>
      <c r="D219" s="9" t="n">
        <v>180</v>
      </c>
      <c r="E219" s="9" t="n">
        <v>12</v>
      </c>
      <c r="F219" s="9" t="n">
        <v>6</v>
      </c>
      <c r="G219" s="9" t="n">
        <v>2.5</v>
      </c>
      <c r="H219" s="9" t="n">
        <v>1.5</v>
      </c>
      <c r="I219" s="9" t="n">
        <v>3.5</v>
      </c>
      <c r="K219" s="9" t="n">
        <v>40</v>
      </c>
      <c r="L219" s="9" t="n">
        <v>100</v>
      </c>
      <c r="M219" s="9" t="n">
        <v>295</v>
      </c>
    </row>
    <row r="220" customFormat="false" ht="15" hidden="false" customHeight="false" outlineLevel="0" collapsed="false">
      <c r="A220" s="4" t="s">
        <v>300</v>
      </c>
      <c r="B220" s="9" t="n">
        <v>70</v>
      </c>
      <c r="C220" s="9" t="n">
        <v>130</v>
      </c>
      <c r="D220" s="9" t="n">
        <v>250</v>
      </c>
      <c r="E220" s="9" t="n">
        <v>25</v>
      </c>
      <c r="F220" s="9" t="n">
        <v>15</v>
      </c>
      <c r="G220" s="9" t="n">
        <v>1.5</v>
      </c>
      <c r="H220" s="9" t="n">
        <v>1.5</v>
      </c>
      <c r="I220" s="9" t="n">
        <v>5</v>
      </c>
      <c r="K220" s="9" t="n">
        <v>75</v>
      </c>
      <c r="L220" s="9" t="n">
        <v>180</v>
      </c>
      <c r="M220" s="9" t="n">
        <v>500</v>
      </c>
    </row>
    <row r="221" customFormat="false" ht="15" hidden="false" customHeight="false" outlineLevel="0" collapsed="false">
      <c r="A221" s="4" t="s">
        <v>301</v>
      </c>
      <c r="B221" s="9" t="n">
        <v>25</v>
      </c>
      <c r="C221" s="9" t="n">
        <v>70</v>
      </c>
      <c r="D221" s="9" t="n">
        <v>180</v>
      </c>
      <c r="E221" s="9" t="n">
        <v>10</v>
      </c>
      <c r="F221" s="9" t="n">
        <v>6</v>
      </c>
      <c r="G221" s="9" t="n">
        <v>2.5</v>
      </c>
      <c r="H221" s="9" t="n">
        <v>1</v>
      </c>
      <c r="I221" s="9" t="n">
        <v>2.75</v>
      </c>
      <c r="K221" s="9" t="n">
        <v>40</v>
      </c>
      <c r="L221" s="9" t="n">
        <v>95</v>
      </c>
      <c r="M221" s="9" t="n">
        <v>280</v>
      </c>
    </row>
    <row r="222" customFormat="false" ht="15" hidden="false" customHeight="false" outlineLevel="0" collapsed="false">
      <c r="A222" s="4" t="s">
        <v>302</v>
      </c>
      <c r="B222" s="9" t="n">
        <v>15</v>
      </c>
      <c r="C222" s="9" t="n">
        <v>45</v>
      </c>
      <c r="D222" s="9" t="n">
        <v>130</v>
      </c>
      <c r="E222" s="9" t="n">
        <v>5</v>
      </c>
      <c r="F222" s="9" t="n">
        <v>3</v>
      </c>
      <c r="G222" s="9" t="n">
        <v>2</v>
      </c>
      <c r="H222" s="9" t="n">
        <v>0.5</v>
      </c>
      <c r="J222" s="9" t="s">
        <v>82</v>
      </c>
      <c r="K222" s="9" t="n">
        <v>30</v>
      </c>
      <c r="L222" s="9" t="n">
        <v>65</v>
      </c>
      <c r="M222" s="9" t="n">
        <v>205</v>
      </c>
    </row>
    <row r="223" customFormat="false" ht="15" hidden="false" customHeight="false" outlineLevel="0" collapsed="false">
      <c r="A223" s="4" t="s">
        <v>303</v>
      </c>
      <c r="B223" s="9" t="n">
        <v>40</v>
      </c>
      <c r="C223" s="9" t="n">
        <v>90</v>
      </c>
      <c r="D223" s="9" t="n">
        <v>190</v>
      </c>
      <c r="E223" s="9" t="n">
        <v>18</v>
      </c>
      <c r="F223" s="9" t="n">
        <v>12</v>
      </c>
      <c r="G223" s="9" t="n">
        <v>2.5</v>
      </c>
      <c r="H223" s="9" t="n">
        <v>1</v>
      </c>
      <c r="I223" s="9" t="n">
        <v>3</v>
      </c>
      <c r="K223" s="9" t="n">
        <v>55</v>
      </c>
      <c r="L223" s="9" t="n">
        <v>130</v>
      </c>
      <c r="M223" s="9" t="n">
        <v>370</v>
      </c>
    </row>
    <row r="224" customFormat="false" ht="15" hidden="false" customHeight="false" outlineLevel="0" collapsed="false">
      <c r="A224" s="4" t="s">
        <v>304</v>
      </c>
      <c r="B224" s="9" t="n">
        <v>40</v>
      </c>
      <c r="C224" s="9" t="n">
        <v>85</v>
      </c>
      <c r="D224" s="9" t="n">
        <v>240</v>
      </c>
      <c r="E224" s="9" t="n">
        <v>15</v>
      </c>
      <c r="F224" s="9" t="n">
        <v>18</v>
      </c>
      <c r="G224" s="9" t="n">
        <v>4</v>
      </c>
      <c r="H224" s="9" t="n">
        <v>1.5</v>
      </c>
      <c r="I224" s="9" t="n">
        <v>5</v>
      </c>
      <c r="K224" s="9" t="n">
        <v>60</v>
      </c>
      <c r="L224" s="9" t="n">
        <v>140</v>
      </c>
      <c r="M224" s="9" t="n">
        <v>380</v>
      </c>
    </row>
    <row r="225" customFormat="false" ht="15" hidden="false" customHeight="false" outlineLevel="0" collapsed="false">
      <c r="A225" s="4" t="s">
        <v>305</v>
      </c>
      <c r="B225" s="9" t="n">
        <v>25</v>
      </c>
      <c r="C225" s="9" t="n">
        <v>75</v>
      </c>
      <c r="D225" s="9" t="n">
        <v>180</v>
      </c>
      <c r="E225" s="9" t="n">
        <v>10</v>
      </c>
      <c r="F225" s="9" t="n">
        <v>6</v>
      </c>
      <c r="G225" s="9" t="n">
        <v>1.7</v>
      </c>
      <c r="H225" s="9" t="n">
        <v>1.1</v>
      </c>
      <c r="I225" s="9" t="n">
        <v>2.5</v>
      </c>
      <c r="K225" s="9" t="n">
        <v>40</v>
      </c>
      <c r="L225" s="9" t="n">
        <v>95</v>
      </c>
      <c r="M225" s="9" t="n">
        <v>280</v>
      </c>
    </row>
    <row r="226" customFormat="false" ht="15" hidden="false" customHeight="false" outlineLevel="0" collapsed="false">
      <c r="A226" s="4" t="s">
        <v>306</v>
      </c>
      <c r="B226" s="9" t="n">
        <v>40</v>
      </c>
      <c r="C226" s="9" t="n">
        <v>90</v>
      </c>
      <c r="D226" s="9" t="n">
        <v>250</v>
      </c>
      <c r="E226" s="9" t="n">
        <v>12</v>
      </c>
      <c r="F226" s="9" t="n">
        <v>10</v>
      </c>
      <c r="G226" s="9" t="n">
        <v>4</v>
      </c>
      <c r="H226" s="9" t="n">
        <v>1</v>
      </c>
      <c r="I226" s="9" t="n">
        <v>4.5</v>
      </c>
      <c r="K226" s="9" t="n">
        <v>65</v>
      </c>
      <c r="L226" s="9" t="n">
        <v>150</v>
      </c>
      <c r="M226" s="9" t="n">
        <v>400</v>
      </c>
    </row>
    <row r="227" customFormat="false" ht="15" hidden="false" customHeight="false" outlineLevel="0" collapsed="false">
      <c r="A227" s="4" t="s">
        <v>307</v>
      </c>
      <c r="B227" s="9" t="n">
        <v>55</v>
      </c>
      <c r="C227" s="9" t="n">
        <v>110</v>
      </c>
      <c r="D227" s="9" t="n">
        <v>280</v>
      </c>
      <c r="E227" s="9" t="n">
        <v>20</v>
      </c>
      <c r="F227" s="9" t="n">
        <v>18</v>
      </c>
      <c r="G227" s="9" t="n">
        <v>2</v>
      </c>
      <c r="H227" s="9" t="n">
        <v>1.5</v>
      </c>
      <c r="I227" s="9" t="n">
        <v>2.5</v>
      </c>
      <c r="K227" s="9" t="n">
        <v>65</v>
      </c>
      <c r="L227" s="9" t="n">
        <v>150</v>
      </c>
      <c r="M227" s="9" t="n">
        <v>420</v>
      </c>
    </row>
    <row r="228" customFormat="false" ht="15" hidden="false" customHeight="false" outlineLevel="0" collapsed="false">
      <c r="A228" s="4" t="s">
        <v>308</v>
      </c>
      <c r="B228" s="9" t="n">
        <v>40</v>
      </c>
      <c r="C228" s="9" t="n">
        <v>90</v>
      </c>
      <c r="D228" s="9" t="n">
        <v>300</v>
      </c>
      <c r="E228" s="9" t="n">
        <v>15</v>
      </c>
      <c r="F228" s="9" t="n">
        <v>12</v>
      </c>
      <c r="G228" s="9" t="n">
        <v>4</v>
      </c>
      <c r="H228" s="9" t="n">
        <v>0.5</v>
      </c>
      <c r="I228" s="9" t="n">
        <v>3</v>
      </c>
      <c r="K228" s="9" t="n">
        <v>60</v>
      </c>
      <c r="L228" s="9" t="n">
        <v>150</v>
      </c>
      <c r="M228" s="9" t="n">
        <v>420</v>
      </c>
    </row>
    <row r="229" customFormat="false" ht="15" hidden="false" customHeight="false" outlineLevel="0" collapsed="false">
      <c r="A229" s="4" t="s">
        <v>309</v>
      </c>
      <c r="B229" s="9" t="n">
        <v>20</v>
      </c>
      <c r="C229" s="9" t="n">
        <v>45</v>
      </c>
      <c r="D229" s="9" t="n">
        <v>110</v>
      </c>
      <c r="E229" s="9" t="n">
        <v>6</v>
      </c>
      <c r="F229" s="9" t="n">
        <v>3</v>
      </c>
      <c r="G229" s="9" t="n">
        <v>3</v>
      </c>
      <c r="H229" s="9" t="n">
        <v>0.4</v>
      </c>
      <c r="I229" s="9" t="n">
        <v>1.8</v>
      </c>
      <c r="K229" s="9" t="n">
        <v>30</v>
      </c>
      <c r="L229" s="9" t="n">
        <v>70</v>
      </c>
      <c r="M229" s="9" t="n">
        <v>200</v>
      </c>
    </row>
    <row r="230" customFormat="false" ht="15" hidden="false" customHeight="false" outlineLevel="0" collapsed="false">
      <c r="A230" s="4" t="s">
        <v>310</v>
      </c>
      <c r="B230" s="9" t="n">
        <v>45</v>
      </c>
      <c r="C230" s="9" t="n">
        <v>90</v>
      </c>
      <c r="D230" s="9" t="n">
        <v>250</v>
      </c>
      <c r="E230" s="9" t="n">
        <v>18</v>
      </c>
      <c r="F230" s="9" t="n">
        <v>12</v>
      </c>
      <c r="G230" s="9" t="n">
        <v>3</v>
      </c>
      <c r="H230" s="9" t="n">
        <v>0.5</v>
      </c>
      <c r="J230" s="9" t="s">
        <v>186</v>
      </c>
      <c r="K230" s="9" t="n">
        <v>60</v>
      </c>
      <c r="L230" s="9" t="n">
        <v>160</v>
      </c>
      <c r="M230" s="9" t="n">
        <v>500</v>
      </c>
    </row>
    <row r="231" customFormat="false" ht="15" hidden="false" customHeight="false" outlineLevel="0" collapsed="false">
      <c r="A231" s="4" t="s">
        <v>311</v>
      </c>
      <c r="B231" s="9" t="n">
        <v>22</v>
      </c>
      <c r="C231" s="9" t="n">
        <v>55</v>
      </c>
      <c r="D231" s="9" t="n">
        <v>140</v>
      </c>
      <c r="E231" s="9" t="n">
        <v>6</v>
      </c>
      <c r="F231" s="9" t="n">
        <v>3</v>
      </c>
      <c r="G231" s="9" t="n">
        <v>3.5</v>
      </c>
      <c r="H231" s="9" t="n">
        <v>0.4</v>
      </c>
      <c r="I231" s="9" t="n">
        <v>1.2</v>
      </c>
      <c r="K231" s="9" t="n">
        <v>30</v>
      </c>
      <c r="L231" s="9" t="n">
        <v>75</v>
      </c>
      <c r="M231" s="9" t="n">
        <v>220</v>
      </c>
    </row>
    <row r="232" customFormat="false" ht="15" hidden="false" customHeight="false" outlineLevel="0" collapsed="false">
      <c r="A232" s="4" t="s">
        <v>312</v>
      </c>
      <c r="B232" s="9" t="n">
        <v>30</v>
      </c>
      <c r="C232" s="9" t="n">
        <v>75</v>
      </c>
      <c r="D232" s="9" t="n">
        <v>220</v>
      </c>
      <c r="E232" s="9" t="n">
        <v>12</v>
      </c>
      <c r="F232" s="9" t="n">
        <v>8</v>
      </c>
      <c r="G232" s="9" t="n">
        <v>4.5</v>
      </c>
      <c r="H232" s="9" t="n">
        <v>0.6</v>
      </c>
      <c r="I232" s="9" t="n">
        <v>3.5</v>
      </c>
      <c r="K232" s="9" t="n">
        <v>55</v>
      </c>
      <c r="L232" s="9" t="n">
        <v>135</v>
      </c>
      <c r="M232" s="9" t="n">
        <v>380</v>
      </c>
    </row>
    <row r="233" customFormat="false" ht="15" hidden="false" customHeight="false" outlineLevel="0" collapsed="false">
      <c r="A233" s="4" t="s">
        <v>313</v>
      </c>
      <c r="B233" s="9" t="n">
        <v>15</v>
      </c>
      <c r="C233" s="9" t="n">
        <v>45</v>
      </c>
      <c r="D233" s="9" t="n">
        <v>300</v>
      </c>
      <c r="E233" s="9" t="n">
        <v>6</v>
      </c>
      <c r="F233" s="9" t="n">
        <v>4</v>
      </c>
      <c r="G233" s="9" t="n">
        <v>2.5</v>
      </c>
      <c r="H233" s="9" t="n">
        <v>0.5</v>
      </c>
      <c r="I233" s="9" t="n">
        <v>1.5</v>
      </c>
      <c r="K233" s="9" t="n">
        <v>35</v>
      </c>
      <c r="L233" s="9" t="n">
        <v>90</v>
      </c>
      <c r="M233" s="9" t="n">
        <v>285</v>
      </c>
    </row>
    <row r="234" customFormat="false" ht="15" hidden="false" customHeight="false" outlineLevel="0" collapsed="false">
      <c r="A234" s="4" t="s">
        <v>314</v>
      </c>
      <c r="B234" s="9" t="n">
        <v>65</v>
      </c>
      <c r="C234" s="9" t="n">
        <v>140</v>
      </c>
      <c r="D234" s="9" t="n">
        <v>330</v>
      </c>
      <c r="E234" s="9" t="n">
        <v>22</v>
      </c>
      <c r="F234" s="9" t="n">
        <v>10</v>
      </c>
      <c r="G234" s="9" t="n">
        <v>4.5</v>
      </c>
      <c r="H234" s="9" t="n">
        <v>1.2</v>
      </c>
      <c r="I234" s="9" t="n">
        <v>9</v>
      </c>
      <c r="K234" s="9" t="n">
        <v>70</v>
      </c>
      <c r="L234" s="9" t="n">
        <v>180</v>
      </c>
      <c r="M234" s="9" t="n">
        <v>500</v>
      </c>
    </row>
    <row r="235" customFormat="false" ht="15" hidden="false" customHeight="false" outlineLevel="0" collapsed="false">
      <c r="A235" s="4" t="s">
        <v>315</v>
      </c>
      <c r="B235" s="9" t="n">
        <v>25</v>
      </c>
      <c r="C235" s="9" t="n">
        <v>60</v>
      </c>
      <c r="D235" s="9" t="n">
        <v>150</v>
      </c>
      <c r="E235" s="9" t="n">
        <v>12</v>
      </c>
      <c r="F235" s="9" t="n">
        <v>4</v>
      </c>
      <c r="G235" s="9" t="n">
        <v>2</v>
      </c>
      <c r="H235" s="9" t="n">
        <v>1</v>
      </c>
      <c r="I235" s="9" t="n">
        <v>3</v>
      </c>
      <c r="K235" s="9" t="n">
        <v>40</v>
      </c>
      <c r="L235" s="9" t="n">
        <v>95</v>
      </c>
      <c r="M235" s="9" t="n">
        <v>280</v>
      </c>
    </row>
    <row r="236" customFormat="false" ht="15" hidden="false" customHeight="false" outlineLevel="0" collapsed="false">
      <c r="A236" s="4" t="s">
        <v>316</v>
      </c>
      <c r="B236" s="9" t="n">
        <v>30</v>
      </c>
      <c r="C236" s="9" t="n">
        <v>75</v>
      </c>
      <c r="D236" s="9" t="n">
        <v>150</v>
      </c>
      <c r="E236" s="9" t="n">
        <v>12</v>
      </c>
      <c r="F236" s="9" t="n">
        <v>6</v>
      </c>
      <c r="G236" s="9" t="n">
        <v>2.5</v>
      </c>
      <c r="H236" s="9" t="n">
        <v>1</v>
      </c>
      <c r="I236" s="9" t="n">
        <v>2.5</v>
      </c>
      <c r="K236" s="9" t="n">
        <v>40</v>
      </c>
      <c r="L236" s="9" t="n">
        <v>100</v>
      </c>
      <c r="M236" s="9" t="n">
        <v>290</v>
      </c>
    </row>
    <row r="237" customFormat="false" ht="15" hidden="false" customHeight="false" outlineLevel="0" collapsed="false">
      <c r="A237" s="4" t="s">
        <v>317</v>
      </c>
      <c r="B237" s="9" t="n">
        <v>90</v>
      </c>
      <c r="C237" s="9" t="n">
        <v>180</v>
      </c>
      <c r="D237" s="9" t="n">
        <v>450</v>
      </c>
      <c r="E237" s="9" t="n">
        <v>30</v>
      </c>
      <c r="F237" s="9" t="n">
        <v>15</v>
      </c>
      <c r="G237" s="9" t="n">
        <v>3.4</v>
      </c>
      <c r="H237" s="9" t="n">
        <v>1.4</v>
      </c>
      <c r="I237" s="9" t="n">
        <v>4</v>
      </c>
      <c r="K237" s="9" t="n">
        <v>90</v>
      </c>
      <c r="L237" s="9" t="n">
        <v>230</v>
      </c>
      <c r="M237" s="9" t="n">
        <v>655</v>
      </c>
    </row>
    <row r="238" customFormat="false" ht="15" hidden="false" customHeight="false" outlineLevel="0" collapsed="false">
      <c r="A238" s="4" t="s">
        <v>318</v>
      </c>
      <c r="B238" s="9" t="n">
        <v>75</v>
      </c>
      <c r="C238" s="9" t="n">
        <v>180</v>
      </c>
      <c r="D238" s="9" t="n">
        <v>450</v>
      </c>
      <c r="E238" s="9" t="n">
        <v>28</v>
      </c>
      <c r="F238" s="9" t="n">
        <v>15</v>
      </c>
      <c r="G238" s="9" t="n">
        <v>3</v>
      </c>
      <c r="H238" s="9" t="n">
        <v>1.5</v>
      </c>
      <c r="I238" s="9" t="n">
        <v>5</v>
      </c>
      <c r="K238" s="9" t="n">
        <v>85</v>
      </c>
      <c r="L238" s="9" t="n">
        <v>210</v>
      </c>
      <c r="M238" s="9" t="n">
        <v>620</v>
      </c>
    </row>
    <row r="239" customFormat="false" ht="15" hidden="false" customHeight="false" outlineLevel="0" collapsed="false">
      <c r="A239" s="4" t="s">
        <v>319</v>
      </c>
      <c r="B239" s="9" t="n">
        <v>90</v>
      </c>
      <c r="C239" s="9" t="n">
        <v>160</v>
      </c>
      <c r="D239" s="9" t="n">
        <v>380</v>
      </c>
      <c r="E239" s="9" t="n">
        <v>28</v>
      </c>
      <c r="F239" s="9" t="n">
        <v>40</v>
      </c>
      <c r="G239" s="9" t="n">
        <v>4.5</v>
      </c>
      <c r="H239" s="9" t="n">
        <v>2.5</v>
      </c>
      <c r="I239" s="9" t="n">
        <v>7</v>
      </c>
      <c r="K239" s="9" t="n">
        <v>95</v>
      </c>
      <c r="L239" s="9" t="n">
        <v>230</v>
      </c>
      <c r="M239" s="9" t="n">
        <v>620</v>
      </c>
    </row>
    <row r="240" customFormat="false" ht="15" hidden="false" customHeight="false" outlineLevel="0" collapsed="false">
      <c r="A240" s="4" t="s">
        <v>320</v>
      </c>
      <c r="B240" s="9" t="n">
        <v>22</v>
      </c>
      <c r="C240" s="9" t="n">
        <v>70</v>
      </c>
      <c r="D240" s="9" t="n">
        <v>150</v>
      </c>
      <c r="E240" s="9" t="n">
        <v>8</v>
      </c>
      <c r="F240" s="9" t="n">
        <v>4</v>
      </c>
      <c r="G240" s="9" t="n">
        <v>4</v>
      </c>
      <c r="H240" s="9" t="n">
        <v>0.5</v>
      </c>
      <c r="I240" s="9" t="n">
        <v>2</v>
      </c>
      <c r="K240" s="9" t="n">
        <v>40</v>
      </c>
      <c r="L240" s="9" t="n">
        <v>100</v>
      </c>
      <c r="M240" s="9" t="n">
        <v>300</v>
      </c>
    </row>
    <row r="241" customFormat="false" ht="15" hidden="false" customHeight="false" outlineLevel="0" collapsed="false">
      <c r="A241" s="4" t="s">
        <v>321</v>
      </c>
      <c r="B241" s="9" t="n">
        <v>75</v>
      </c>
      <c r="C241" s="9" t="n">
        <v>150</v>
      </c>
      <c r="D241" s="9" t="n">
        <v>350</v>
      </c>
      <c r="E241" s="9" t="n">
        <v>28</v>
      </c>
      <c r="F241" s="9" t="n">
        <v>22</v>
      </c>
      <c r="G241" s="9" t="n">
        <v>4</v>
      </c>
      <c r="H241" s="9" t="n">
        <v>1.8</v>
      </c>
      <c r="I241" s="9" t="n">
        <v>7</v>
      </c>
      <c r="K241" s="9" t="n">
        <v>90</v>
      </c>
      <c r="L241" s="9" t="n">
        <v>220</v>
      </c>
      <c r="M241" s="9" t="n">
        <v>600</v>
      </c>
    </row>
    <row r="242" customFormat="false" ht="15" hidden="false" customHeight="false" outlineLevel="0" collapsed="false">
      <c r="A242" s="4" t="s">
        <v>322</v>
      </c>
      <c r="B242" s="9" t="n">
        <v>40</v>
      </c>
      <c r="C242" s="9" t="n">
        <v>80</v>
      </c>
      <c r="D242" s="9" t="n">
        <v>280</v>
      </c>
      <c r="E242" s="9" t="n">
        <v>15</v>
      </c>
      <c r="F242" s="9" t="n">
        <v>15</v>
      </c>
      <c r="G242" s="9" t="n">
        <v>2</v>
      </c>
      <c r="H242" s="9" t="n">
        <v>1</v>
      </c>
      <c r="I242" s="9" t="n">
        <v>2.5</v>
      </c>
      <c r="K242" s="9" t="n">
        <v>45</v>
      </c>
      <c r="L242" s="9" t="n">
        <v>110</v>
      </c>
      <c r="M242" s="9" t="n">
        <v>320</v>
      </c>
    </row>
    <row r="243" customFormat="false" ht="15" hidden="false" customHeight="false" outlineLevel="0" collapsed="false">
      <c r="A243" s="4" t="s">
        <v>323</v>
      </c>
      <c r="B243" s="9" t="n">
        <v>25</v>
      </c>
      <c r="C243" s="9" t="n">
        <v>90</v>
      </c>
      <c r="D243" s="9" t="n">
        <v>220</v>
      </c>
      <c r="E243" s="9" t="n">
        <v>15</v>
      </c>
      <c r="F243" s="9" t="n">
        <v>5</v>
      </c>
      <c r="G243" s="9" t="n">
        <v>2</v>
      </c>
      <c r="H243" s="9" t="n">
        <v>1</v>
      </c>
      <c r="I243" s="9" t="n">
        <v>3</v>
      </c>
      <c r="K243" s="9" t="n">
        <v>45</v>
      </c>
      <c r="L243" s="9" t="n">
        <v>110</v>
      </c>
      <c r="M243" s="9" t="n">
        <v>340</v>
      </c>
    </row>
    <row r="244" customFormat="false" ht="15" hidden="false" customHeight="false" outlineLevel="0" collapsed="false">
      <c r="A244" s="4" t="s">
        <v>324</v>
      </c>
      <c r="B244" s="9" t="n">
        <v>20</v>
      </c>
      <c r="C244" s="9" t="n">
        <v>45</v>
      </c>
      <c r="D244" s="9" t="n">
        <v>90</v>
      </c>
      <c r="E244" s="9" t="n">
        <v>6</v>
      </c>
      <c r="F244" s="9" t="n">
        <v>3</v>
      </c>
      <c r="G244" s="9" t="n">
        <v>3.5</v>
      </c>
      <c r="H244" s="9" t="n">
        <v>0.5</v>
      </c>
      <c r="I244" s="9" t="n">
        <v>1</v>
      </c>
      <c r="K244" s="9" t="n">
        <v>30</v>
      </c>
      <c r="L244" s="9" t="n">
        <v>70</v>
      </c>
      <c r="M244" s="9" t="n">
        <v>180</v>
      </c>
    </row>
    <row r="245" customFormat="false" ht="15" hidden="false" customHeight="false" outlineLevel="0" collapsed="false">
      <c r="A245" s="4" t="s">
        <v>325</v>
      </c>
      <c r="B245" s="9" t="n">
        <v>45</v>
      </c>
      <c r="C245" s="9" t="n">
        <v>90</v>
      </c>
      <c r="D245" s="9" t="n">
        <v>220</v>
      </c>
      <c r="E245" s="9" t="n">
        <v>12</v>
      </c>
      <c r="F245" s="9" t="n">
        <v>15</v>
      </c>
      <c r="G245" s="9" t="n">
        <v>2.5</v>
      </c>
      <c r="H245" s="9" t="n">
        <v>0.7</v>
      </c>
      <c r="I245" s="9" t="n">
        <v>2.5</v>
      </c>
      <c r="K245" s="9" t="n">
        <v>50</v>
      </c>
      <c r="L245" s="9" t="n">
        <v>120</v>
      </c>
      <c r="M245" s="9" t="n">
        <v>330</v>
      </c>
    </row>
    <row r="246" customFormat="false" ht="15" hidden="false" customHeight="false" outlineLevel="0" collapsed="false">
      <c r="A246" s="4" t="s">
        <v>326</v>
      </c>
      <c r="B246" s="9" t="n">
        <v>45</v>
      </c>
      <c r="C246" s="9" t="n">
        <v>100</v>
      </c>
      <c r="D246" s="9" t="n">
        <v>190</v>
      </c>
      <c r="E246" s="9" t="n">
        <v>18</v>
      </c>
      <c r="F246" s="9" t="n">
        <v>15</v>
      </c>
      <c r="G246" s="9" t="n">
        <v>3</v>
      </c>
      <c r="H246" s="9" t="n">
        <v>1</v>
      </c>
      <c r="I246" s="9" t="n">
        <v>4</v>
      </c>
      <c r="K246" s="9" t="n">
        <v>65</v>
      </c>
      <c r="L246" s="9" t="n">
        <v>150</v>
      </c>
      <c r="M246" s="9" t="n">
        <v>420</v>
      </c>
    </row>
    <row r="247" customFormat="false" ht="15" hidden="false" customHeight="false" outlineLevel="0" collapsed="false">
      <c r="A247" s="4" t="s">
        <v>327</v>
      </c>
      <c r="B247" s="9" t="n">
        <v>45</v>
      </c>
      <c r="C247" s="9" t="n">
        <v>90</v>
      </c>
      <c r="D247" s="9" t="n">
        <v>150</v>
      </c>
      <c r="E247" s="9" t="n">
        <v>15</v>
      </c>
      <c r="F247" s="9" t="n">
        <v>5</v>
      </c>
      <c r="G247" s="9" t="n">
        <v>3</v>
      </c>
      <c r="H247" s="9" t="n">
        <v>1.5</v>
      </c>
      <c r="I247" s="9" t="n">
        <v>5</v>
      </c>
      <c r="K247" s="9" t="n">
        <v>50</v>
      </c>
      <c r="L247" s="9" t="n">
        <v>120</v>
      </c>
      <c r="M247" s="9" t="n">
        <v>335</v>
      </c>
    </row>
    <row r="248" customFormat="false" ht="15" hidden="false" customHeight="false" outlineLevel="0" collapsed="false">
      <c r="A248" s="4" t="s">
        <v>328</v>
      </c>
      <c r="B248" s="9" t="n">
        <v>15</v>
      </c>
      <c r="C248" s="9" t="n">
        <v>70</v>
      </c>
      <c r="D248" s="9" t="n">
        <v>250</v>
      </c>
      <c r="E248" s="9" t="n">
        <v>10</v>
      </c>
      <c r="F248" s="9" t="n">
        <v>3</v>
      </c>
      <c r="G248" s="9" t="n">
        <v>2</v>
      </c>
      <c r="H248" s="9" t="n">
        <v>0.5</v>
      </c>
      <c r="I248" s="9" t="n">
        <v>2</v>
      </c>
      <c r="K248" s="9" t="n">
        <v>35</v>
      </c>
      <c r="L248" s="9" t="n">
        <v>95</v>
      </c>
      <c r="M248" s="9" t="n">
        <v>295</v>
      </c>
    </row>
    <row r="249" customFormat="false" ht="15" hidden="false" customHeight="false" outlineLevel="0" collapsed="false">
      <c r="A249" s="4" t="s">
        <v>329</v>
      </c>
      <c r="B249" s="9" t="n">
        <v>30</v>
      </c>
      <c r="C249" s="9" t="n">
        <v>70</v>
      </c>
      <c r="D249" s="9" t="n">
        <v>150</v>
      </c>
      <c r="E249" s="9" t="n">
        <v>12</v>
      </c>
      <c r="F249" s="9" t="n">
        <v>8</v>
      </c>
      <c r="G249" s="9" t="n">
        <v>2</v>
      </c>
      <c r="H249" s="9" t="n">
        <v>0.3</v>
      </c>
      <c r="I249" s="9" t="n">
        <v>1.5</v>
      </c>
      <c r="K249" s="9" t="n">
        <v>35</v>
      </c>
      <c r="L249" s="9" t="n">
        <v>85</v>
      </c>
      <c r="M249" s="9" t="n">
        <v>260</v>
      </c>
    </row>
    <row r="250" customFormat="false" ht="15" hidden="false" customHeight="false" outlineLevel="0" collapsed="false">
      <c r="A250" s="4" t="s">
        <v>330</v>
      </c>
      <c r="B250" s="9" t="n">
        <v>18</v>
      </c>
      <c r="C250" s="9" t="n">
        <v>75</v>
      </c>
      <c r="D250" s="9" t="n">
        <v>150</v>
      </c>
      <c r="E250" s="9" t="n">
        <v>10</v>
      </c>
      <c r="F250" s="9" t="n">
        <v>5</v>
      </c>
      <c r="G250" s="9" t="n">
        <v>2.5</v>
      </c>
      <c r="H250" s="9" t="n">
        <v>1</v>
      </c>
      <c r="I250" s="9" t="n">
        <v>2.5</v>
      </c>
      <c r="K250" s="9" t="n">
        <v>35</v>
      </c>
      <c r="L250" s="9" t="n">
        <v>85</v>
      </c>
      <c r="M250" s="9" t="n">
        <v>255</v>
      </c>
    </row>
    <row r="251" customFormat="false" ht="15" hidden="false" customHeight="false" outlineLevel="0" collapsed="false">
      <c r="A251" s="4" t="s">
        <v>331</v>
      </c>
      <c r="B251" s="9" t="n">
        <v>22</v>
      </c>
      <c r="C251" s="9" t="n">
        <v>55</v>
      </c>
      <c r="D251" s="9" t="n">
        <v>180</v>
      </c>
      <c r="E251" s="9" t="n">
        <v>9</v>
      </c>
      <c r="F251" s="9" t="n">
        <v>4</v>
      </c>
      <c r="G251" s="9" t="n">
        <v>3</v>
      </c>
      <c r="H251" s="9" t="n">
        <v>0.5</v>
      </c>
      <c r="J251" s="9" t="s">
        <v>82</v>
      </c>
      <c r="K251" s="9" t="n">
        <v>35</v>
      </c>
      <c r="L251" s="9" t="n">
        <v>90</v>
      </c>
      <c r="M251" s="9" t="n">
        <v>265</v>
      </c>
    </row>
    <row r="252" customFormat="false" ht="15" hidden="false" customHeight="false" outlineLevel="0" collapsed="false">
      <c r="A252" s="4" t="s">
        <v>332</v>
      </c>
      <c r="B252" s="9" t="n">
        <v>110</v>
      </c>
      <c r="C252" s="9" t="n">
        <v>220</v>
      </c>
      <c r="D252" s="9" t="n">
        <v>500</v>
      </c>
      <c r="E252" s="9" t="n">
        <v>35</v>
      </c>
      <c r="F252" s="9" t="n">
        <v>25</v>
      </c>
      <c r="G252" s="9" t="n">
        <v>3.5</v>
      </c>
      <c r="H252" s="9" t="n">
        <v>1.5</v>
      </c>
      <c r="I252" s="9" t="n">
        <v>7</v>
      </c>
      <c r="K252" s="9" t="n">
        <v>110</v>
      </c>
      <c r="L252" s="9" t="n">
        <v>260</v>
      </c>
      <c r="M252" s="9" t="n">
        <v>750</v>
      </c>
    </row>
    <row r="253" customFormat="false" ht="15" hidden="false" customHeight="false" outlineLevel="0" collapsed="false">
      <c r="A253" s="4" t="s">
        <v>333</v>
      </c>
      <c r="B253" s="9" t="n">
        <v>45</v>
      </c>
      <c r="C253" s="9" t="n">
        <v>90</v>
      </c>
      <c r="D253" s="9" t="n">
        <v>180</v>
      </c>
      <c r="E253" s="9" t="n">
        <v>18</v>
      </c>
      <c r="F253" s="9" t="n">
        <v>15</v>
      </c>
      <c r="G253" s="9" t="n">
        <v>3</v>
      </c>
      <c r="H253" s="9" t="n">
        <v>0.5</v>
      </c>
      <c r="I253" s="9" t="n">
        <v>4</v>
      </c>
      <c r="K253" s="9" t="n">
        <v>55</v>
      </c>
      <c r="L253" s="9" t="n">
        <v>130</v>
      </c>
      <c r="M253" s="9" t="n">
        <v>370</v>
      </c>
    </row>
    <row r="254" customFormat="false" ht="15" hidden="false" customHeight="false" outlineLevel="0" collapsed="false">
      <c r="A254" s="4" t="s">
        <v>334</v>
      </c>
      <c r="B254" s="9" t="n">
        <v>25</v>
      </c>
      <c r="C254" s="9" t="n">
        <v>90</v>
      </c>
      <c r="D254" s="9" t="n">
        <v>350</v>
      </c>
      <c r="E254" s="9" t="n">
        <v>12</v>
      </c>
      <c r="F254" s="9" t="n">
        <v>4</v>
      </c>
      <c r="G254" s="9" t="n">
        <v>3</v>
      </c>
      <c r="H254" s="9" t="n">
        <v>0.6</v>
      </c>
      <c r="I254" s="9" t="n">
        <v>4</v>
      </c>
      <c r="K254" s="9" t="n">
        <v>45</v>
      </c>
      <c r="L254" s="9" t="n">
        <v>115</v>
      </c>
      <c r="M254" s="9" t="n">
        <v>370</v>
      </c>
    </row>
    <row r="255" customFormat="false" ht="15" hidden="false" customHeight="false" outlineLevel="0" collapsed="false">
      <c r="A255" s="4" t="s">
        <v>335</v>
      </c>
      <c r="B255" s="9" t="n">
        <v>20</v>
      </c>
      <c r="C255" s="9" t="n">
        <v>55</v>
      </c>
      <c r="D255" s="9" t="n">
        <v>130</v>
      </c>
      <c r="E255" s="9" t="n">
        <v>6</v>
      </c>
      <c r="F255" s="9" t="n">
        <v>3</v>
      </c>
      <c r="G255" s="9" t="n">
        <v>4</v>
      </c>
      <c r="H255" s="9" t="n">
        <v>0.4</v>
      </c>
      <c r="I255" s="9" t="n">
        <v>2</v>
      </c>
      <c r="K255" s="9" t="n">
        <v>30</v>
      </c>
      <c r="L255" s="9" t="n">
        <v>75</v>
      </c>
      <c r="M255" s="9" t="n">
        <v>220</v>
      </c>
    </row>
    <row r="256" customFormat="false" ht="15" hidden="false" customHeight="false" outlineLevel="0" collapsed="false">
      <c r="A256" s="4" t="s">
        <v>336</v>
      </c>
      <c r="B256" s="9" t="n">
        <v>18</v>
      </c>
      <c r="C256" s="9" t="n">
        <v>40</v>
      </c>
      <c r="D256" s="9" t="n">
        <v>70</v>
      </c>
      <c r="E256" s="9" t="n">
        <v>6</v>
      </c>
      <c r="F256" s="9" t="n">
        <v>3</v>
      </c>
      <c r="G256" s="9" t="n">
        <v>3</v>
      </c>
      <c r="H256" s="9" t="n">
        <v>0.4</v>
      </c>
      <c r="I256" s="9" t="n">
        <v>1.5</v>
      </c>
      <c r="K256" s="9" t="n">
        <v>25</v>
      </c>
      <c r="L256" s="9" t="n">
        <v>60</v>
      </c>
      <c r="M256" s="9" t="n">
        <v>160</v>
      </c>
    </row>
    <row r="257" customFormat="false" ht="15" hidden="false" customHeight="false" outlineLevel="0" collapsed="false">
      <c r="A257" s="4" t="s">
        <v>337</v>
      </c>
      <c r="B257" s="9" t="n">
        <v>25</v>
      </c>
      <c r="C257" s="9" t="n">
        <v>65</v>
      </c>
      <c r="D257" s="9" t="n">
        <v>150</v>
      </c>
      <c r="E257" s="9" t="n">
        <v>8</v>
      </c>
      <c r="F257" s="9" t="n">
        <v>4</v>
      </c>
      <c r="G257" s="9" t="n">
        <v>1.3</v>
      </c>
      <c r="H257" s="9" t="n">
        <v>0.7</v>
      </c>
      <c r="I257" s="9" t="n">
        <v>2.5</v>
      </c>
      <c r="K257" s="9" t="n">
        <v>35</v>
      </c>
      <c r="L257" s="9" t="n">
        <v>85</v>
      </c>
      <c r="M257" s="9" t="n">
        <v>250</v>
      </c>
    </row>
    <row r="258" customFormat="false" ht="15" hidden="false" customHeight="false" outlineLevel="0" collapsed="false">
      <c r="A258" s="4" t="s">
        <v>338</v>
      </c>
      <c r="B258" s="9" t="n">
        <v>50</v>
      </c>
      <c r="C258" s="9" t="n">
        <v>110</v>
      </c>
      <c r="D258" s="9" t="n">
        <v>300</v>
      </c>
      <c r="E258" s="9" t="n">
        <v>15</v>
      </c>
      <c r="F258" s="9" t="n">
        <v>25</v>
      </c>
      <c r="G258" s="9" t="n">
        <v>3.5</v>
      </c>
      <c r="H258" s="9" t="n">
        <v>1</v>
      </c>
      <c r="I258" s="9" t="n">
        <v>5</v>
      </c>
      <c r="K258" s="9" t="n">
        <v>70</v>
      </c>
      <c r="L258" s="9" t="n">
        <v>165</v>
      </c>
      <c r="M258" s="9" t="n">
        <v>450</v>
      </c>
    </row>
    <row r="259" customFormat="false" ht="15" hidden="false" customHeight="false" outlineLevel="0" collapsed="false">
      <c r="A259" s="4" t="s">
        <v>339</v>
      </c>
      <c r="B259" s="9" t="n">
        <v>80</v>
      </c>
      <c r="C259" s="9" t="n">
        <v>150</v>
      </c>
      <c r="D259" s="9" t="n">
        <v>320</v>
      </c>
      <c r="E259" s="9" t="n">
        <v>22</v>
      </c>
      <c r="F259" s="9" t="n">
        <v>28</v>
      </c>
      <c r="G259" s="9" t="n">
        <v>3.5</v>
      </c>
      <c r="H259" s="9" t="n">
        <v>2</v>
      </c>
      <c r="I259" s="9" t="n">
        <v>6.5</v>
      </c>
      <c r="K259" s="9" t="n">
        <v>85</v>
      </c>
      <c r="L259" s="9" t="n">
        <v>210</v>
      </c>
      <c r="M259" s="9" t="n">
        <v>570</v>
      </c>
    </row>
    <row r="260" customFormat="false" ht="15" hidden="false" customHeight="false" outlineLevel="0" collapsed="false">
      <c r="A260" s="4" t="s">
        <v>340</v>
      </c>
      <c r="B260" s="9" t="n">
        <v>50</v>
      </c>
      <c r="C260" s="9" t="n">
        <v>130</v>
      </c>
      <c r="D260" s="9" t="n">
        <v>280</v>
      </c>
      <c r="E260" s="9" t="n">
        <v>10</v>
      </c>
      <c r="F260" s="9" t="n">
        <v>5</v>
      </c>
      <c r="G260" s="9" t="n">
        <v>1.5</v>
      </c>
      <c r="H260" s="9" t="n">
        <v>0.3</v>
      </c>
      <c r="J260" s="9" t="s">
        <v>82</v>
      </c>
      <c r="K260" s="9" t="n">
        <v>50</v>
      </c>
      <c r="L260" s="9" t="n">
        <v>125</v>
      </c>
      <c r="M260" s="9" t="n">
        <v>360</v>
      </c>
    </row>
    <row r="261" customFormat="false" ht="15" hidden="false" customHeight="false" outlineLevel="0" collapsed="false">
      <c r="A261" s="4" t="s">
        <v>341</v>
      </c>
      <c r="B261" s="9" t="n">
        <v>30</v>
      </c>
      <c r="C261" s="9" t="n">
        <v>75</v>
      </c>
      <c r="D261" s="9" t="n">
        <v>320</v>
      </c>
      <c r="E261" s="9" t="n">
        <v>12</v>
      </c>
      <c r="F261" s="9" t="n">
        <v>4</v>
      </c>
      <c r="G261" s="9" t="n">
        <v>1.05</v>
      </c>
      <c r="H261" s="9" t="n">
        <v>0.35</v>
      </c>
      <c r="I261" s="9" t="n">
        <v>1.7</v>
      </c>
      <c r="K261" s="9" t="n">
        <v>45</v>
      </c>
      <c r="L261" s="9" t="n">
        <v>115</v>
      </c>
      <c r="M261" s="9" t="n">
        <v>365</v>
      </c>
    </row>
    <row r="262" customFormat="false" ht="15" hidden="false" customHeight="false" outlineLevel="0" collapsed="false">
      <c r="A262" s="4" t="s">
        <v>342</v>
      </c>
      <c r="B262" s="9" t="n">
        <v>25</v>
      </c>
      <c r="C262" s="9" t="n">
        <v>70</v>
      </c>
      <c r="D262" s="9" t="n">
        <v>180</v>
      </c>
      <c r="E262" s="9" t="n">
        <v>8</v>
      </c>
      <c r="F262" s="9" t="n">
        <v>4</v>
      </c>
      <c r="G262" s="9" t="n">
        <v>3</v>
      </c>
      <c r="H262" s="9" t="n">
        <v>0.6</v>
      </c>
      <c r="I262" s="9" t="n">
        <v>3</v>
      </c>
      <c r="K262" s="9" t="n">
        <v>35</v>
      </c>
      <c r="L262" s="9" t="n">
        <v>90</v>
      </c>
      <c r="M262" s="9" t="n">
        <v>265</v>
      </c>
    </row>
    <row r="263" customFormat="false" ht="15" hidden="false" customHeight="false" outlineLevel="0" collapsed="false">
      <c r="A263" s="4" t="s">
        <v>343</v>
      </c>
      <c r="B263" s="9" t="n">
        <v>90</v>
      </c>
      <c r="C263" s="9" t="n">
        <v>190</v>
      </c>
      <c r="D263" s="9" t="n">
        <v>300</v>
      </c>
      <c r="E263" s="9" t="n">
        <v>30</v>
      </c>
      <c r="F263" s="9" t="n">
        <v>25</v>
      </c>
      <c r="G263" s="9" t="n">
        <v>4.5</v>
      </c>
      <c r="H263" s="9" t="n">
        <v>3</v>
      </c>
      <c r="I263" s="9" t="n">
        <v>6.5</v>
      </c>
      <c r="K263" s="9" t="n">
        <v>90</v>
      </c>
      <c r="L263" s="9" t="n">
        <v>220</v>
      </c>
      <c r="M263" s="9" t="n">
        <v>595</v>
      </c>
    </row>
    <row r="264" customFormat="false" ht="15" hidden="false" customHeight="false" outlineLevel="0" collapsed="false">
      <c r="A264" s="4" t="s">
        <v>344</v>
      </c>
      <c r="B264" s="9" t="n">
        <v>50</v>
      </c>
      <c r="C264" s="9" t="n">
        <v>100</v>
      </c>
      <c r="D264" s="9" t="n">
        <v>260</v>
      </c>
      <c r="E264" s="9" t="n">
        <v>18</v>
      </c>
      <c r="F264" s="9" t="n">
        <v>18</v>
      </c>
      <c r="G264" s="9" t="n">
        <v>2</v>
      </c>
      <c r="H264" s="9" t="n">
        <v>1.5</v>
      </c>
      <c r="I264" s="9" t="n">
        <v>2.5</v>
      </c>
      <c r="K264" s="9" t="n">
        <v>65</v>
      </c>
      <c r="L264" s="9" t="n">
        <v>155</v>
      </c>
      <c r="M264" s="9" t="n">
        <v>430</v>
      </c>
    </row>
    <row r="265" customFormat="false" ht="15" hidden="false" customHeight="false" outlineLevel="0" collapsed="false">
      <c r="A265" s="4" t="s">
        <v>345</v>
      </c>
      <c r="B265" s="9" t="n">
        <v>65</v>
      </c>
      <c r="C265" s="9" t="n">
        <v>130</v>
      </c>
      <c r="D265" s="9" t="n">
        <v>380</v>
      </c>
      <c r="E265" s="9" t="n">
        <v>30</v>
      </c>
      <c r="F265" s="9" t="n">
        <v>13</v>
      </c>
      <c r="G265" s="9" t="n">
        <v>2.4</v>
      </c>
      <c r="H265" s="9" t="n">
        <v>1.3</v>
      </c>
      <c r="I265" s="9" t="n">
        <v>4.8</v>
      </c>
      <c r="K265" s="9" t="n">
        <v>80</v>
      </c>
      <c r="L265" s="9" t="n">
        <v>200</v>
      </c>
      <c r="M265" s="9" t="n">
        <v>590</v>
      </c>
    </row>
    <row r="266" customFormat="false" ht="15" hidden="false" customHeight="false" outlineLevel="0" collapsed="false">
      <c r="A266" s="4" t="s">
        <v>346</v>
      </c>
      <c r="B266" s="9" t="n">
        <v>100</v>
      </c>
      <c r="C266" s="9" t="n">
        <v>180</v>
      </c>
      <c r="D266" s="9" t="n">
        <v>400</v>
      </c>
      <c r="E266" s="9" t="n">
        <v>25</v>
      </c>
      <c r="F266" s="9" t="n">
        <v>28</v>
      </c>
      <c r="G266" s="9" t="n">
        <v>4</v>
      </c>
      <c r="H266" s="9" t="n">
        <v>2</v>
      </c>
      <c r="I266" s="9" t="n">
        <v>6.5</v>
      </c>
      <c r="K266" s="9" t="n">
        <v>90</v>
      </c>
      <c r="L266" s="9" t="n">
        <v>220</v>
      </c>
      <c r="M266" s="9" t="n">
        <v>600</v>
      </c>
    </row>
    <row r="267" customFormat="false" ht="15" hidden="false" customHeight="false" outlineLevel="0" collapsed="false">
      <c r="A267" s="4" t="s">
        <v>347</v>
      </c>
      <c r="B267" s="9" t="n">
        <v>90</v>
      </c>
      <c r="C267" s="9" t="n">
        <v>160</v>
      </c>
      <c r="D267" s="9" t="n">
        <v>400</v>
      </c>
      <c r="E267" s="9" t="n">
        <v>28</v>
      </c>
      <c r="F267" s="9" t="n">
        <v>35</v>
      </c>
      <c r="G267" s="9" t="n">
        <v>1.5</v>
      </c>
      <c r="H267" s="9" t="n">
        <v>1.5</v>
      </c>
      <c r="I267" s="9" t="n">
        <v>5</v>
      </c>
      <c r="K267" s="9" t="n">
        <v>90</v>
      </c>
      <c r="L267" s="9" t="n">
        <v>210</v>
      </c>
      <c r="M267" s="9" t="n">
        <v>600</v>
      </c>
    </row>
    <row r="268" customFormat="false" ht="15" hidden="false" customHeight="false" outlineLevel="0" collapsed="false">
      <c r="A268" s="4" t="s">
        <v>348</v>
      </c>
      <c r="B268" s="9" t="n">
        <v>70</v>
      </c>
      <c r="C268" s="9" t="n">
        <v>130</v>
      </c>
      <c r="D268" s="9" t="n">
        <v>320</v>
      </c>
      <c r="E268" s="9" t="n">
        <v>28</v>
      </c>
      <c r="F268" s="9" t="n">
        <v>25</v>
      </c>
      <c r="G268" s="9" t="n">
        <v>1.4</v>
      </c>
      <c r="H268" s="9" t="n">
        <v>1</v>
      </c>
      <c r="I268" s="9" t="n">
        <v>5.5</v>
      </c>
      <c r="K268" s="9" t="n">
        <v>70</v>
      </c>
      <c r="L268" s="9" t="n">
        <v>165</v>
      </c>
      <c r="M268" s="9" t="n">
        <v>450</v>
      </c>
    </row>
    <row r="269" customFormat="false" ht="15" hidden="false" customHeight="false" outlineLevel="0" collapsed="false">
      <c r="A269" s="4" t="s">
        <v>349</v>
      </c>
      <c r="B269" s="9" t="n">
        <v>45</v>
      </c>
      <c r="C269" s="9" t="n">
        <v>140</v>
      </c>
      <c r="D269" s="9" t="n">
        <v>350</v>
      </c>
      <c r="E269" s="9" t="n">
        <v>18</v>
      </c>
      <c r="F269" s="9" t="n">
        <v>12</v>
      </c>
      <c r="G269" s="9" t="n">
        <v>3.5</v>
      </c>
      <c r="H269" s="9" t="n">
        <v>1.2</v>
      </c>
      <c r="I269" s="9" t="n">
        <v>4.5</v>
      </c>
      <c r="K269" s="9" t="n">
        <v>60</v>
      </c>
      <c r="L269" s="9" t="n">
        <v>150</v>
      </c>
      <c r="M269" s="9" t="n">
        <v>450</v>
      </c>
    </row>
    <row r="270" customFormat="false" ht="15" hidden="false" customHeight="false" outlineLevel="0" collapsed="false">
      <c r="A270" s="4" t="s">
        <v>350</v>
      </c>
      <c r="B270" s="9" t="n">
        <v>18</v>
      </c>
      <c r="C270" s="9" t="n">
        <v>130</v>
      </c>
      <c r="D270" s="9" t="n">
        <v>550</v>
      </c>
      <c r="E270" s="9" t="n">
        <v>15</v>
      </c>
      <c r="F270" s="9" t="n">
        <v>6</v>
      </c>
      <c r="G270" s="9" t="n">
        <v>3</v>
      </c>
      <c r="H270" s="9" t="n">
        <v>1.5</v>
      </c>
      <c r="I270" s="9" t="n">
        <v>3</v>
      </c>
      <c r="K270" s="9" t="n">
        <v>50</v>
      </c>
      <c r="L270" s="9" t="n">
        <v>140</v>
      </c>
      <c r="M270" s="9" t="n">
        <v>475</v>
      </c>
    </row>
    <row r="271" customFormat="false" ht="15" hidden="false" customHeight="false" outlineLevel="0" collapsed="false">
      <c r="A271" s="4" t="s">
        <v>351</v>
      </c>
      <c r="B271" s="9" t="n">
        <v>60</v>
      </c>
      <c r="C271" s="9" t="n">
        <v>120</v>
      </c>
      <c r="D271" s="9" t="n">
        <v>300</v>
      </c>
      <c r="E271" s="9" t="n">
        <v>22</v>
      </c>
      <c r="F271" s="9" t="n">
        <v>18</v>
      </c>
      <c r="G271" s="9" t="n">
        <v>4</v>
      </c>
      <c r="H271" s="9" t="n">
        <v>1.2</v>
      </c>
      <c r="I271" s="9" t="n">
        <v>5</v>
      </c>
      <c r="K271" s="9" t="n">
        <v>80</v>
      </c>
      <c r="L271" s="9" t="n">
        <v>190</v>
      </c>
      <c r="M271" s="9" t="n">
        <v>500</v>
      </c>
    </row>
    <row r="272" customFormat="false" ht="15" hidden="false" customHeight="false" outlineLevel="0" collapsed="false">
      <c r="A272" s="4" t="s">
        <v>352</v>
      </c>
      <c r="B272" s="9" t="n">
        <v>15</v>
      </c>
      <c r="C272" s="9" t="n">
        <v>45</v>
      </c>
      <c r="D272" s="9" t="n">
        <v>120</v>
      </c>
      <c r="E272" s="9" t="n">
        <v>7</v>
      </c>
      <c r="F272" s="9" t="n">
        <v>4</v>
      </c>
      <c r="G272" s="9" t="n">
        <v>1.5</v>
      </c>
      <c r="H272" s="9" t="n">
        <v>0.5</v>
      </c>
      <c r="I272" s="9" t="n">
        <v>2</v>
      </c>
      <c r="K272" s="9" t="n">
        <v>30</v>
      </c>
      <c r="L272" s="9" t="n">
        <v>70</v>
      </c>
      <c r="M272" s="9" t="n">
        <v>215</v>
      </c>
    </row>
    <row r="273" customFormat="false" ht="15" hidden="false" customHeight="false" outlineLevel="0" collapsed="false">
      <c r="A273" s="4" t="s">
        <v>353</v>
      </c>
      <c r="B273" s="9" t="n">
        <v>40</v>
      </c>
      <c r="C273" s="9" t="n">
        <v>90</v>
      </c>
      <c r="D273" s="9" t="n">
        <v>170</v>
      </c>
      <c r="E273" s="9" t="n">
        <v>16</v>
      </c>
      <c r="F273" s="9" t="n">
        <v>12</v>
      </c>
      <c r="G273" s="9" t="n">
        <v>3</v>
      </c>
      <c r="H273" s="9" t="n">
        <v>1</v>
      </c>
      <c r="I273" s="9" t="n">
        <v>3.5</v>
      </c>
      <c r="K273" s="9" t="n">
        <v>55</v>
      </c>
      <c r="L273" s="9" t="n">
        <v>130</v>
      </c>
      <c r="M273" s="9" t="n">
        <v>350</v>
      </c>
    </row>
    <row r="274" customFormat="false" ht="15" hidden="false" customHeight="false" outlineLevel="0" collapsed="false">
      <c r="A274" s="4" t="s">
        <v>354</v>
      </c>
      <c r="B274" s="9" t="n">
        <v>40</v>
      </c>
      <c r="C274" s="9" t="n">
        <v>80</v>
      </c>
      <c r="D274" s="9" t="n">
        <v>200</v>
      </c>
      <c r="E274" s="9" t="n">
        <v>15</v>
      </c>
      <c r="F274" s="9" t="n">
        <v>15</v>
      </c>
      <c r="G274" s="9" t="n">
        <v>3.5</v>
      </c>
      <c r="H274" s="9" t="n">
        <v>1.5</v>
      </c>
      <c r="I274" s="9" t="n">
        <v>3.5</v>
      </c>
      <c r="K274" s="9" t="n">
        <v>55</v>
      </c>
      <c r="L274" s="9" t="n">
        <v>130</v>
      </c>
      <c r="M274" s="9" t="n">
        <v>350</v>
      </c>
    </row>
    <row r="275" customFormat="false" ht="15" hidden="false" customHeight="false" outlineLevel="0" collapsed="false">
      <c r="A275" s="4" t="s">
        <v>355</v>
      </c>
      <c r="B275" s="9" t="n">
        <v>110</v>
      </c>
      <c r="C275" s="9" t="n">
        <v>200</v>
      </c>
      <c r="D275" s="9" t="n">
        <v>450</v>
      </c>
      <c r="E275" s="9" t="n">
        <v>28</v>
      </c>
      <c r="F275" s="9" t="n">
        <v>28</v>
      </c>
      <c r="G275" s="9" t="n">
        <v>4.5</v>
      </c>
      <c r="H275" s="9" t="n">
        <v>2</v>
      </c>
      <c r="I275" s="9" t="n">
        <v>7</v>
      </c>
      <c r="K275" s="9" t="n">
        <v>100</v>
      </c>
      <c r="L275" s="9" t="n">
        <v>250</v>
      </c>
      <c r="M275" s="9" t="n">
        <v>680</v>
      </c>
    </row>
    <row r="276" customFormat="false" ht="15" hidden="false" customHeight="false" outlineLevel="0" collapsed="false">
      <c r="A276" s="4" t="s">
        <v>356</v>
      </c>
      <c r="B276" s="9" t="n">
        <v>65</v>
      </c>
      <c r="C276" s="9" t="n">
        <v>75</v>
      </c>
      <c r="D276" s="9" t="n">
        <v>180</v>
      </c>
      <c r="E276" s="9" t="n">
        <v>12</v>
      </c>
      <c r="F276" s="9" t="n">
        <v>2</v>
      </c>
      <c r="G276" s="9" t="n">
        <v>3</v>
      </c>
      <c r="H276" s="9" t="n">
        <v>1.5</v>
      </c>
      <c r="I276" s="9" t="n">
        <v>6</v>
      </c>
      <c r="K276" s="9" t="n">
        <v>50</v>
      </c>
      <c r="L276" s="9" t="n">
        <v>125</v>
      </c>
      <c r="M276" s="9" t="n">
        <v>350</v>
      </c>
    </row>
    <row r="277" customFormat="false" ht="15" hidden="false" customHeight="false" outlineLevel="0" collapsed="false">
      <c r="A277" s="4" t="s">
        <v>357</v>
      </c>
      <c r="B277" s="9" t="n">
        <v>25</v>
      </c>
      <c r="C277" s="9" t="n">
        <v>95</v>
      </c>
      <c r="D277" s="9" t="n">
        <v>220</v>
      </c>
      <c r="E277" s="9" t="n">
        <v>12</v>
      </c>
      <c r="F277" s="9" t="n">
        <v>6</v>
      </c>
      <c r="G277" s="9" t="n">
        <v>2.5</v>
      </c>
      <c r="H277" s="9" t="n">
        <v>1</v>
      </c>
      <c r="I277" s="9" t="n">
        <v>2.5</v>
      </c>
      <c r="K277" s="9" t="n">
        <v>40</v>
      </c>
      <c r="L277" s="9" t="n">
        <v>105</v>
      </c>
      <c r="M277" s="9" t="n">
        <v>315</v>
      </c>
    </row>
    <row r="278" customFormat="false" ht="15" hidden="false" customHeight="false" outlineLevel="0" collapsed="false">
      <c r="A278" s="4" t="s">
        <v>358</v>
      </c>
      <c r="B278" s="9" t="n">
        <v>22</v>
      </c>
      <c r="C278" s="9" t="n">
        <v>55</v>
      </c>
      <c r="D278" s="9" t="n">
        <v>130</v>
      </c>
      <c r="E278" s="9" t="n">
        <v>8</v>
      </c>
      <c r="F278" s="9" t="n">
        <v>4</v>
      </c>
      <c r="G278" s="9" t="n">
        <v>3.5</v>
      </c>
      <c r="H278" s="9" t="n">
        <v>0.3</v>
      </c>
      <c r="I278" s="9" t="n">
        <v>1.2</v>
      </c>
      <c r="K278" s="9" t="n">
        <v>30</v>
      </c>
      <c r="L278" s="9" t="n">
        <v>75</v>
      </c>
      <c r="M278" s="9" t="n">
        <v>220</v>
      </c>
    </row>
    <row r="279" customFormat="false" ht="15" hidden="false" customHeight="false" outlineLevel="0" collapsed="false">
      <c r="A279" s="4" t="s">
        <v>359</v>
      </c>
      <c r="B279" s="9" t="n">
        <v>30</v>
      </c>
      <c r="C279" s="9" t="n">
        <v>60</v>
      </c>
      <c r="D279" s="9" t="n">
        <v>130</v>
      </c>
      <c r="E279" s="9" t="n">
        <v>8</v>
      </c>
      <c r="F279" s="9" t="n">
        <v>3</v>
      </c>
      <c r="G279" s="9" t="n">
        <v>4</v>
      </c>
      <c r="H279" s="9" t="n">
        <v>0.5</v>
      </c>
      <c r="I279" s="9" t="n">
        <v>2</v>
      </c>
      <c r="K279" s="9" t="n">
        <v>40</v>
      </c>
      <c r="L279" s="9" t="n">
        <v>100</v>
      </c>
      <c r="M279" s="9" t="n">
        <v>280</v>
      </c>
    </row>
    <row r="280" customFormat="false" ht="15" hidden="false" customHeight="false" outlineLevel="0" collapsed="false">
      <c r="A280" s="4" t="s">
        <v>360</v>
      </c>
      <c r="B280" s="9" t="n">
        <v>20</v>
      </c>
      <c r="C280" s="9" t="n">
        <v>55</v>
      </c>
      <c r="D280" s="9" t="n">
        <v>130</v>
      </c>
      <c r="E280" s="9" t="n">
        <v>6</v>
      </c>
      <c r="F280" s="9" t="n">
        <v>3</v>
      </c>
      <c r="G280" s="9" t="n">
        <v>4</v>
      </c>
      <c r="H280" s="9" t="n">
        <v>0.4</v>
      </c>
      <c r="I280" s="9" t="n">
        <v>1.5</v>
      </c>
      <c r="K280" s="9" t="n">
        <v>30</v>
      </c>
      <c r="L280" s="9" t="n">
        <v>75</v>
      </c>
      <c r="M280" s="9" t="n">
        <v>220</v>
      </c>
    </row>
    <row r="281" customFormat="false" ht="15" hidden="false" customHeight="false" outlineLevel="0" collapsed="false">
      <c r="A281" s="4" t="s">
        <v>361</v>
      </c>
      <c r="B281" s="9" t="n">
        <v>25</v>
      </c>
      <c r="C281" s="9" t="n">
        <v>60</v>
      </c>
      <c r="D281" s="9" t="n">
        <v>130</v>
      </c>
      <c r="E281" s="9" t="n">
        <v>9</v>
      </c>
      <c r="F281" s="9" t="n">
        <v>5</v>
      </c>
      <c r="G281" s="9" t="n">
        <v>4</v>
      </c>
      <c r="H281" s="9" t="n">
        <v>0.6</v>
      </c>
      <c r="I281" s="9" t="n">
        <v>2</v>
      </c>
      <c r="K281" s="9" t="n">
        <v>35</v>
      </c>
      <c r="L281" s="9" t="n">
        <v>90</v>
      </c>
      <c r="M281" s="9" t="n">
        <v>280</v>
      </c>
    </row>
    <row r="282" customFormat="false" ht="15" hidden="false" customHeight="false" outlineLevel="0" collapsed="false">
      <c r="A282" s="4" t="s">
        <v>362</v>
      </c>
      <c r="B282" s="9" t="n">
        <v>18</v>
      </c>
      <c r="C282" s="9" t="n">
        <v>55</v>
      </c>
      <c r="D282" s="9" t="n">
        <v>180</v>
      </c>
      <c r="E282" s="9" t="n">
        <v>6</v>
      </c>
      <c r="F282" s="9" t="n">
        <v>4</v>
      </c>
      <c r="G282" s="9" t="n">
        <v>2.5</v>
      </c>
      <c r="H282" s="9" t="n">
        <v>0.4</v>
      </c>
      <c r="I282" s="9" t="n">
        <v>2</v>
      </c>
      <c r="K282" s="9" t="n">
        <v>30</v>
      </c>
      <c r="L282" s="9" t="n">
        <v>80</v>
      </c>
      <c r="M282" s="9" t="n">
        <v>240</v>
      </c>
    </row>
    <row r="283" customFormat="false" ht="15" hidden="false" customHeight="false" outlineLevel="0" collapsed="false">
      <c r="A283" s="4" t="s">
        <v>363</v>
      </c>
      <c r="B283" s="9" t="n">
        <v>35</v>
      </c>
      <c r="C283" s="9" t="n">
        <v>110</v>
      </c>
      <c r="D283" s="9" t="n">
        <v>220</v>
      </c>
      <c r="E283" s="9" t="n">
        <v>32</v>
      </c>
      <c r="F283" s="9" t="n">
        <v>13</v>
      </c>
      <c r="G283" s="9" t="n">
        <v>4</v>
      </c>
      <c r="H283" s="9" t="n">
        <v>3</v>
      </c>
      <c r="I283" s="9" t="n">
        <v>6</v>
      </c>
      <c r="K283" s="9" t="n">
        <v>65</v>
      </c>
      <c r="L283" s="9" t="n">
        <v>165</v>
      </c>
      <c r="M283" s="9" t="n">
        <v>490</v>
      </c>
    </row>
    <row r="284" customFormat="false" ht="15" hidden="false" customHeight="false" outlineLevel="0" collapsed="false">
      <c r="A284" s="4" t="s">
        <v>364</v>
      </c>
      <c r="B284" s="9" t="n">
        <v>25</v>
      </c>
      <c r="C284" s="9" t="n">
        <v>55</v>
      </c>
      <c r="D284" s="9" t="n">
        <v>200</v>
      </c>
      <c r="E284" s="9" t="n">
        <v>10</v>
      </c>
      <c r="F284" s="9" t="n">
        <v>4</v>
      </c>
      <c r="G284" s="9" t="n">
        <v>2</v>
      </c>
      <c r="H284" s="9" t="n">
        <v>0.5</v>
      </c>
      <c r="I284" s="9" t="n">
        <v>3</v>
      </c>
      <c r="K284" s="9" t="n">
        <v>40</v>
      </c>
      <c r="L284" s="9" t="n">
        <v>95</v>
      </c>
      <c r="M284" s="9" t="n">
        <v>290</v>
      </c>
    </row>
    <row r="285" customFormat="false" ht="15" hidden="false" customHeight="false" outlineLevel="0" collapsed="false">
      <c r="A285" s="4" t="s">
        <v>365</v>
      </c>
      <c r="B285" s="9" t="n">
        <v>45</v>
      </c>
      <c r="C285" s="9" t="n">
        <v>120</v>
      </c>
      <c r="D285" s="9" t="n">
        <v>300</v>
      </c>
      <c r="E285" s="9" t="n">
        <v>12</v>
      </c>
      <c r="F285" s="9" t="n">
        <v>8</v>
      </c>
      <c r="G285" s="9" t="n">
        <v>3</v>
      </c>
      <c r="H285" s="9" t="n">
        <v>1</v>
      </c>
      <c r="I285" s="9" t="n">
        <v>4</v>
      </c>
      <c r="K285" s="9" t="n">
        <v>60</v>
      </c>
      <c r="L285" s="9" t="n">
        <v>150</v>
      </c>
      <c r="M285" s="9" t="n">
        <v>400</v>
      </c>
    </row>
    <row r="286" customFormat="false" ht="15" hidden="false" customHeight="false" outlineLevel="0" collapsed="false">
      <c r="A286" s="4" t="s">
        <v>366</v>
      </c>
      <c r="B286" s="9" t="n">
        <v>25</v>
      </c>
      <c r="C286" s="9" t="n">
        <v>90</v>
      </c>
      <c r="D286" s="9" t="n">
        <v>300</v>
      </c>
      <c r="E286" s="9" t="n">
        <v>12</v>
      </c>
      <c r="F286" s="9" t="n">
        <v>8</v>
      </c>
      <c r="G286" s="9" t="n">
        <v>2.5</v>
      </c>
      <c r="H286" s="9" t="n">
        <v>0.6</v>
      </c>
      <c r="I286" s="9" t="n">
        <v>3</v>
      </c>
      <c r="K286" s="9" t="n">
        <v>45</v>
      </c>
      <c r="L286" s="9" t="n">
        <v>115</v>
      </c>
      <c r="M286" s="9" t="n">
        <v>350</v>
      </c>
    </row>
    <row r="287" customFormat="false" ht="15" hidden="false" customHeight="false" outlineLevel="0" collapsed="false">
      <c r="A287" s="4" t="s">
        <v>367</v>
      </c>
      <c r="B287" s="9" t="n">
        <v>20</v>
      </c>
      <c r="C287" s="9" t="n">
        <v>55</v>
      </c>
      <c r="D287" s="9" t="n">
        <v>120</v>
      </c>
      <c r="E287" s="9" t="n">
        <v>6</v>
      </c>
      <c r="F287" s="9" t="n">
        <v>3</v>
      </c>
      <c r="G287" s="9" t="n">
        <v>3.5</v>
      </c>
      <c r="H287" s="9" t="n">
        <v>0.5</v>
      </c>
      <c r="I287" s="9" t="n">
        <v>2</v>
      </c>
      <c r="K287" s="9" t="n">
        <v>30</v>
      </c>
      <c r="L287" s="9" t="n">
        <v>70</v>
      </c>
      <c r="M287" s="9" t="n">
        <v>220</v>
      </c>
    </row>
    <row r="288" customFormat="false" ht="15" hidden="false" customHeight="false" outlineLevel="0" collapsed="false">
      <c r="A288" s="4" t="s">
        <v>368</v>
      </c>
      <c r="B288" s="9" t="n">
        <v>35</v>
      </c>
      <c r="C288" s="9" t="n">
        <v>70</v>
      </c>
      <c r="D288" s="9" t="n">
        <v>160</v>
      </c>
      <c r="E288" s="9" t="n">
        <v>15</v>
      </c>
      <c r="F288" s="9" t="n">
        <v>10</v>
      </c>
      <c r="G288" s="9" t="n">
        <v>3.5</v>
      </c>
      <c r="H288" s="9" t="n">
        <v>0.5</v>
      </c>
      <c r="I288" s="9" t="n">
        <v>1.5</v>
      </c>
      <c r="K288" s="9" t="n">
        <v>45</v>
      </c>
      <c r="L288" s="9" t="n">
        <v>110</v>
      </c>
      <c r="M288" s="9" t="n">
        <v>320</v>
      </c>
    </row>
    <row r="289" customFormat="false" ht="15" hidden="false" customHeight="false" outlineLevel="0" collapsed="false">
      <c r="A289" s="4" t="s">
        <v>369</v>
      </c>
      <c r="B289" s="9" t="n">
        <v>140</v>
      </c>
      <c r="C289" s="9" t="n">
        <v>250</v>
      </c>
      <c r="D289" s="9" t="n">
        <v>550</v>
      </c>
      <c r="E289" s="9" t="n">
        <v>40</v>
      </c>
      <c r="F289" s="9" t="n">
        <v>40</v>
      </c>
      <c r="G289" s="9" t="n">
        <v>5</v>
      </c>
      <c r="H289" s="9" t="n">
        <v>4</v>
      </c>
      <c r="I289" s="9" t="n">
        <v>7.5</v>
      </c>
      <c r="K289" s="9" t="n">
        <v>130</v>
      </c>
      <c r="L289" s="9" t="n">
        <v>300</v>
      </c>
      <c r="M289" s="9" t="n"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0" min="2" style="0" width="15"/>
  </cols>
  <sheetData>
    <row r="1" customFormat="false" ht="39.55" hidden="false" customHeight="false" outlineLevel="0" collapsed="false">
      <c r="A1" s="8" t="s">
        <v>67</v>
      </c>
      <c r="B1" s="8" t="s">
        <v>370</v>
      </c>
      <c r="C1" s="8" t="s">
        <v>371</v>
      </c>
      <c r="D1" s="8" t="s">
        <v>372</v>
      </c>
      <c r="E1" s="8" t="s">
        <v>373</v>
      </c>
      <c r="F1" s="8" t="s">
        <v>374</v>
      </c>
      <c r="G1" s="8" t="s">
        <v>375</v>
      </c>
      <c r="H1" s="8" t="s">
        <v>376</v>
      </c>
      <c r="I1" s="8" t="s">
        <v>377</v>
      </c>
      <c r="J1" s="8" t="s">
        <v>378</v>
      </c>
      <c r="K1" s="8" t="s">
        <v>379</v>
      </c>
      <c r="L1" s="8" t="s">
        <v>380</v>
      </c>
      <c r="M1" s="8" t="s">
        <v>381</v>
      </c>
      <c r="N1" s="8" t="s">
        <v>382</v>
      </c>
      <c r="O1" s="8" t="s">
        <v>383</v>
      </c>
      <c r="P1" s="8" t="s">
        <v>384</v>
      </c>
      <c r="Q1" s="8" t="s">
        <v>385</v>
      </c>
      <c r="R1" s="8" t="s">
        <v>386</v>
      </c>
      <c r="S1" s="8" t="s">
        <v>387</v>
      </c>
      <c r="T1" s="8" t="s">
        <v>388</v>
      </c>
      <c r="U1" s="8" t="s">
        <v>389</v>
      </c>
      <c r="V1" s="8" t="s">
        <v>390</v>
      </c>
      <c r="W1" s="8" t="s">
        <v>391</v>
      </c>
      <c r="X1" s="8" t="s">
        <v>392</v>
      </c>
      <c r="Y1" s="8" t="s">
        <v>393</v>
      </c>
      <c r="Z1" s="8" t="s">
        <v>394</v>
      </c>
      <c r="AA1" s="8" t="s">
        <v>395</v>
      </c>
      <c r="AB1" s="8" t="s">
        <v>396</v>
      </c>
      <c r="AC1" s="8" t="s">
        <v>397</v>
      </c>
      <c r="AD1" s="8" t="s">
        <v>398</v>
      </c>
    </row>
    <row r="2" customFormat="false" ht="15" hidden="false" customHeight="false" outlineLevel="0" collapsed="false">
      <c r="A2" s="0" t="str">
        <f aca="false">'City Data'!A2</f>
        <v>Abidjan</v>
      </c>
      <c r="B2" s="4" t="n">
        <f aca="false">'City Data'!B2/Assumptions!$B$2</f>
        <v>17.5</v>
      </c>
      <c r="C2" s="4" t="n">
        <f aca="false">'City Data'!C2/Assumptions!$B$2</f>
        <v>37.5</v>
      </c>
      <c r="D2" s="4" t="n">
        <f aca="false">'City Data'!D2/Assumptions!$B$2</f>
        <v>110</v>
      </c>
      <c r="E2" s="4" t="n">
        <f aca="false">Assumptions!$B$3*Assumptions!$B$4*'City Data'!E2</f>
        <v>45</v>
      </c>
      <c r="F2" s="4" t="n">
        <f aca="false">Assumptions!$B$3*Assumptions!$B$5*'City Data'!E2</f>
        <v>81</v>
      </c>
      <c r="G2" s="4" t="n">
        <f aca="false">Assumptions!$B$3*Assumptions!$B$6*'City Data'!E2</f>
        <v>157.5</v>
      </c>
      <c r="H2" s="4" t="n">
        <f aca="false">Assumptions!$B$7*'City Data'!F2</f>
        <v>7</v>
      </c>
      <c r="I2" s="4" t="n">
        <f aca="false">Assumptions!$B$8*'City Data'!F2</f>
        <v>14</v>
      </c>
      <c r="J2" s="4" t="n">
        <f aca="false">Assumptions!$B$9*'City Data'!F2</f>
        <v>28</v>
      </c>
      <c r="K2" s="4" t="n">
        <f aca="false">'City Data'!G2+'City Data'!H2</f>
        <v>3.3</v>
      </c>
      <c r="L2" s="4" t="n">
        <f aca="false">IF(AND(Assumptions!$B$13,ISNUMBER('City Data'!I2)),Assumptions!$B$10*'City Data'!I2,0)</f>
        <v>3</v>
      </c>
      <c r="M2" s="4" t="n">
        <f aca="false">IF(AND(Assumptions!$B$13,ISNUMBER('City Data'!I2)),Assumptions!$B$11*'City Data'!I2,0)</f>
        <v>6</v>
      </c>
      <c r="N2" s="4" t="n">
        <f aca="false">IF(AND(Assumptions!$B$13,ISNUMBER('City Data'!I2)),Assumptions!$B$12*'City Data'!I2,0)</f>
        <v>9</v>
      </c>
      <c r="O2" s="4" t="n">
        <f aca="false">B2+E2+H2+K2</f>
        <v>72.8</v>
      </c>
      <c r="P2" s="4" t="n">
        <f aca="false">C2+F2+I2+K2</f>
        <v>135.8</v>
      </c>
      <c r="Q2" s="4" t="n">
        <f aca="false">D2+G2+J2+K2</f>
        <v>298.8</v>
      </c>
      <c r="R2" s="4" t="n">
        <f aca="false">IF(Assumptions!$B$14,Assumptions!$B$15*O2,0)</f>
        <v>7.28</v>
      </c>
      <c r="S2" s="4" t="n">
        <f aca="false">IF(Assumptions!$B$14,Assumptions!$B$16*P2,0)</f>
        <v>27.16</v>
      </c>
      <c r="T2" s="4" t="n">
        <f aca="false">IF(Assumptions!$B$14,Assumptions!$B$17*Q2,0)</f>
        <v>104.58</v>
      </c>
      <c r="U2" s="4" t="n">
        <f aca="false">O2+L2+R2</f>
        <v>83.08</v>
      </c>
      <c r="V2" s="4" t="n">
        <f aca="false">P2+M2+S2</f>
        <v>168.96</v>
      </c>
      <c r="W2" s="4" t="n">
        <f aca="false">Q2+N2+T2</f>
        <v>412.38</v>
      </c>
      <c r="X2" s="4" t="n">
        <f aca="false">'City Data'!K2</f>
        <v>50</v>
      </c>
      <c r="Y2" s="4" t="n">
        <f aca="false">'City Data'!L2</f>
        <v>120</v>
      </c>
      <c r="Z2" s="4" t="n">
        <f aca="false">'City Data'!M2</f>
        <v>355</v>
      </c>
      <c r="AA2" s="4" t="n">
        <f aca="false">U2-X2</f>
        <v>33.08</v>
      </c>
      <c r="AB2" s="4" t="n">
        <f aca="false">V2-Y2</f>
        <v>48.96</v>
      </c>
      <c r="AC2" s="4" t="n">
        <f aca="false">W2-Z2</f>
        <v>57.38</v>
      </c>
      <c r="AD2" s="4" t="str">
        <f aca="false">IF(OR(AND(X2&lt;&gt;0,ABS(AA2)&gt;Assumptions!$B$18*X2),AND(Y2&lt;&gt;0,ABS(AB2)&gt;Assumptions!$B$18*Y2),AND(Z2&lt;&gt;0,ABS(AC2)&gt;Assumptions!$B$18*Z2)),"REVIEW","")</f>
        <v>REVIEW</v>
      </c>
    </row>
    <row r="3" customFormat="false" ht="15" hidden="false" customHeight="false" outlineLevel="0" collapsed="false">
      <c r="A3" s="0" t="str">
        <f aca="false">'City Data'!A3</f>
        <v>Abu Dhabi</v>
      </c>
      <c r="B3" s="4" t="n">
        <f aca="false">'City Data'!B3/Assumptions!$B$2</f>
        <v>37.5</v>
      </c>
      <c r="C3" s="4" t="n">
        <f aca="false">'City Data'!C3/Assumptions!$B$2</f>
        <v>70</v>
      </c>
      <c r="D3" s="4" t="n">
        <f aca="false">'City Data'!D3/Assumptions!$B$2</f>
        <v>200</v>
      </c>
      <c r="E3" s="4" t="n">
        <f aca="false">Assumptions!$B$3*Assumptions!$B$4*'City Data'!E3</f>
        <v>90</v>
      </c>
      <c r="F3" s="4" t="n">
        <f aca="false">Assumptions!$B$3*Assumptions!$B$5*'City Data'!E3</f>
        <v>162</v>
      </c>
      <c r="G3" s="4" t="n">
        <f aca="false">Assumptions!$B$3*Assumptions!$B$6*'City Data'!E3</f>
        <v>315</v>
      </c>
      <c r="H3" s="4" t="n">
        <f aca="false">Assumptions!$B$7*'City Data'!F3</f>
        <v>15</v>
      </c>
      <c r="I3" s="4" t="n">
        <f aca="false">Assumptions!$B$8*'City Data'!F3</f>
        <v>30</v>
      </c>
      <c r="J3" s="4" t="n">
        <f aca="false">Assumptions!$B$9*'City Data'!F3</f>
        <v>60</v>
      </c>
      <c r="K3" s="4" t="n">
        <f aca="false">'City Data'!G3+'City Data'!H3</f>
        <v>6</v>
      </c>
      <c r="L3" s="4" t="n">
        <f aca="false">IF(AND(Assumptions!$B$13,ISNUMBER('City Data'!I3)),Assumptions!$B$10*'City Data'!I3,0)</f>
        <v>0</v>
      </c>
      <c r="M3" s="4" t="n">
        <f aca="false">IF(AND(Assumptions!$B$13,ISNUMBER('City Data'!I3)),Assumptions!$B$11*'City Data'!I3,0)</f>
        <v>0</v>
      </c>
      <c r="N3" s="4" t="n">
        <f aca="false">IF(AND(Assumptions!$B$13,ISNUMBER('City Data'!I3)),Assumptions!$B$12*'City Data'!I3,0)</f>
        <v>0</v>
      </c>
      <c r="O3" s="4" t="n">
        <f aca="false">B3+E3+H3+K3</f>
        <v>148.5</v>
      </c>
      <c r="P3" s="4" t="n">
        <f aca="false">C3+F3+I3+K3</f>
        <v>268</v>
      </c>
      <c r="Q3" s="4" t="n">
        <f aca="false">D3+G3+J3+K3</f>
        <v>581</v>
      </c>
      <c r="R3" s="4" t="n">
        <f aca="false">IF(Assumptions!$B$14,Assumptions!$B$15*O3,0)</f>
        <v>14.85</v>
      </c>
      <c r="S3" s="4" t="n">
        <f aca="false">IF(Assumptions!$B$14,Assumptions!$B$16*P3,0)</f>
        <v>53.6</v>
      </c>
      <c r="T3" s="4" t="n">
        <f aca="false">IF(Assumptions!$B$14,Assumptions!$B$17*Q3,0)</f>
        <v>203.35</v>
      </c>
      <c r="U3" s="4" t="n">
        <f aca="false">O3+L3+R3</f>
        <v>163.35</v>
      </c>
      <c r="V3" s="4" t="n">
        <f aca="false">P3+M3+S3</f>
        <v>321.6</v>
      </c>
      <c r="W3" s="4" t="n">
        <f aca="false">Q3+N3+T3</f>
        <v>784.35</v>
      </c>
      <c r="X3" s="4" t="n">
        <f aca="false">'City Data'!K3</f>
        <v>70</v>
      </c>
      <c r="Y3" s="4" t="n">
        <f aca="false">'City Data'!L3</f>
        <v>185</v>
      </c>
      <c r="Z3" s="4" t="n">
        <f aca="false">'City Data'!M3</f>
        <v>600</v>
      </c>
      <c r="AA3" s="4" t="n">
        <f aca="false">U3-X3</f>
        <v>93.35</v>
      </c>
      <c r="AB3" s="4" t="n">
        <f aca="false">V3-Y3</f>
        <v>136.6</v>
      </c>
      <c r="AC3" s="4" t="n">
        <f aca="false">W3-Z3</f>
        <v>184.35</v>
      </c>
      <c r="AD3" s="4" t="str">
        <f aca="false">IF(OR(AND(X3&lt;&gt;0,ABS(AA3)&gt;Assumptions!$B$18*X3),AND(Y3&lt;&gt;0,ABS(AB3)&gt;Assumptions!$B$18*Y3),AND(Z3&lt;&gt;0,ABS(AC3)&gt;Assumptions!$B$18*Z3)),"REVIEW","")</f>
        <v>REVIEW</v>
      </c>
    </row>
    <row r="4" customFormat="false" ht="15" hidden="false" customHeight="false" outlineLevel="0" collapsed="false">
      <c r="A4" s="0" t="str">
        <f aca="false">'City Data'!A4</f>
        <v>Accra</v>
      </c>
      <c r="B4" s="4" t="n">
        <f aca="false">'City Data'!B4/Assumptions!$B$2</f>
        <v>15</v>
      </c>
      <c r="C4" s="4" t="n">
        <f aca="false">'City Data'!C4/Assumptions!$B$2</f>
        <v>45</v>
      </c>
      <c r="D4" s="4" t="n">
        <f aca="false">'City Data'!D4/Assumptions!$B$2</f>
        <v>140</v>
      </c>
      <c r="E4" s="4" t="n">
        <f aca="false">Assumptions!$B$3*Assumptions!$B$4*'City Data'!E4</f>
        <v>36</v>
      </c>
      <c r="F4" s="4" t="n">
        <f aca="false">Assumptions!$B$3*Assumptions!$B$5*'City Data'!E4</f>
        <v>64.8</v>
      </c>
      <c r="G4" s="4" t="n">
        <f aca="false">Assumptions!$B$3*Assumptions!$B$6*'City Data'!E4</f>
        <v>126</v>
      </c>
      <c r="H4" s="4" t="n">
        <f aca="false">Assumptions!$B$7*'City Data'!F4</f>
        <v>5</v>
      </c>
      <c r="I4" s="4" t="n">
        <f aca="false">Assumptions!$B$8*'City Data'!F4</f>
        <v>10</v>
      </c>
      <c r="J4" s="4" t="n">
        <f aca="false">Assumptions!$B$9*'City Data'!F4</f>
        <v>20</v>
      </c>
      <c r="K4" s="4" t="n">
        <f aca="false">'City Data'!G4+'City Data'!H4</f>
        <v>3.8</v>
      </c>
      <c r="L4" s="4" t="n">
        <f aca="false">IF(AND(Assumptions!$B$13,ISNUMBER('City Data'!I4)),Assumptions!$B$10*'City Data'!I4,0)</f>
        <v>2.5</v>
      </c>
      <c r="M4" s="4" t="n">
        <f aca="false">IF(AND(Assumptions!$B$13,ISNUMBER('City Data'!I4)),Assumptions!$B$11*'City Data'!I4,0)</f>
        <v>5</v>
      </c>
      <c r="N4" s="4" t="n">
        <f aca="false">IF(AND(Assumptions!$B$13,ISNUMBER('City Data'!I4)),Assumptions!$B$12*'City Data'!I4,0)</f>
        <v>7.5</v>
      </c>
      <c r="O4" s="4" t="n">
        <f aca="false">B4+E4+H4+K4</f>
        <v>59.8</v>
      </c>
      <c r="P4" s="4" t="n">
        <f aca="false">C4+F4+I4+K4</f>
        <v>123.6</v>
      </c>
      <c r="Q4" s="4" t="n">
        <f aca="false">D4+G4+J4+K4</f>
        <v>289.8</v>
      </c>
      <c r="R4" s="4" t="n">
        <f aca="false">IF(Assumptions!$B$14,Assumptions!$B$15*O4,0)</f>
        <v>5.98</v>
      </c>
      <c r="S4" s="4" t="n">
        <f aca="false">IF(Assumptions!$B$14,Assumptions!$B$16*P4,0)</f>
        <v>24.72</v>
      </c>
      <c r="T4" s="4" t="n">
        <f aca="false">IF(Assumptions!$B$14,Assumptions!$B$17*Q4,0)</f>
        <v>101.43</v>
      </c>
      <c r="U4" s="4" t="n">
        <f aca="false">O4+L4+R4</f>
        <v>68.28</v>
      </c>
      <c r="V4" s="4" t="n">
        <f aca="false">P4+M4+S4</f>
        <v>153.32</v>
      </c>
      <c r="W4" s="4" t="n">
        <f aca="false">Q4+N4+T4</f>
        <v>398.73</v>
      </c>
      <c r="X4" s="4" t="n">
        <f aca="false">'City Data'!K4</f>
        <v>45</v>
      </c>
      <c r="Y4" s="4" t="n">
        <f aca="false">'City Data'!L4</f>
        <v>115</v>
      </c>
      <c r="Z4" s="4" t="n">
        <f aca="false">'City Data'!M4</f>
        <v>350</v>
      </c>
      <c r="AA4" s="4" t="n">
        <f aca="false">U4-X4</f>
        <v>23.28</v>
      </c>
      <c r="AB4" s="4" t="n">
        <f aca="false">V4-Y4</f>
        <v>38.32</v>
      </c>
      <c r="AC4" s="4" t="n">
        <f aca="false">W4-Z4</f>
        <v>48.73</v>
      </c>
      <c r="AD4" s="4" t="str">
        <f aca="false">IF(OR(AND(X4&lt;&gt;0,ABS(AA4)&gt;Assumptions!$B$18*X4),AND(Y4&lt;&gt;0,ABS(AB4)&gt;Assumptions!$B$18*Y4),AND(Z4&lt;&gt;0,ABS(AC4)&gt;Assumptions!$B$18*Z4)),"REVIEW","")</f>
        <v>REVIEW</v>
      </c>
    </row>
    <row r="5" customFormat="false" ht="15" hidden="false" customHeight="false" outlineLevel="0" collapsed="false">
      <c r="A5" s="0" t="str">
        <f aca="false">'City Data'!A5</f>
        <v>Addis Ababa</v>
      </c>
      <c r="B5" s="4" t="n">
        <f aca="false">'City Data'!B5/Assumptions!$B$2</f>
        <v>7.5</v>
      </c>
      <c r="C5" s="4" t="n">
        <f aca="false">'City Data'!C5/Assumptions!$B$2</f>
        <v>35</v>
      </c>
      <c r="D5" s="4" t="n">
        <f aca="false">'City Data'!D5/Assumptions!$B$2</f>
        <v>140</v>
      </c>
      <c r="E5" s="4" t="n">
        <f aca="false">Assumptions!$B$3*Assumptions!$B$4*'City Data'!E5</f>
        <v>24</v>
      </c>
      <c r="F5" s="4" t="n">
        <f aca="false">Assumptions!$B$3*Assumptions!$B$5*'City Data'!E5</f>
        <v>43.2</v>
      </c>
      <c r="G5" s="4" t="n">
        <f aca="false">Assumptions!$B$3*Assumptions!$B$6*'City Data'!E5</f>
        <v>84</v>
      </c>
      <c r="H5" s="4" t="n">
        <f aca="false">Assumptions!$B$7*'City Data'!F5</f>
        <v>4</v>
      </c>
      <c r="I5" s="4" t="n">
        <f aca="false">Assumptions!$B$8*'City Data'!F5</f>
        <v>8</v>
      </c>
      <c r="J5" s="4" t="n">
        <f aca="false">Assumptions!$B$9*'City Data'!F5</f>
        <v>16</v>
      </c>
      <c r="K5" s="4" t="n">
        <f aca="false">'City Data'!G5+'City Data'!H5</f>
        <v>1.54</v>
      </c>
      <c r="L5" s="4" t="n">
        <f aca="false">IF(AND(Assumptions!$B$13,ISNUMBER('City Data'!I5)),Assumptions!$B$10*'City Data'!I5,0)</f>
        <v>0.95</v>
      </c>
      <c r="M5" s="4" t="n">
        <f aca="false">IF(AND(Assumptions!$B$13,ISNUMBER('City Data'!I5)),Assumptions!$B$11*'City Data'!I5,0)</f>
        <v>1.9</v>
      </c>
      <c r="N5" s="4" t="n">
        <f aca="false">IF(AND(Assumptions!$B$13,ISNUMBER('City Data'!I5)),Assumptions!$B$12*'City Data'!I5,0)</f>
        <v>2.85</v>
      </c>
      <c r="O5" s="4" t="n">
        <f aca="false">B5+E5+H5+K5</f>
        <v>37.04</v>
      </c>
      <c r="P5" s="4" t="n">
        <f aca="false">C5+F5+I5+K5</f>
        <v>87.74</v>
      </c>
      <c r="Q5" s="4" t="n">
        <f aca="false">D5+G5+J5+K5</f>
        <v>241.54</v>
      </c>
      <c r="R5" s="4" t="n">
        <f aca="false">IF(Assumptions!$B$14,Assumptions!$B$15*O5,0)</f>
        <v>3.704</v>
      </c>
      <c r="S5" s="4" t="n">
        <f aca="false">IF(Assumptions!$B$14,Assumptions!$B$16*P5,0)</f>
        <v>17.548</v>
      </c>
      <c r="T5" s="4" t="n">
        <f aca="false">IF(Assumptions!$B$14,Assumptions!$B$17*Q5,0)</f>
        <v>84.539</v>
      </c>
      <c r="U5" s="4" t="n">
        <f aca="false">O5+L5+R5</f>
        <v>41.694</v>
      </c>
      <c r="V5" s="4" t="n">
        <f aca="false">P5+M5+S5</f>
        <v>107.188</v>
      </c>
      <c r="W5" s="4" t="n">
        <f aca="false">Q5+N5+T5</f>
        <v>328.929</v>
      </c>
      <c r="X5" s="4" t="n">
        <f aca="false">'City Data'!K5</f>
        <v>35</v>
      </c>
      <c r="Y5" s="4" t="n">
        <f aca="false">'City Data'!L5</f>
        <v>90</v>
      </c>
      <c r="Z5" s="4" t="n">
        <f aca="false">'City Data'!M5</f>
        <v>295</v>
      </c>
      <c r="AA5" s="4" t="n">
        <f aca="false">U5-X5</f>
        <v>6.694</v>
      </c>
      <c r="AB5" s="4" t="n">
        <f aca="false">V5-Y5</f>
        <v>17.188</v>
      </c>
      <c r="AC5" s="4" t="n">
        <f aca="false">W5-Z5</f>
        <v>33.929</v>
      </c>
      <c r="AD5" s="4" t="str">
        <f aca="false">IF(OR(AND(X5&lt;&gt;0,ABS(AA5)&gt;Assumptions!$B$18*X5),AND(Y5&lt;&gt;0,ABS(AB5)&gt;Assumptions!$B$18*Y5),AND(Z5&lt;&gt;0,ABS(AC5)&gt;Assumptions!$B$18*Z5)),"REVIEW","")</f>
        <v/>
      </c>
    </row>
    <row r="6" customFormat="false" ht="15" hidden="false" customHeight="false" outlineLevel="0" collapsed="false">
      <c r="A6" s="0" t="str">
        <f aca="false">'City Data'!A6</f>
        <v>Ahmedabad</v>
      </c>
      <c r="B6" s="4" t="n">
        <f aca="false">'City Data'!B6/Assumptions!$B$2</f>
        <v>7.5</v>
      </c>
      <c r="C6" s="4" t="n">
        <f aca="false">'City Data'!C6/Assumptions!$B$2</f>
        <v>20</v>
      </c>
      <c r="D6" s="4" t="n">
        <f aca="false">'City Data'!D6/Assumptions!$B$2</f>
        <v>55</v>
      </c>
      <c r="E6" s="4" t="n">
        <f aca="false">Assumptions!$B$3*Assumptions!$B$4*'City Data'!E6</f>
        <v>12</v>
      </c>
      <c r="F6" s="4" t="n">
        <f aca="false">Assumptions!$B$3*Assumptions!$B$5*'City Data'!E6</f>
        <v>21.6</v>
      </c>
      <c r="G6" s="4" t="n">
        <f aca="false">Assumptions!$B$3*Assumptions!$B$6*'City Data'!E6</f>
        <v>42</v>
      </c>
      <c r="H6" s="4" t="n">
        <f aca="false">Assumptions!$B$7*'City Data'!F6</f>
        <v>3</v>
      </c>
      <c r="I6" s="4" t="n">
        <f aca="false">Assumptions!$B$8*'City Data'!F6</f>
        <v>6</v>
      </c>
      <c r="J6" s="4" t="n">
        <f aca="false">Assumptions!$B$9*'City Data'!F6</f>
        <v>12</v>
      </c>
      <c r="K6" s="4" t="n">
        <f aca="false">'City Data'!G6+'City Data'!H6</f>
        <v>1.8</v>
      </c>
      <c r="L6" s="4" t="n">
        <f aca="false">IF(AND(Assumptions!$B$13,ISNUMBER('City Data'!I6)),Assumptions!$B$10*'City Data'!I6,0)</f>
        <v>6</v>
      </c>
      <c r="M6" s="4" t="n">
        <f aca="false">IF(AND(Assumptions!$B$13,ISNUMBER('City Data'!I6)),Assumptions!$B$11*'City Data'!I6,0)</f>
        <v>12</v>
      </c>
      <c r="N6" s="4" t="n">
        <f aca="false">IF(AND(Assumptions!$B$13,ISNUMBER('City Data'!I6)),Assumptions!$B$12*'City Data'!I6,0)</f>
        <v>18</v>
      </c>
      <c r="O6" s="4" t="n">
        <f aca="false">B6+E6+H6+K6</f>
        <v>24.3</v>
      </c>
      <c r="P6" s="4" t="n">
        <f aca="false">C6+F6+I6+K6</f>
        <v>49.4</v>
      </c>
      <c r="Q6" s="4" t="n">
        <f aca="false">D6+G6+J6+K6</f>
        <v>110.8</v>
      </c>
      <c r="R6" s="4" t="n">
        <f aca="false">IF(Assumptions!$B$14,Assumptions!$B$15*O6,0)</f>
        <v>2.43</v>
      </c>
      <c r="S6" s="4" t="n">
        <f aca="false">IF(Assumptions!$B$14,Assumptions!$B$16*P6,0)</f>
        <v>9.88</v>
      </c>
      <c r="T6" s="4" t="n">
        <f aca="false">IF(Assumptions!$B$14,Assumptions!$B$17*Q6,0)</f>
        <v>38.78</v>
      </c>
      <c r="U6" s="4" t="n">
        <f aca="false">O6+L6+R6</f>
        <v>32.73</v>
      </c>
      <c r="V6" s="4" t="n">
        <f aca="false">P6+M6+S6</f>
        <v>71.28</v>
      </c>
      <c r="W6" s="4" t="n">
        <f aca="false">Q6+N6+T6</f>
        <v>167.58</v>
      </c>
      <c r="X6" s="4" t="n">
        <f aca="false">'City Data'!K6</f>
        <v>25</v>
      </c>
      <c r="Y6" s="4" t="n">
        <f aca="false">'City Data'!L6</f>
        <v>60</v>
      </c>
      <c r="Z6" s="4" t="n">
        <f aca="false">'City Data'!M6</f>
        <v>180</v>
      </c>
      <c r="AA6" s="4" t="n">
        <f aca="false">U6-X6</f>
        <v>7.73</v>
      </c>
      <c r="AB6" s="4" t="n">
        <f aca="false">V6-Y6</f>
        <v>11.28</v>
      </c>
      <c r="AC6" s="4" t="n">
        <f aca="false">W6-Z6</f>
        <v>-12.42</v>
      </c>
      <c r="AD6" s="4" t="str">
        <f aca="false">IF(OR(AND(X6&lt;&gt;0,ABS(AA6)&gt;Assumptions!$B$18*X6),AND(Y6&lt;&gt;0,ABS(AB6)&gt;Assumptions!$B$18*Y6),AND(Z6&lt;&gt;0,ABS(AC6)&gt;Assumptions!$B$18*Z6)),"REVIEW","")</f>
        <v>REVIEW</v>
      </c>
    </row>
    <row r="7" customFormat="false" ht="15" hidden="false" customHeight="false" outlineLevel="0" collapsed="false">
      <c r="A7" s="0" t="str">
        <f aca="false">'City Data'!A7</f>
        <v>Alexandria</v>
      </c>
      <c r="B7" s="4" t="n">
        <f aca="false">'City Data'!B7/Assumptions!$B$2</f>
        <v>10</v>
      </c>
      <c r="C7" s="4" t="n">
        <f aca="false">'City Data'!C7/Assumptions!$B$2</f>
        <v>35</v>
      </c>
      <c r="D7" s="4" t="n">
        <f aca="false">'City Data'!D7/Assumptions!$B$2</f>
        <v>90</v>
      </c>
      <c r="E7" s="4" t="n">
        <f aca="false">Assumptions!$B$3*Assumptions!$B$4*'City Data'!E7</f>
        <v>18</v>
      </c>
      <c r="F7" s="4" t="n">
        <f aca="false">Assumptions!$B$3*Assumptions!$B$5*'City Data'!E7</f>
        <v>32.4</v>
      </c>
      <c r="G7" s="4" t="n">
        <f aca="false">Assumptions!$B$3*Assumptions!$B$6*'City Data'!E7</f>
        <v>63</v>
      </c>
      <c r="H7" s="4" t="n">
        <f aca="false">Assumptions!$B$7*'City Data'!F7</f>
        <v>3</v>
      </c>
      <c r="I7" s="4" t="n">
        <f aca="false">Assumptions!$B$8*'City Data'!F7</f>
        <v>6</v>
      </c>
      <c r="J7" s="4" t="n">
        <f aca="false">Assumptions!$B$9*'City Data'!F7</f>
        <v>12</v>
      </c>
      <c r="K7" s="4" t="n">
        <f aca="false">'City Data'!G7+'City Data'!H7</f>
        <v>1.9</v>
      </c>
      <c r="L7" s="4" t="n">
        <f aca="false">IF(AND(Assumptions!$B$13,ISNUMBER('City Data'!I7)),Assumptions!$B$10*'City Data'!I7,0)</f>
        <v>3</v>
      </c>
      <c r="M7" s="4" t="n">
        <f aca="false">IF(AND(Assumptions!$B$13,ISNUMBER('City Data'!I7)),Assumptions!$B$11*'City Data'!I7,0)</f>
        <v>6</v>
      </c>
      <c r="N7" s="4" t="n">
        <f aca="false">IF(AND(Assumptions!$B$13,ISNUMBER('City Data'!I7)),Assumptions!$B$12*'City Data'!I7,0)</f>
        <v>9</v>
      </c>
      <c r="O7" s="4" t="n">
        <f aca="false">B7+E7+H7+K7</f>
        <v>32.9</v>
      </c>
      <c r="P7" s="4" t="n">
        <f aca="false">C7+F7+I7+K7</f>
        <v>75.3</v>
      </c>
      <c r="Q7" s="4" t="n">
        <f aca="false">D7+G7+J7+K7</f>
        <v>166.9</v>
      </c>
      <c r="R7" s="4" t="n">
        <f aca="false">IF(Assumptions!$B$14,Assumptions!$B$15*O7,0)</f>
        <v>3.29</v>
      </c>
      <c r="S7" s="4" t="n">
        <f aca="false">IF(Assumptions!$B$14,Assumptions!$B$16*P7,0)</f>
        <v>15.06</v>
      </c>
      <c r="T7" s="4" t="n">
        <f aca="false">IF(Assumptions!$B$14,Assumptions!$B$17*Q7,0)</f>
        <v>58.415</v>
      </c>
      <c r="U7" s="4" t="n">
        <f aca="false">O7+L7+R7</f>
        <v>39.19</v>
      </c>
      <c r="V7" s="4" t="n">
        <f aca="false">P7+M7+S7</f>
        <v>96.36</v>
      </c>
      <c r="W7" s="4" t="n">
        <f aca="false">Q7+N7+T7</f>
        <v>234.315</v>
      </c>
      <c r="X7" s="4" t="n">
        <f aca="false">'City Data'!K7</f>
        <v>30</v>
      </c>
      <c r="Y7" s="4" t="n">
        <f aca="false">'City Data'!L7</f>
        <v>75</v>
      </c>
      <c r="Z7" s="4" t="n">
        <f aca="false">'City Data'!M7</f>
        <v>250</v>
      </c>
      <c r="AA7" s="4" t="n">
        <f aca="false">U7-X7</f>
        <v>9.19</v>
      </c>
      <c r="AB7" s="4" t="n">
        <f aca="false">V7-Y7</f>
        <v>21.36</v>
      </c>
      <c r="AC7" s="4" t="n">
        <f aca="false">W7-Z7</f>
        <v>-15.685</v>
      </c>
      <c r="AD7" s="4" t="str">
        <f aca="false">IF(OR(AND(X7&lt;&gt;0,ABS(AA7)&gt;Assumptions!$B$18*X7),AND(Y7&lt;&gt;0,ABS(AB7)&gt;Assumptions!$B$18*Y7),AND(Z7&lt;&gt;0,ABS(AC7)&gt;Assumptions!$B$18*Z7)),"REVIEW","")</f>
        <v>REVIEW</v>
      </c>
    </row>
    <row r="8" customFormat="false" ht="15" hidden="false" customHeight="false" outlineLevel="0" collapsed="false">
      <c r="A8" s="0" t="str">
        <f aca="false">'City Data'!A8</f>
        <v>Algiers</v>
      </c>
      <c r="B8" s="4" t="n">
        <f aca="false">'City Data'!B8/Assumptions!$B$2</f>
        <v>17.5</v>
      </c>
      <c r="C8" s="4" t="n">
        <f aca="false">'City Data'!C8/Assumptions!$B$2</f>
        <v>32.5</v>
      </c>
      <c r="D8" s="4" t="n">
        <f aca="false">'City Data'!D8/Assumptions!$B$2</f>
        <v>90</v>
      </c>
      <c r="E8" s="4" t="n">
        <f aca="false">Assumptions!$B$3*Assumptions!$B$4*'City Data'!E8</f>
        <v>27</v>
      </c>
      <c r="F8" s="4" t="n">
        <f aca="false">Assumptions!$B$3*Assumptions!$B$5*'City Data'!E8</f>
        <v>48.6</v>
      </c>
      <c r="G8" s="4" t="n">
        <f aca="false">Assumptions!$B$3*Assumptions!$B$6*'City Data'!E8</f>
        <v>94.5</v>
      </c>
      <c r="H8" s="4" t="n">
        <f aca="false">Assumptions!$B$7*'City Data'!F8</f>
        <v>5</v>
      </c>
      <c r="I8" s="4" t="n">
        <f aca="false">Assumptions!$B$8*'City Data'!F8</f>
        <v>10</v>
      </c>
      <c r="J8" s="4" t="n">
        <f aca="false">Assumptions!$B$9*'City Data'!F8</f>
        <v>20</v>
      </c>
      <c r="K8" s="4" t="n">
        <f aca="false">'City Data'!G8+'City Data'!H8</f>
        <v>1.8</v>
      </c>
      <c r="L8" s="4" t="n">
        <f aca="false">IF(AND(Assumptions!$B$13,ISNUMBER('City Data'!I8)),Assumptions!$B$10*'City Data'!I8,0)</f>
        <v>4</v>
      </c>
      <c r="M8" s="4" t="n">
        <f aca="false">IF(AND(Assumptions!$B$13,ISNUMBER('City Data'!I8)),Assumptions!$B$11*'City Data'!I8,0)</f>
        <v>8</v>
      </c>
      <c r="N8" s="4" t="n">
        <f aca="false">IF(AND(Assumptions!$B$13,ISNUMBER('City Data'!I8)),Assumptions!$B$12*'City Data'!I8,0)</f>
        <v>12</v>
      </c>
      <c r="O8" s="4" t="n">
        <f aca="false">B8+E8+H8+K8</f>
        <v>51.3</v>
      </c>
      <c r="P8" s="4" t="n">
        <f aca="false">C8+F8+I8+K8</f>
        <v>92.9</v>
      </c>
      <c r="Q8" s="4" t="n">
        <f aca="false">D8+G8+J8+K8</f>
        <v>206.3</v>
      </c>
      <c r="R8" s="4" t="n">
        <f aca="false">IF(Assumptions!$B$14,Assumptions!$B$15*O8,0)</f>
        <v>5.13</v>
      </c>
      <c r="S8" s="4" t="n">
        <f aca="false">IF(Assumptions!$B$14,Assumptions!$B$16*P8,0)</f>
        <v>18.58</v>
      </c>
      <c r="T8" s="4" t="n">
        <f aca="false">IF(Assumptions!$B$14,Assumptions!$B$17*Q8,0)</f>
        <v>72.205</v>
      </c>
      <c r="U8" s="4" t="n">
        <f aca="false">O8+L8+R8</f>
        <v>60.43</v>
      </c>
      <c r="V8" s="4" t="n">
        <f aca="false">P8+M8+S8</f>
        <v>119.48</v>
      </c>
      <c r="W8" s="4" t="n">
        <f aca="false">Q8+N8+T8</f>
        <v>290.505</v>
      </c>
      <c r="X8" s="4" t="n">
        <f aca="false">'City Data'!K8</f>
        <v>40</v>
      </c>
      <c r="Y8" s="4" t="n">
        <f aca="false">'City Data'!L8</f>
        <v>100</v>
      </c>
      <c r="Z8" s="4" t="n">
        <f aca="false">'City Data'!M8</f>
        <v>285</v>
      </c>
      <c r="AA8" s="4" t="n">
        <f aca="false">U8-X8</f>
        <v>20.43</v>
      </c>
      <c r="AB8" s="4" t="n">
        <f aca="false">V8-Y8</f>
        <v>19.48</v>
      </c>
      <c r="AC8" s="4" t="n">
        <f aca="false">W8-Z8</f>
        <v>5.505</v>
      </c>
      <c r="AD8" s="4" t="str">
        <f aca="false">IF(OR(AND(X8&lt;&gt;0,ABS(AA8)&gt;Assumptions!$B$18*X8),AND(Y8&lt;&gt;0,ABS(AB8)&gt;Assumptions!$B$18*Y8),AND(Z8&lt;&gt;0,ABS(AC8)&gt;Assumptions!$B$18*Z8)),"REVIEW","")</f>
        <v>REVIEW</v>
      </c>
    </row>
    <row r="9" customFormat="false" ht="15" hidden="false" customHeight="false" outlineLevel="0" collapsed="false">
      <c r="A9" s="0" t="str">
        <f aca="false">'City Data'!A9</f>
        <v>Almaty</v>
      </c>
      <c r="B9" s="4" t="n">
        <f aca="false">'City Data'!B9/Assumptions!$B$2</f>
        <v>12.5</v>
      </c>
      <c r="C9" s="4" t="n">
        <f aca="false">'City Data'!C9/Assumptions!$B$2</f>
        <v>36</v>
      </c>
      <c r="D9" s="4" t="n">
        <f aca="false">'City Data'!D9/Assumptions!$B$2</f>
        <v>110</v>
      </c>
      <c r="E9" s="4" t="n">
        <f aca="false">Assumptions!$B$3*Assumptions!$B$4*'City Data'!E9</f>
        <v>45</v>
      </c>
      <c r="F9" s="4" t="n">
        <f aca="false">Assumptions!$B$3*Assumptions!$B$5*'City Data'!E9</f>
        <v>81</v>
      </c>
      <c r="G9" s="4" t="n">
        <f aca="false">Assumptions!$B$3*Assumptions!$B$6*'City Data'!E9</f>
        <v>157.5</v>
      </c>
      <c r="H9" s="4" t="n">
        <f aca="false">Assumptions!$B$7*'City Data'!F9</f>
        <v>4</v>
      </c>
      <c r="I9" s="4" t="n">
        <f aca="false">Assumptions!$B$8*'City Data'!F9</f>
        <v>8</v>
      </c>
      <c r="J9" s="4" t="n">
        <f aca="false">Assumptions!$B$9*'City Data'!F9</f>
        <v>16</v>
      </c>
      <c r="K9" s="4" t="n">
        <f aca="false">'City Data'!G9+'City Data'!H9</f>
        <v>2.9</v>
      </c>
      <c r="L9" s="4" t="n">
        <f aca="false">IF(AND(Assumptions!$B$13,ISNUMBER('City Data'!I9)),Assumptions!$B$10*'City Data'!I9,0)</f>
        <v>2</v>
      </c>
      <c r="M9" s="4" t="n">
        <f aca="false">IF(AND(Assumptions!$B$13,ISNUMBER('City Data'!I9)),Assumptions!$B$11*'City Data'!I9,0)</f>
        <v>4</v>
      </c>
      <c r="N9" s="4" t="n">
        <f aca="false">IF(AND(Assumptions!$B$13,ISNUMBER('City Data'!I9)),Assumptions!$B$12*'City Data'!I9,0)</f>
        <v>6</v>
      </c>
      <c r="O9" s="4" t="n">
        <f aca="false">B9+E9+H9+K9</f>
        <v>64.4</v>
      </c>
      <c r="P9" s="4" t="n">
        <f aca="false">C9+F9+I9+K9</f>
        <v>127.9</v>
      </c>
      <c r="Q9" s="4" t="n">
        <f aca="false">D9+G9+J9+K9</f>
        <v>286.4</v>
      </c>
      <c r="R9" s="4" t="n">
        <f aca="false">IF(Assumptions!$B$14,Assumptions!$B$15*O9,0)</f>
        <v>6.44</v>
      </c>
      <c r="S9" s="4" t="n">
        <f aca="false">IF(Assumptions!$B$14,Assumptions!$B$16*P9,0)</f>
        <v>25.58</v>
      </c>
      <c r="T9" s="4" t="n">
        <f aca="false">IF(Assumptions!$B$14,Assumptions!$B$17*Q9,0)</f>
        <v>100.24</v>
      </c>
      <c r="U9" s="4" t="n">
        <f aca="false">O9+L9+R9</f>
        <v>72.84</v>
      </c>
      <c r="V9" s="4" t="n">
        <f aca="false">P9+M9+S9</f>
        <v>157.48</v>
      </c>
      <c r="W9" s="4" t="n">
        <f aca="false">Q9+N9+T9</f>
        <v>392.64</v>
      </c>
      <c r="X9" s="4" t="n">
        <f aca="false">'City Data'!K9</f>
        <v>45</v>
      </c>
      <c r="Y9" s="4" t="n">
        <f aca="false">'City Data'!L9</f>
        <v>110</v>
      </c>
      <c r="Z9" s="4" t="n">
        <f aca="false">'City Data'!M9</f>
        <v>335</v>
      </c>
      <c r="AA9" s="4" t="n">
        <f aca="false">U9-X9</f>
        <v>27.84</v>
      </c>
      <c r="AB9" s="4" t="n">
        <f aca="false">V9-Y9</f>
        <v>47.48</v>
      </c>
      <c r="AC9" s="4" t="n">
        <f aca="false">W9-Z9</f>
        <v>57.64</v>
      </c>
      <c r="AD9" s="4" t="str">
        <f aca="false">IF(OR(AND(X9&lt;&gt;0,ABS(AA9)&gt;Assumptions!$B$18*X9),AND(Y9&lt;&gt;0,ABS(AB9)&gt;Assumptions!$B$18*Y9),AND(Z9&lt;&gt;0,ABS(AC9)&gt;Assumptions!$B$18*Z9)),"REVIEW","")</f>
        <v>REVIEW</v>
      </c>
    </row>
    <row r="10" customFormat="false" ht="15" hidden="false" customHeight="false" outlineLevel="0" collapsed="false">
      <c r="A10" s="0" t="str">
        <f aca="false">'City Data'!A10</f>
        <v>Amman</v>
      </c>
      <c r="B10" s="4" t="n">
        <f aca="false">'City Data'!B10/Assumptions!$B$2</f>
        <v>20</v>
      </c>
      <c r="C10" s="4" t="n">
        <f aca="false">'City Data'!C10/Assumptions!$B$2</f>
        <v>45</v>
      </c>
      <c r="D10" s="4" t="n">
        <f aca="false">'City Data'!D10/Assumptions!$B$2</f>
        <v>110</v>
      </c>
      <c r="E10" s="4" t="n">
        <f aca="false">Assumptions!$B$3*Assumptions!$B$4*'City Data'!E10</f>
        <v>54</v>
      </c>
      <c r="F10" s="4" t="n">
        <f aca="false">Assumptions!$B$3*Assumptions!$B$5*'City Data'!E10</f>
        <v>97.2</v>
      </c>
      <c r="G10" s="4" t="n">
        <f aca="false">Assumptions!$B$3*Assumptions!$B$6*'City Data'!E10</f>
        <v>189</v>
      </c>
      <c r="H10" s="4" t="n">
        <f aca="false">Assumptions!$B$7*'City Data'!F10</f>
        <v>5</v>
      </c>
      <c r="I10" s="4" t="n">
        <f aca="false">Assumptions!$B$8*'City Data'!F10</f>
        <v>10</v>
      </c>
      <c r="J10" s="4" t="n">
        <f aca="false">Assumptions!$B$9*'City Data'!F10</f>
        <v>20</v>
      </c>
      <c r="K10" s="4" t="n">
        <f aca="false">'City Data'!G10+'City Data'!H10</f>
        <v>4</v>
      </c>
      <c r="L10" s="4" t="n">
        <f aca="false">IF(AND(Assumptions!$B$13,ISNUMBER('City Data'!I10)),Assumptions!$B$10*'City Data'!I10,0)</f>
        <v>7</v>
      </c>
      <c r="M10" s="4" t="n">
        <f aca="false">IF(AND(Assumptions!$B$13,ISNUMBER('City Data'!I10)),Assumptions!$B$11*'City Data'!I10,0)</f>
        <v>14</v>
      </c>
      <c r="N10" s="4" t="n">
        <f aca="false">IF(AND(Assumptions!$B$13,ISNUMBER('City Data'!I10)),Assumptions!$B$12*'City Data'!I10,0)</f>
        <v>21</v>
      </c>
      <c r="O10" s="4" t="n">
        <f aca="false">B10+E10+H10+K10</f>
        <v>83</v>
      </c>
      <c r="P10" s="4" t="n">
        <f aca="false">C10+F10+I10+K10</f>
        <v>156.2</v>
      </c>
      <c r="Q10" s="4" t="n">
        <f aca="false">D10+G10+J10+K10</f>
        <v>323</v>
      </c>
      <c r="R10" s="4" t="n">
        <f aca="false">IF(Assumptions!$B$14,Assumptions!$B$15*O10,0)</f>
        <v>8.3</v>
      </c>
      <c r="S10" s="4" t="n">
        <f aca="false">IF(Assumptions!$B$14,Assumptions!$B$16*P10,0)</f>
        <v>31.24</v>
      </c>
      <c r="T10" s="4" t="n">
        <f aca="false">IF(Assumptions!$B$14,Assumptions!$B$17*Q10,0)</f>
        <v>113.05</v>
      </c>
      <c r="U10" s="4" t="n">
        <f aca="false">O10+L10+R10</f>
        <v>98.3</v>
      </c>
      <c r="V10" s="4" t="n">
        <f aca="false">P10+M10+S10</f>
        <v>201.44</v>
      </c>
      <c r="W10" s="4" t="n">
        <f aca="false">Q10+N10+T10</f>
        <v>457.05</v>
      </c>
      <c r="X10" s="4" t="n">
        <f aca="false">'City Data'!K10</f>
        <v>50</v>
      </c>
      <c r="Y10" s="4" t="n">
        <f aca="false">'City Data'!L10</f>
        <v>130</v>
      </c>
      <c r="Z10" s="4" t="n">
        <f aca="false">'City Data'!M10</f>
        <v>385</v>
      </c>
      <c r="AA10" s="4" t="n">
        <f aca="false">U10-X10</f>
        <v>48.3</v>
      </c>
      <c r="AB10" s="4" t="n">
        <f aca="false">V10-Y10</f>
        <v>71.44</v>
      </c>
      <c r="AC10" s="4" t="n">
        <f aca="false">W10-Z10</f>
        <v>72.05</v>
      </c>
      <c r="AD10" s="4" t="str">
        <f aca="false">IF(OR(AND(X10&lt;&gt;0,ABS(AA10)&gt;Assumptions!$B$18*X10),AND(Y10&lt;&gt;0,ABS(AB10)&gt;Assumptions!$B$18*Y10),AND(Z10&lt;&gt;0,ABS(AC10)&gt;Assumptions!$B$18*Z10)),"REVIEW","")</f>
        <v>REVIEW</v>
      </c>
    </row>
    <row r="11" customFormat="false" ht="15" hidden="false" customHeight="false" outlineLevel="0" collapsed="false">
      <c r="A11" s="0" t="str">
        <f aca="false">'City Data'!A11</f>
        <v>Amsterdam</v>
      </c>
      <c r="B11" s="4" t="n">
        <f aca="false">'City Data'!B11/Assumptions!$B$2</f>
        <v>40</v>
      </c>
      <c r="C11" s="4" t="n">
        <f aca="false">'City Data'!C11/Assumptions!$B$2</f>
        <v>80</v>
      </c>
      <c r="D11" s="4" t="n">
        <f aca="false">'City Data'!D11/Assumptions!$B$2</f>
        <v>190</v>
      </c>
      <c r="E11" s="4" t="n">
        <f aca="false">Assumptions!$B$3*Assumptions!$B$4*'City Data'!E11</f>
        <v>84</v>
      </c>
      <c r="F11" s="4" t="n">
        <f aca="false">Assumptions!$B$3*Assumptions!$B$5*'City Data'!E11</f>
        <v>151.2</v>
      </c>
      <c r="G11" s="4" t="n">
        <f aca="false">Assumptions!$B$3*Assumptions!$B$6*'City Data'!E11</f>
        <v>294</v>
      </c>
      <c r="H11" s="4" t="n">
        <f aca="false">Assumptions!$B$7*'City Data'!F11</f>
        <v>25</v>
      </c>
      <c r="I11" s="4" t="n">
        <f aca="false">Assumptions!$B$8*'City Data'!F11</f>
        <v>50</v>
      </c>
      <c r="J11" s="4" t="n">
        <f aca="false">Assumptions!$B$9*'City Data'!F11</f>
        <v>100</v>
      </c>
      <c r="K11" s="4" t="n">
        <f aca="false">'City Data'!G11+'City Data'!H11</f>
        <v>5</v>
      </c>
      <c r="L11" s="4" t="n">
        <f aca="false">IF(AND(Assumptions!$B$13,ISNUMBER('City Data'!I11)),Assumptions!$B$10*'City Data'!I11,0)</f>
        <v>6</v>
      </c>
      <c r="M11" s="4" t="n">
        <f aca="false">IF(AND(Assumptions!$B$13,ISNUMBER('City Data'!I11)),Assumptions!$B$11*'City Data'!I11,0)</f>
        <v>12</v>
      </c>
      <c r="N11" s="4" t="n">
        <f aca="false">IF(AND(Assumptions!$B$13,ISNUMBER('City Data'!I11)),Assumptions!$B$12*'City Data'!I11,0)</f>
        <v>18</v>
      </c>
      <c r="O11" s="4" t="n">
        <f aca="false">B11+E11+H11+K11</f>
        <v>154</v>
      </c>
      <c r="P11" s="4" t="n">
        <f aca="false">C11+F11+I11+K11</f>
        <v>286.2</v>
      </c>
      <c r="Q11" s="4" t="n">
        <f aca="false">D11+G11+J11+K11</f>
        <v>589</v>
      </c>
      <c r="R11" s="4" t="n">
        <f aca="false">IF(Assumptions!$B$14,Assumptions!$B$15*O11,0)</f>
        <v>15.4</v>
      </c>
      <c r="S11" s="4" t="n">
        <f aca="false">IF(Assumptions!$B$14,Assumptions!$B$16*P11,0)</f>
        <v>57.24</v>
      </c>
      <c r="T11" s="4" t="n">
        <f aca="false">IF(Assumptions!$B$14,Assumptions!$B$17*Q11,0)</f>
        <v>206.15</v>
      </c>
      <c r="U11" s="4" t="n">
        <f aca="false">O11+L11+R11</f>
        <v>175.4</v>
      </c>
      <c r="V11" s="4" t="n">
        <f aca="false">P11+M11+S11</f>
        <v>355.44</v>
      </c>
      <c r="W11" s="4" t="n">
        <f aca="false">Q11+N11+T11</f>
        <v>813.15</v>
      </c>
      <c r="X11" s="4" t="n">
        <f aca="false">'City Data'!K11</f>
        <v>90</v>
      </c>
      <c r="Y11" s="4" t="n">
        <f aca="false">'City Data'!L11</f>
        <v>220</v>
      </c>
      <c r="Z11" s="4" t="n">
        <f aca="false">'City Data'!M11</f>
        <v>600</v>
      </c>
      <c r="AA11" s="4" t="n">
        <f aca="false">U11-X11</f>
        <v>85.4</v>
      </c>
      <c r="AB11" s="4" t="n">
        <f aca="false">V11-Y11</f>
        <v>135.44</v>
      </c>
      <c r="AC11" s="4" t="n">
        <f aca="false">W11-Z11</f>
        <v>213.15</v>
      </c>
      <c r="AD11" s="4" t="str">
        <f aca="false">IF(OR(AND(X11&lt;&gt;0,ABS(AA11)&gt;Assumptions!$B$18*X11),AND(Y11&lt;&gt;0,ABS(AB11)&gt;Assumptions!$B$18*Y11),AND(Z11&lt;&gt;0,ABS(AC11)&gt;Assumptions!$B$18*Z11)),"REVIEW","")</f>
        <v>REVIEW</v>
      </c>
    </row>
    <row r="12" customFormat="false" ht="15" hidden="false" customHeight="false" outlineLevel="0" collapsed="false">
      <c r="A12" s="0" t="str">
        <f aca="false">'City Data'!A12</f>
        <v>Andorra la Vella</v>
      </c>
      <c r="B12" s="4" t="n">
        <f aca="false">'City Data'!B12/Assumptions!$B$2</f>
        <v>27.5</v>
      </c>
      <c r="C12" s="4" t="n">
        <f aca="false">'City Data'!C12/Assumptions!$B$2</f>
        <v>57.5</v>
      </c>
      <c r="D12" s="4" t="n">
        <f aca="false">'City Data'!D12/Assumptions!$B$2</f>
        <v>120</v>
      </c>
      <c r="E12" s="4" t="n">
        <f aca="false">Assumptions!$B$3*Assumptions!$B$4*'City Data'!E12</f>
        <v>72</v>
      </c>
      <c r="F12" s="4" t="n">
        <f aca="false">Assumptions!$B$3*Assumptions!$B$5*'City Data'!E12</f>
        <v>129.6</v>
      </c>
      <c r="G12" s="4" t="n">
        <f aca="false">Assumptions!$B$3*Assumptions!$B$6*'City Data'!E12</f>
        <v>252</v>
      </c>
      <c r="H12" s="4" t="n">
        <f aca="false">Assumptions!$B$7*'City Data'!F12</f>
        <v>10</v>
      </c>
      <c r="I12" s="4" t="n">
        <f aca="false">Assumptions!$B$8*'City Data'!F12</f>
        <v>20</v>
      </c>
      <c r="J12" s="4" t="n">
        <f aca="false">Assumptions!$B$9*'City Data'!F12</f>
        <v>40</v>
      </c>
      <c r="K12" s="4" t="n">
        <f aca="false">'City Data'!G12+'City Data'!H12</f>
        <v>3.5</v>
      </c>
      <c r="L12" s="4" t="n">
        <f aca="false">IF(AND(Assumptions!$B$13,ISNUMBER('City Data'!I12)),Assumptions!$B$10*'City Data'!I12,0)</f>
        <v>4.5</v>
      </c>
      <c r="M12" s="4" t="n">
        <f aca="false">IF(AND(Assumptions!$B$13,ISNUMBER('City Data'!I12)),Assumptions!$B$11*'City Data'!I12,0)</f>
        <v>9</v>
      </c>
      <c r="N12" s="4" t="n">
        <f aca="false">IF(AND(Assumptions!$B$13,ISNUMBER('City Data'!I12)),Assumptions!$B$12*'City Data'!I12,0)</f>
        <v>13.5</v>
      </c>
      <c r="O12" s="4" t="n">
        <f aca="false">B12+E12+H12+K12</f>
        <v>113</v>
      </c>
      <c r="P12" s="4" t="n">
        <f aca="false">C12+F12+I12+K12</f>
        <v>210.6</v>
      </c>
      <c r="Q12" s="4" t="n">
        <f aca="false">D12+G12+J12+K12</f>
        <v>415.5</v>
      </c>
      <c r="R12" s="4" t="n">
        <f aca="false">IF(Assumptions!$B$14,Assumptions!$B$15*O12,0)</f>
        <v>11.3</v>
      </c>
      <c r="S12" s="4" t="n">
        <f aca="false">IF(Assumptions!$B$14,Assumptions!$B$16*P12,0)</f>
        <v>42.12</v>
      </c>
      <c r="T12" s="4" t="n">
        <f aca="false">IF(Assumptions!$B$14,Assumptions!$B$17*Q12,0)</f>
        <v>145.425</v>
      </c>
      <c r="U12" s="4" t="n">
        <f aca="false">O12+L12+R12</f>
        <v>128.8</v>
      </c>
      <c r="V12" s="4" t="n">
        <f aca="false">P12+M12+S12</f>
        <v>261.72</v>
      </c>
      <c r="W12" s="4" t="n">
        <f aca="false">Q12+N12+T12</f>
        <v>574.425</v>
      </c>
      <c r="X12" s="4" t="n">
        <f aca="false">'City Data'!K12</f>
        <v>65</v>
      </c>
      <c r="Y12" s="4" t="n">
        <f aca="false">'City Data'!L12</f>
        <v>160</v>
      </c>
      <c r="Z12" s="4" t="n">
        <f aca="false">'City Data'!M12</f>
        <v>465</v>
      </c>
      <c r="AA12" s="4" t="n">
        <f aca="false">U12-X12</f>
        <v>63.8</v>
      </c>
      <c r="AB12" s="4" t="n">
        <f aca="false">V12-Y12</f>
        <v>101.72</v>
      </c>
      <c r="AC12" s="4" t="n">
        <f aca="false">W12-Z12</f>
        <v>109.425</v>
      </c>
      <c r="AD12" s="4" t="str">
        <f aca="false">IF(OR(AND(X12&lt;&gt;0,ABS(AA12)&gt;Assumptions!$B$18*X12),AND(Y12&lt;&gt;0,ABS(AB12)&gt;Assumptions!$B$18*Y12),AND(Z12&lt;&gt;0,ABS(AC12)&gt;Assumptions!$B$18*Z12)),"REVIEW","")</f>
        <v>REVIEW</v>
      </c>
    </row>
    <row r="13" customFormat="false" ht="15" hidden="false" customHeight="false" outlineLevel="0" collapsed="false">
      <c r="A13" s="0" t="str">
        <f aca="false">'City Data'!A13</f>
        <v>Ankara</v>
      </c>
      <c r="B13" s="4" t="n">
        <f aca="false">'City Data'!B13/Assumptions!$B$2</f>
        <v>10</v>
      </c>
      <c r="C13" s="4" t="n">
        <f aca="false">'City Data'!C13/Assumptions!$B$2</f>
        <v>27.5</v>
      </c>
      <c r="D13" s="4" t="n">
        <f aca="false">'City Data'!D13/Assumptions!$B$2</f>
        <v>65</v>
      </c>
      <c r="E13" s="4" t="n">
        <f aca="false">Assumptions!$B$3*Assumptions!$B$4*'City Data'!E13</f>
        <v>27</v>
      </c>
      <c r="F13" s="4" t="n">
        <f aca="false">Assumptions!$B$3*Assumptions!$B$5*'City Data'!E13</f>
        <v>48.6</v>
      </c>
      <c r="G13" s="4" t="n">
        <f aca="false">Assumptions!$B$3*Assumptions!$B$6*'City Data'!E13</f>
        <v>94.5</v>
      </c>
      <c r="H13" s="4" t="n">
        <f aca="false">Assumptions!$B$7*'City Data'!F13</f>
        <v>5</v>
      </c>
      <c r="I13" s="4" t="n">
        <f aca="false">Assumptions!$B$8*'City Data'!F13</f>
        <v>10</v>
      </c>
      <c r="J13" s="4" t="n">
        <f aca="false">Assumptions!$B$9*'City Data'!F13</f>
        <v>20</v>
      </c>
      <c r="K13" s="4" t="n">
        <f aca="false">'City Data'!G13+'City Data'!H13</f>
        <v>2.6</v>
      </c>
      <c r="L13" s="4" t="n">
        <f aca="false">IF(AND(Assumptions!$B$13,ISNUMBER('City Data'!I13)),Assumptions!$B$10*'City Data'!I13,0)</f>
        <v>3</v>
      </c>
      <c r="M13" s="4" t="n">
        <f aca="false">IF(AND(Assumptions!$B$13,ISNUMBER('City Data'!I13)),Assumptions!$B$11*'City Data'!I13,0)</f>
        <v>6</v>
      </c>
      <c r="N13" s="4" t="n">
        <f aca="false">IF(AND(Assumptions!$B$13,ISNUMBER('City Data'!I13)),Assumptions!$B$12*'City Data'!I13,0)</f>
        <v>9</v>
      </c>
      <c r="O13" s="4" t="n">
        <f aca="false">B13+E13+H13+K13</f>
        <v>44.6</v>
      </c>
      <c r="P13" s="4" t="n">
        <f aca="false">C13+F13+I13+K13</f>
        <v>88.7</v>
      </c>
      <c r="Q13" s="4" t="n">
        <f aca="false">D13+G13+J13+K13</f>
        <v>182.1</v>
      </c>
      <c r="R13" s="4" t="n">
        <f aca="false">IF(Assumptions!$B$14,Assumptions!$B$15*O13,0)</f>
        <v>4.46</v>
      </c>
      <c r="S13" s="4" t="n">
        <f aca="false">IF(Assumptions!$B$14,Assumptions!$B$16*P13,0)</f>
        <v>17.74</v>
      </c>
      <c r="T13" s="4" t="n">
        <f aca="false">IF(Assumptions!$B$14,Assumptions!$B$17*Q13,0)</f>
        <v>63.735</v>
      </c>
      <c r="U13" s="4" t="n">
        <f aca="false">O13+L13+R13</f>
        <v>52.06</v>
      </c>
      <c r="V13" s="4" t="n">
        <f aca="false">P13+M13+S13</f>
        <v>112.44</v>
      </c>
      <c r="W13" s="4" t="n">
        <f aca="false">Q13+N13+T13</f>
        <v>254.835</v>
      </c>
      <c r="X13" s="4" t="n">
        <f aca="false">'City Data'!K13</f>
        <v>30</v>
      </c>
      <c r="Y13" s="4" t="n">
        <f aca="false">'City Data'!L13</f>
        <v>75</v>
      </c>
      <c r="Z13" s="4" t="n">
        <f aca="false">'City Data'!M13</f>
        <v>220</v>
      </c>
      <c r="AA13" s="4" t="n">
        <f aca="false">U13-X13</f>
        <v>22.06</v>
      </c>
      <c r="AB13" s="4" t="n">
        <f aca="false">V13-Y13</f>
        <v>37.44</v>
      </c>
      <c r="AC13" s="4" t="n">
        <f aca="false">W13-Z13</f>
        <v>34.835</v>
      </c>
      <c r="AD13" s="4" t="str">
        <f aca="false">IF(OR(AND(X13&lt;&gt;0,ABS(AA13)&gt;Assumptions!$B$18*X13),AND(Y13&lt;&gt;0,ABS(AB13)&gt;Assumptions!$B$18*Y13),AND(Z13&lt;&gt;0,ABS(AC13)&gt;Assumptions!$B$18*Z13)),"REVIEW","")</f>
        <v>REVIEW</v>
      </c>
    </row>
    <row r="14" customFormat="false" ht="15" hidden="false" customHeight="false" outlineLevel="0" collapsed="false">
      <c r="A14" s="0" t="str">
        <f aca="false">'City Data'!A14</f>
        <v>Antalya</v>
      </c>
      <c r="B14" s="4" t="n">
        <f aca="false">'City Data'!B14/Assumptions!$B$2</f>
        <v>12.5</v>
      </c>
      <c r="C14" s="4" t="n">
        <f aca="false">'City Data'!C14/Assumptions!$B$2</f>
        <v>27.5</v>
      </c>
      <c r="D14" s="4" t="n">
        <f aca="false">'City Data'!D14/Assumptions!$B$2</f>
        <v>80</v>
      </c>
      <c r="E14" s="4" t="n">
        <f aca="false">Assumptions!$B$3*Assumptions!$B$4*'City Data'!E14</f>
        <v>36</v>
      </c>
      <c r="F14" s="4" t="n">
        <f aca="false">Assumptions!$B$3*Assumptions!$B$5*'City Data'!E14</f>
        <v>64.8</v>
      </c>
      <c r="G14" s="4" t="n">
        <f aca="false">Assumptions!$B$3*Assumptions!$B$6*'City Data'!E14</f>
        <v>126</v>
      </c>
      <c r="H14" s="4" t="n">
        <f aca="false">Assumptions!$B$7*'City Data'!F14</f>
        <v>7</v>
      </c>
      <c r="I14" s="4" t="n">
        <f aca="false">Assumptions!$B$8*'City Data'!F14</f>
        <v>14</v>
      </c>
      <c r="J14" s="4" t="n">
        <f aca="false">Assumptions!$B$9*'City Data'!F14</f>
        <v>28</v>
      </c>
      <c r="K14" s="4" t="n">
        <f aca="false">'City Data'!G14+'City Data'!H14</f>
        <v>3.4</v>
      </c>
      <c r="L14" s="4" t="n">
        <f aca="false">IF(AND(Assumptions!$B$13,ISNUMBER('City Data'!I14)),Assumptions!$B$10*'City Data'!I14,0)</f>
        <v>4</v>
      </c>
      <c r="M14" s="4" t="n">
        <f aca="false">IF(AND(Assumptions!$B$13,ISNUMBER('City Data'!I14)),Assumptions!$B$11*'City Data'!I14,0)</f>
        <v>8</v>
      </c>
      <c r="N14" s="4" t="n">
        <f aca="false">IF(AND(Assumptions!$B$13,ISNUMBER('City Data'!I14)),Assumptions!$B$12*'City Data'!I14,0)</f>
        <v>12</v>
      </c>
      <c r="O14" s="4" t="n">
        <f aca="false">B14+E14+H14+K14</f>
        <v>58.9</v>
      </c>
      <c r="P14" s="4" t="n">
        <f aca="false">C14+F14+I14+K14</f>
        <v>109.7</v>
      </c>
      <c r="Q14" s="4" t="n">
        <f aca="false">D14+G14+J14+K14</f>
        <v>237.4</v>
      </c>
      <c r="R14" s="4" t="n">
        <f aca="false">IF(Assumptions!$B$14,Assumptions!$B$15*O14,0)</f>
        <v>5.89</v>
      </c>
      <c r="S14" s="4" t="n">
        <f aca="false">IF(Assumptions!$B$14,Assumptions!$B$16*P14,0)</f>
        <v>21.94</v>
      </c>
      <c r="T14" s="4" t="n">
        <f aca="false">IF(Assumptions!$B$14,Assumptions!$B$17*Q14,0)</f>
        <v>83.09</v>
      </c>
      <c r="U14" s="4" t="n">
        <f aca="false">O14+L14+R14</f>
        <v>68.79</v>
      </c>
      <c r="V14" s="4" t="n">
        <f aca="false">P14+M14+S14</f>
        <v>139.64</v>
      </c>
      <c r="W14" s="4" t="n">
        <f aca="false">Q14+N14+T14</f>
        <v>332.49</v>
      </c>
      <c r="X14" s="4" t="n">
        <f aca="false">'City Data'!K14</f>
        <v>40</v>
      </c>
      <c r="Y14" s="4" t="n">
        <f aca="false">'City Data'!L14</f>
        <v>95</v>
      </c>
      <c r="Z14" s="4" t="n">
        <f aca="false">'City Data'!M14</f>
        <v>280</v>
      </c>
      <c r="AA14" s="4" t="n">
        <f aca="false">U14-X14</f>
        <v>28.79</v>
      </c>
      <c r="AB14" s="4" t="n">
        <f aca="false">V14-Y14</f>
        <v>44.64</v>
      </c>
      <c r="AC14" s="4" t="n">
        <f aca="false">W14-Z14</f>
        <v>52.49</v>
      </c>
      <c r="AD14" s="4" t="str">
        <f aca="false">IF(OR(AND(X14&lt;&gt;0,ABS(AA14)&gt;Assumptions!$B$18*X14),AND(Y14&lt;&gt;0,ABS(AB14)&gt;Assumptions!$B$18*Y14),AND(Z14&lt;&gt;0,ABS(AC14)&gt;Assumptions!$B$18*Z14)),"REVIEW","")</f>
        <v>REVIEW</v>
      </c>
    </row>
    <row r="15" customFormat="false" ht="15" hidden="false" customHeight="false" outlineLevel="0" collapsed="false">
      <c r="A15" s="0" t="str">
        <f aca="false">'City Data'!A15</f>
        <v>Antananarivo</v>
      </c>
      <c r="B15" s="4" t="n">
        <f aca="false">'City Data'!B15/Assumptions!$B$2</f>
        <v>10</v>
      </c>
      <c r="C15" s="4" t="n">
        <f aca="false">'City Data'!C15/Assumptions!$B$2</f>
        <v>27.5</v>
      </c>
      <c r="D15" s="4" t="n">
        <f aca="false">'City Data'!D15/Assumptions!$B$2</f>
        <v>75</v>
      </c>
      <c r="E15" s="4" t="n">
        <f aca="false">Assumptions!$B$3*Assumptions!$B$4*'City Data'!E15</f>
        <v>24</v>
      </c>
      <c r="F15" s="4" t="n">
        <f aca="false">Assumptions!$B$3*Assumptions!$B$5*'City Data'!E15</f>
        <v>43.2</v>
      </c>
      <c r="G15" s="4" t="n">
        <f aca="false">Assumptions!$B$3*Assumptions!$B$6*'City Data'!E15</f>
        <v>84</v>
      </c>
      <c r="H15" s="4" t="n">
        <f aca="false">Assumptions!$B$7*'City Data'!F15</f>
        <v>4</v>
      </c>
      <c r="I15" s="4" t="n">
        <f aca="false">Assumptions!$B$8*'City Data'!F15</f>
        <v>8</v>
      </c>
      <c r="J15" s="4" t="n">
        <f aca="false">Assumptions!$B$9*'City Data'!F15</f>
        <v>16</v>
      </c>
      <c r="K15" s="4" t="n">
        <f aca="false">'City Data'!G15+'City Data'!H15</f>
        <v>2</v>
      </c>
      <c r="L15" s="4" t="n">
        <f aca="false">IF(AND(Assumptions!$B$13,ISNUMBER('City Data'!I15)),Assumptions!$B$10*'City Data'!I15,0)</f>
        <v>2</v>
      </c>
      <c r="M15" s="4" t="n">
        <f aca="false">IF(AND(Assumptions!$B$13,ISNUMBER('City Data'!I15)),Assumptions!$B$11*'City Data'!I15,0)</f>
        <v>4</v>
      </c>
      <c r="N15" s="4" t="n">
        <f aca="false">IF(AND(Assumptions!$B$13,ISNUMBER('City Data'!I15)),Assumptions!$B$12*'City Data'!I15,0)</f>
        <v>6</v>
      </c>
      <c r="O15" s="4" t="n">
        <f aca="false">B15+E15+H15+K15</f>
        <v>40</v>
      </c>
      <c r="P15" s="4" t="n">
        <f aca="false">C15+F15+I15+K15</f>
        <v>80.7</v>
      </c>
      <c r="Q15" s="4" t="n">
        <f aca="false">D15+G15+J15+K15</f>
        <v>177</v>
      </c>
      <c r="R15" s="4" t="n">
        <f aca="false">IF(Assumptions!$B$14,Assumptions!$B$15*O15,0)</f>
        <v>4</v>
      </c>
      <c r="S15" s="4" t="n">
        <f aca="false">IF(Assumptions!$B$14,Assumptions!$B$16*P15,0)</f>
        <v>16.14</v>
      </c>
      <c r="T15" s="4" t="n">
        <f aca="false">IF(Assumptions!$B$14,Assumptions!$B$17*Q15,0)</f>
        <v>61.95</v>
      </c>
      <c r="U15" s="4" t="n">
        <f aca="false">O15+L15+R15</f>
        <v>46</v>
      </c>
      <c r="V15" s="4" t="n">
        <f aca="false">P15+M15+S15</f>
        <v>100.84</v>
      </c>
      <c r="W15" s="4" t="n">
        <f aca="false">Q15+N15+T15</f>
        <v>244.95</v>
      </c>
      <c r="X15" s="4" t="n">
        <f aca="false">'City Data'!K15</f>
        <v>35</v>
      </c>
      <c r="Y15" s="4" t="n">
        <f aca="false">'City Data'!L15</f>
        <v>80</v>
      </c>
      <c r="Z15" s="4" t="n">
        <f aca="false">'City Data'!M15</f>
        <v>245</v>
      </c>
      <c r="AA15" s="4" t="n">
        <f aca="false">U15-X15</f>
        <v>11</v>
      </c>
      <c r="AB15" s="4" t="n">
        <f aca="false">V15-Y15</f>
        <v>20.84</v>
      </c>
      <c r="AC15" s="4" t="n">
        <f aca="false">W15-Z15</f>
        <v>-0.0500000000000114</v>
      </c>
      <c r="AD15" s="4" t="str">
        <f aca="false">IF(OR(AND(X15&lt;&gt;0,ABS(AA15)&gt;Assumptions!$B$18*X15),AND(Y15&lt;&gt;0,ABS(AB15)&gt;Assumptions!$B$18*Y15),AND(Z15&lt;&gt;0,ABS(AC15)&gt;Assumptions!$B$18*Z15)),"REVIEW","")</f>
        <v>REVIEW</v>
      </c>
    </row>
    <row r="16" customFormat="false" ht="15" hidden="false" customHeight="false" outlineLevel="0" collapsed="false">
      <c r="A16" s="0" t="str">
        <f aca="false">'City Data'!A16</f>
        <v>Apia</v>
      </c>
      <c r="B16" s="4" t="n">
        <f aca="false">'City Data'!B16/Assumptions!$B$2</f>
        <v>20</v>
      </c>
      <c r="C16" s="4" t="n">
        <f aca="false">'City Data'!C16/Assumptions!$B$2</f>
        <v>22.5</v>
      </c>
      <c r="D16" s="4" t="n">
        <f aca="false">'City Data'!D16/Assumptions!$B$2</f>
        <v>160</v>
      </c>
      <c r="E16" s="4" t="n">
        <f aca="false">Assumptions!$B$3*Assumptions!$B$4*'City Data'!E16</f>
        <v>45</v>
      </c>
      <c r="F16" s="4" t="n">
        <f aca="false">Assumptions!$B$3*Assumptions!$B$5*'City Data'!E16</f>
        <v>81</v>
      </c>
      <c r="G16" s="4" t="n">
        <f aca="false">Assumptions!$B$3*Assumptions!$B$6*'City Data'!E16</f>
        <v>157.5</v>
      </c>
      <c r="H16" s="4" t="n">
        <f aca="false">Assumptions!$B$7*'City Data'!F16</f>
        <v>6</v>
      </c>
      <c r="I16" s="4" t="n">
        <f aca="false">Assumptions!$B$8*'City Data'!F16</f>
        <v>12</v>
      </c>
      <c r="J16" s="4" t="n">
        <f aca="false">Assumptions!$B$9*'City Data'!F16</f>
        <v>24</v>
      </c>
      <c r="K16" s="4" t="n">
        <f aca="false">'City Data'!G16+'City Data'!H16</f>
        <v>5.5</v>
      </c>
      <c r="L16" s="4" t="n">
        <f aca="false">IF(AND(Assumptions!$B$13,ISNUMBER('City Data'!I16)),Assumptions!$B$10*'City Data'!I16,0)</f>
        <v>6</v>
      </c>
      <c r="M16" s="4" t="n">
        <f aca="false">IF(AND(Assumptions!$B$13,ISNUMBER('City Data'!I16)),Assumptions!$B$11*'City Data'!I16,0)</f>
        <v>12</v>
      </c>
      <c r="N16" s="4" t="n">
        <f aca="false">IF(AND(Assumptions!$B$13,ISNUMBER('City Data'!I16)),Assumptions!$B$12*'City Data'!I16,0)</f>
        <v>18</v>
      </c>
      <c r="O16" s="4" t="n">
        <f aca="false">B16+E16+H16+K16</f>
        <v>76.5</v>
      </c>
      <c r="P16" s="4" t="n">
        <f aca="false">C16+F16+I16+K16</f>
        <v>121</v>
      </c>
      <c r="Q16" s="4" t="n">
        <f aca="false">D16+G16+J16+K16</f>
        <v>347</v>
      </c>
      <c r="R16" s="4" t="n">
        <f aca="false">IF(Assumptions!$B$14,Assumptions!$B$15*O16,0)</f>
        <v>7.65</v>
      </c>
      <c r="S16" s="4" t="n">
        <f aca="false">IF(Assumptions!$B$14,Assumptions!$B$16*P16,0)</f>
        <v>24.2</v>
      </c>
      <c r="T16" s="4" t="n">
        <f aca="false">IF(Assumptions!$B$14,Assumptions!$B$17*Q16,0)</f>
        <v>121.45</v>
      </c>
      <c r="U16" s="4" t="n">
        <f aca="false">O16+L16+R16</f>
        <v>90.15</v>
      </c>
      <c r="V16" s="4" t="n">
        <f aca="false">P16+M16+S16</f>
        <v>157.2</v>
      </c>
      <c r="W16" s="4" t="n">
        <f aca="false">Q16+N16+T16</f>
        <v>486.45</v>
      </c>
      <c r="X16" s="4" t="n">
        <f aca="false">'City Data'!K16</f>
        <v>50</v>
      </c>
      <c r="Y16" s="4" t="n">
        <f aca="false">'City Data'!L16</f>
        <v>135</v>
      </c>
      <c r="Z16" s="4" t="n">
        <f aca="false">'City Data'!M16</f>
        <v>405</v>
      </c>
      <c r="AA16" s="4" t="n">
        <f aca="false">U16-X16</f>
        <v>40.15</v>
      </c>
      <c r="AB16" s="4" t="n">
        <f aca="false">V16-Y16</f>
        <v>22.2</v>
      </c>
      <c r="AC16" s="4" t="n">
        <f aca="false">W16-Z16</f>
        <v>81.45</v>
      </c>
      <c r="AD16" s="4" t="str">
        <f aca="false">IF(OR(AND(X16&lt;&gt;0,ABS(AA16)&gt;Assumptions!$B$18*X16),AND(Y16&lt;&gt;0,ABS(AB16)&gt;Assumptions!$B$18*Y16),AND(Z16&lt;&gt;0,ABS(AC16)&gt;Assumptions!$B$18*Z16)),"REVIEW","")</f>
        <v>REVIEW</v>
      </c>
    </row>
    <row r="17" customFormat="false" ht="15" hidden="false" customHeight="false" outlineLevel="0" collapsed="false">
      <c r="A17" s="0" t="str">
        <f aca="false">'City Data'!A17</f>
        <v>Ashgabat</v>
      </c>
      <c r="B17" s="4" t="n">
        <f aca="false">'City Data'!B17/Assumptions!$B$2</f>
        <v>7.5</v>
      </c>
      <c r="C17" s="4" t="n">
        <f aca="false">'City Data'!C17/Assumptions!$B$2</f>
        <v>35</v>
      </c>
      <c r="D17" s="4" t="n">
        <f aca="false">'City Data'!D17/Assumptions!$B$2</f>
        <v>125</v>
      </c>
      <c r="E17" s="4" t="n">
        <f aca="false">Assumptions!$B$3*Assumptions!$B$4*'City Data'!E17</f>
        <v>36</v>
      </c>
      <c r="F17" s="4" t="n">
        <f aca="false">Assumptions!$B$3*Assumptions!$B$5*'City Data'!E17</f>
        <v>64.8</v>
      </c>
      <c r="G17" s="4" t="n">
        <f aca="false">Assumptions!$B$3*Assumptions!$B$6*'City Data'!E17</f>
        <v>126</v>
      </c>
      <c r="H17" s="4" t="n">
        <f aca="false">Assumptions!$B$7*'City Data'!F17</f>
        <v>3</v>
      </c>
      <c r="I17" s="4" t="n">
        <f aca="false">Assumptions!$B$8*'City Data'!F17</f>
        <v>6</v>
      </c>
      <c r="J17" s="4" t="n">
        <f aca="false">Assumptions!$B$9*'City Data'!F17</f>
        <v>12</v>
      </c>
      <c r="K17" s="4" t="n">
        <f aca="false">'City Data'!G17+'City Data'!H17</f>
        <v>3.1</v>
      </c>
      <c r="L17" s="4" t="n">
        <f aca="false">IF(AND(Assumptions!$B$13,ISNUMBER('City Data'!I17)),Assumptions!$B$10*'City Data'!I17,0)</f>
        <v>3</v>
      </c>
      <c r="M17" s="4" t="n">
        <f aca="false">IF(AND(Assumptions!$B$13,ISNUMBER('City Data'!I17)),Assumptions!$B$11*'City Data'!I17,0)</f>
        <v>6</v>
      </c>
      <c r="N17" s="4" t="n">
        <f aca="false">IF(AND(Assumptions!$B$13,ISNUMBER('City Data'!I17)),Assumptions!$B$12*'City Data'!I17,0)</f>
        <v>9</v>
      </c>
      <c r="O17" s="4" t="n">
        <f aca="false">B17+E17+H17+K17</f>
        <v>49.6</v>
      </c>
      <c r="P17" s="4" t="n">
        <f aca="false">C17+F17+I17+K17</f>
        <v>108.9</v>
      </c>
      <c r="Q17" s="4" t="n">
        <f aca="false">D17+G17+J17+K17</f>
        <v>266.1</v>
      </c>
      <c r="R17" s="4" t="n">
        <f aca="false">IF(Assumptions!$B$14,Assumptions!$B$15*O17,0)</f>
        <v>4.96</v>
      </c>
      <c r="S17" s="4" t="n">
        <f aca="false">IF(Assumptions!$B$14,Assumptions!$B$16*P17,0)</f>
        <v>21.78</v>
      </c>
      <c r="T17" s="4" t="n">
        <f aca="false">IF(Assumptions!$B$14,Assumptions!$B$17*Q17,0)</f>
        <v>93.135</v>
      </c>
      <c r="U17" s="4" t="n">
        <f aca="false">O17+L17+R17</f>
        <v>57.56</v>
      </c>
      <c r="V17" s="4" t="n">
        <f aca="false">P17+M17+S17</f>
        <v>136.68</v>
      </c>
      <c r="W17" s="4" t="n">
        <f aca="false">Q17+N17+T17</f>
        <v>368.235</v>
      </c>
      <c r="X17" s="4" t="n">
        <f aca="false">'City Data'!K17</f>
        <v>40</v>
      </c>
      <c r="Y17" s="4" t="n">
        <f aca="false">'City Data'!L17</f>
        <v>100</v>
      </c>
      <c r="Z17" s="4" t="n">
        <f aca="false">'City Data'!M17</f>
        <v>310</v>
      </c>
      <c r="AA17" s="4" t="n">
        <f aca="false">U17-X17</f>
        <v>17.56</v>
      </c>
      <c r="AB17" s="4" t="n">
        <f aca="false">V17-Y17</f>
        <v>36.68</v>
      </c>
      <c r="AC17" s="4" t="n">
        <f aca="false">W17-Z17</f>
        <v>58.235</v>
      </c>
      <c r="AD17" s="4" t="str">
        <f aca="false">IF(OR(AND(X17&lt;&gt;0,ABS(AA17)&gt;Assumptions!$B$18*X17),AND(Y17&lt;&gt;0,ABS(AB17)&gt;Assumptions!$B$18*Y17),AND(Z17&lt;&gt;0,ABS(AC17)&gt;Assumptions!$B$18*Z17)),"REVIEW","")</f>
        <v>REVIEW</v>
      </c>
    </row>
    <row r="18" customFormat="false" ht="15" hidden="false" customHeight="false" outlineLevel="0" collapsed="false">
      <c r="A18" s="0" t="str">
        <f aca="false">'City Data'!A18</f>
        <v>Asmara</v>
      </c>
      <c r="B18" s="4" t="n">
        <f aca="false">'City Data'!B18/Assumptions!$B$2</f>
        <v>15</v>
      </c>
      <c r="C18" s="4" t="n">
        <f aca="false">'City Data'!C18/Assumptions!$B$2</f>
        <v>35</v>
      </c>
      <c r="D18" s="4" t="n">
        <f aca="false">'City Data'!D18/Assumptions!$B$2</f>
        <v>65</v>
      </c>
      <c r="E18" s="4" t="n">
        <f aca="false">Assumptions!$B$3*Assumptions!$B$4*'City Data'!E18</f>
        <v>24</v>
      </c>
      <c r="F18" s="4" t="n">
        <f aca="false">Assumptions!$B$3*Assumptions!$B$5*'City Data'!E18</f>
        <v>43.2</v>
      </c>
      <c r="G18" s="4" t="n">
        <f aca="false">Assumptions!$B$3*Assumptions!$B$6*'City Data'!E18</f>
        <v>84</v>
      </c>
      <c r="H18" s="4" t="n">
        <f aca="false">Assumptions!$B$7*'City Data'!F18</f>
        <v>3</v>
      </c>
      <c r="I18" s="4" t="n">
        <f aca="false">Assumptions!$B$8*'City Data'!F18</f>
        <v>6</v>
      </c>
      <c r="J18" s="4" t="n">
        <f aca="false">Assumptions!$B$9*'City Data'!F18</f>
        <v>12</v>
      </c>
      <c r="K18" s="4" t="n">
        <f aca="false">'City Data'!G18+'City Data'!H18</f>
        <v>1.5</v>
      </c>
      <c r="L18" s="4" t="n">
        <f aca="false">IF(AND(Assumptions!$B$13,ISNUMBER('City Data'!I18)),Assumptions!$B$10*'City Data'!I18,0)</f>
        <v>1.5</v>
      </c>
      <c r="M18" s="4" t="n">
        <f aca="false">IF(AND(Assumptions!$B$13,ISNUMBER('City Data'!I18)),Assumptions!$B$11*'City Data'!I18,0)</f>
        <v>3</v>
      </c>
      <c r="N18" s="4" t="n">
        <f aca="false">IF(AND(Assumptions!$B$13,ISNUMBER('City Data'!I18)),Assumptions!$B$12*'City Data'!I18,0)</f>
        <v>4.5</v>
      </c>
      <c r="O18" s="4" t="n">
        <f aca="false">B18+E18+H18+K18</f>
        <v>43.5</v>
      </c>
      <c r="P18" s="4" t="n">
        <f aca="false">C18+F18+I18+K18</f>
        <v>85.7</v>
      </c>
      <c r="Q18" s="4" t="n">
        <f aca="false">D18+G18+J18+K18</f>
        <v>162.5</v>
      </c>
      <c r="R18" s="4" t="n">
        <f aca="false">IF(Assumptions!$B$14,Assumptions!$B$15*O18,0)</f>
        <v>4.35</v>
      </c>
      <c r="S18" s="4" t="n">
        <f aca="false">IF(Assumptions!$B$14,Assumptions!$B$16*P18,0)</f>
        <v>17.14</v>
      </c>
      <c r="T18" s="4" t="n">
        <f aca="false">IF(Assumptions!$B$14,Assumptions!$B$17*Q18,0)</f>
        <v>56.875</v>
      </c>
      <c r="U18" s="4" t="n">
        <f aca="false">O18+L18+R18</f>
        <v>49.35</v>
      </c>
      <c r="V18" s="4" t="n">
        <f aca="false">P18+M18+S18</f>
        <v>105.84</v>
      </c>
      <c r="W18" s="4" t="n">
        <f aca="false">Q18+N18+T18</f>
        <v>223.875</v>
      </c>
      <c r="X18" s="4" t="n">
        <f aca="false">'City Data'!K18</f>
        <v>35</v>
      </c>
      <c r="Y18" s="4" t="n">
        <f aca="false">'City Data'!L18</f>
        <v>85</v>
      </c>
      <c r="Z18" s="4" t="n">
        <f aca="false">'City Data'!M18</f>
        <v>250</v>
      </c>
      <c r="AA18" s="4" t="n">
        <f aca="false">U18-X18</f>
        <v>14.35</v>
      </c>
      <c r="AB18" s="4" t="n">
        <f aca="false">V18-Y18</f>
        <v>20.84</v>
      </c>
      <c r="AC18" s="4" t="n">
        <f aca="false">W18-Z18</f>
        <v>-26.125</v>
      </c>
      <c r="AD18" s="4" t="str">
        <f aca="false">IF(OR(AND(X18&lt;&gt;0,ABS(AA18)&gt;Assumptions!$B$18*X18),AND(Y18&lt;&gt;0,ABS(AB18)&gt;Assumptions!$B$18*Y18),AND(Z18&lt;&gt;0,ABS(AC18)&gt;Assumptions!$B$18*Z18)),"REVIEW","")</f>
        <v>REVIEW</v>
      </c>
    </row>
    <row r="19" customFormat="false" ht="15" hidden="false" customHeight="false" outlineLevel="0" collapsed="false">
      <c r="A19" s="0" t="str">
        <f aca="false">'City Data'!A19</f>
        <v>Asunción</v>
      </c>
      <c r="B19" s="4" t="n">
        <f aca="false">'City Data'!B19/Assumptions!$B$2</f>
        <v>12.5</v>
      </c>
      <c r="C19" s="4" t="n">
        <f aca="false">'City Data'!C19/Assumptions!$B$2</f>
        <v>30</v>
      </c>
      <c r="D19" s="4" t="n">
        <f aca="false">'City Data'!D19/Assumptions!$B$2</f>
        <v>90</v>
      </c>
      <c r="E19" s="4" t="n">
        <f aca="false">Assumptions!$B$3*Assumptions!$B$4*'City Data'!E19</f>
        <v>36</v>
      </c>
      <c r="F19" s="4" t="n">
        <f aca="false">Assumptions!$B$3*Assumptions!$B$5*'City Data'!E19</f>
        <v>64.8</v>
      </c>
      <c r="G19" s="4" t="n">
        <f aca="false">Assumptions!$B$3*Assumptions!$B$6*'City Data'!E19</f>
        <v>126</v>
      </c>
      <c r="H19" s="4" t="n">
        <f aca="false">Assumptions!$B$7*'City Data'!F19</f>
        <v>5</v>
      </c>
      <c r="I19" s="4" t="n">
        <f aca="false">Assumptions!$B$8*'City Data'!F19</f>
        <v>10</v>
      </c>
      <c r="J19" s="4" t="n">
        <f aca="false">Assumptions!$B$9*'City Data'!F19</f>
        <v>20</v>
      </c>
      <c r="K19" s="4" t="n">
        <f aca="false">'City Data'!G19+'City Data'!H19</f>
        <v>3.5</v>
      </c>
      <c r="L19" s="4" t="n">
        <f aca="false">IF(AND(Assumptions!$B$13,ISNUMBER('City Data'!I19)),Assumptions!$B$10*'City Data'!I19,0)</f>
        <v>2.5</v>
      </c>
      <c r="M19" s="4" t="n">
        <f aca="false">IF(AND(Assumptions!$B$13,ISNUMBER('City Data'!I19)),Assumptions!$B$11*'City Data'!I19,0)</f>
        <v>5</v>
      </c>
      <c r="N19" s="4" t="n">
        <f aca="false">IF(AND(Assumptions!$B$13,ISNUMBER('City Data'!I19)),Assumptions!$B$12*'City Data'!I19,0)</f>
        <v>7.5</v>
      </c>
      <c r="O19" s="4" t="n">
        <f aca="false">B19+E19+H19+K19</f>
        <v>57</v>
      </c>
      <c r="P19" s="4" t="n">
        <f aca="false">C19+F19+I19+K19</f>
        <v>108.3</v>
      </c>
      <c r="Q19" s="4" t="n">
        <f aca="false">D19+G19+J19+K19</f>
        <v>239.5</v>
      </c>
      <c r="R19" s="4" t="n">
        <f aca="false">IF(Assumptions!$B$14,Assumptions!$B$15*O19,0)</f>
        <v>5.7</v>
      </c>
      <c r="S19" s="4" t="n">
        <f aca="false">IF(Assumptions!$B$14,Assumptions!$B$16*P19,0)</f>
        <v>21.66</v>
      </c>
      <c r="T19" s="4" t="n">
        <f aca="false">IF(Assumptions!$B$14,Assumptions!$B$17*Q19,0)</f>
        <v>83.825</v>
      </c>
      <c r="U19" s="4" t="n">
        <f aca="false">O19+L19+R19</f>
        <v>65.2</v>
      </c>
      <c r="V19" s="4" t="n">
        <f aca="false">P19+M19+S19</f>
        <v>134.96</v>
      </c>
      <c r="W19" s="4" t="n">
        <f aca="false">Q19+N19+T19</f>
        <v>330.825</v>
      </c>
      <c r="X19" s="4" t="n">
        <f aca="false">'City Data'!K19</f>
        <v>40</v>
      </c>
      <c r="Y19" s="4" t="n">
        <f aca="false">'City Data'!L19</f>
        <v>100</v>
      </c>
      <c r="Z19" s="4" t="n">
        <f aca="false">'City Data'!M19</f>
        <v>295</v>
      </c>
      <c r="AA19" s="4" t="n">
        <f aca="false">U19-X19</f>
        <v>25.2</v>
      </c>
      <c r="AB19" s="4" t="n">
        <f aca="false">V19-Y19</f>
        <v>34.96</v>
      </c>
      <c r="AC19" s="4" t="n">
        <f aca="false">W19-Z19</f>
        <v>35.825</v>
      </c>
      <c r="AD19" s="4" t="str">
        <f aca="false">IF(OR(AND(X19&lt;&gt;0,ABS(AA19)&gt;Assumptions!$B$18*X19),AND(Y19&lt;&gt;0,ABS(AB19)&gt;Assumptions!$B$18*Y19),AND(Z19&lt;&gt;0,ABS(AC19)&gt;Assumptions!$B$18*Z19)),"REVIEW","")</f>
        <v>REVIEW</v>
      </c>
    </row>
    <row r="20" customFormat="false" ht="15" hidden="false" customHeight="false" outlineLevel="0" collapsed="false">
      <c r="A20" s="0" t="str">
        <f aca="false">'City Data'!A20</f>
        <v>Athens</v>
      </c>
      <c r="B20" s="4" t="n">
        <f aca="false">'City Data'!B20/Assumptions!$B$2</f>
        <v>30</v>
      </c>
      <c r="C20" s="4" t="n">
        <f aca="false">'City Data'!C20/Assumptions!$B$2</f>
        <v>55</v>
      </c>
      <c r="D20" s="4" t="n">
        <f aca="false">'City Data'!D20/Assumptions!$B$2</f>
        <v>140</v>
      </c>
      <c r="E20" s="4" t="n">
        <f aca="false">Assumptions!$B$3*Assumptions!$B$4*'City Data'!E20</f>
        <v>54</v>
      </c>
      <c r="F20" s="4" t="n">
        <f aca="false">Assumptions!$B$3*Assumptions!$B$5*'City Data'!E20</f>
        <v>97.2</v>
      </c>
      <c r="G20" s="4" t="n">
        <f aca="false">Assumptions!$B$3*Assumptions!$B$6*'City Data'!E20</f>
        <v>189</v>
      </c>
      <c r="H20" s="4" t="n">
        <f aca="false">Assumptions!$B$7*'City Data'!F20</f>
        <v>20</v>
      </c>
      <c r="I20" s="4" t="n">
        <f aca="false">Assumptions!$B$8*'City Data'!F20</f>
        <v>40</v>
      </c>
      <c r="J20" s="4" t="n">
        <f aca="false">Assumptions!$B$9*'City Data'!F20</f>
        <v>80</v>
      </c>
      <c r="K20" s="4" t="n">
        <f aca="false">'City Data'!G20+'City Data'!H20</f>
        <v>4.1</v>
      </c>
      <c r="L20" s="4" t="n">
        <f aca="false">IF(AND(Assumptions!$B$13,ISNUMBER('City Data'!I20)),Assumptions!$B$10*'City Data'!I20,0)</f>
        <v>4</v>
      </c>
      <c r="M20" s="4" t="n">
        <f aca="false">IF(AND(Assumptions!$B$13,ISNUMBER('City Data'!I20)),Assumptions!$B$11*'City Data'!I20,0)</f>
        <v>8</v>
      </c>
      <c r="N20" s="4" t="n">
        <f aca="false">IF(AND(Assumptions!$B$13,ISNUMBER('City Data'!I20)),Assumptions!$B$12*'City Data'!I20,0)</f>
        <v>12</v>
      </c>
      <c r="O20" s="4" t="n">
        <f aca="false">B20+E20+H20+K20</f>
        <v>108.1</v>
      </c>
      <c r="P20" s="4" t="n">
        <f aca="false">C20+F20+I20+K20</f>
        <v>196.3</v>
      </c>
      <c r="Q20" s="4" t="n">
        <f aca="false">D20+G20+J20+K20</f>
        <v>413.1</v>
      </c>
      <c r="R20" s="4" t="n">
        <f aca="false">IF(Assumptions!$B$14,Assumptions!$B$15*O20,0)</f>
        <v>10.81</v>
      </c>
      <c r="S20" s="4" t="n">
        <f aca="false">IF(Assumptions!$B$14,Assumptions!$B$16*P20,0)</f>
        <v>39.26</v>
      </c>
      <c r="T20" s="4" t="n">
        <f aca="false">IF(Assumptions!$B$14,Assumptions!$B$17*Q20,0)</f>
        <v>144.585</v>
      </c>
      <c r="U20" s="4" t="n">
        <f aca="false">O20+L20+R20</f>
        <v>122.91</v>
      </c>
      <c r="V20" s="4" t="n">
        <f aca="false">P20+M20+S20</f>
        <v>243.56</v>
      </c>
      <c r="W20" s="4" t="n">
        <f aca="false">Q20+N20+T20</f>
        <v>569.685</v>
      </c>
      <c r="X20" s="4" t="n">
        <f aca="false">'City Data'!K20</f>
        <v>65</v>
      </c>
      <c r="Y20" s="4" t="n">
        <f aca="false">'City Data'!L20</f>
        <v>150</v>
      </c>
      <c r="Z20" s="4" t="n">
        <f aca="false">'City Data'!M20</f>
        <v>420</v>
      </c>
      <c r="AA20" s="4" t="n">
        <f aca="false">U20-X20</f>
        <v>57.91</v>
      </c>
      <c r="AB20" s="4" t="n">
        <f aca="false">V20-Y20</f>
        <v>93.56</v>
      </c>
      <c r="AC20" s="4" t="n">
        <f aca="false">W20-Z20</f>
        <v>149.685</v>
      </c>
      <c r="AD20" s="4" t="str">
        <f aca="false">IF(OR(AND(X20&lt;&gt;0,ABS(AA20)&gt;Assumptions!$B$18*X20),AND(Y20&lt;&gt;0,ABS(AB20)&gt;Assumptions!$B$18*Y20),AND(Z20&lt;&gt;0,ABS(AC20)&gt;Assumptions!$B$18*Z20)),"REVIEW","")</f>
        <v>REVIEW</v>
      </c>
    </row>
    <row r="21" customFormat="false" ht="15" hidden="false" customHeight="false" outlineLevel="0" collapsed="false">
      <c r="A21" s="0" t="str">
        <f aca="false">'City Data'!A21</f>
        <v>Auckland</v>
      </c>
      <c r="B21" s="4" t="n">
        <f aca="false">'City Data'!B21/Assumptions!$B$2</f>
        <v>22.5</v>
      </c>
      <c r="C21" s="4" t="n">
        <f aca="false">'City Data'!C21/Assumptions!$B$2</f>
        <v>87.5</v>
      </c>
      <c r="D21" s="4" t="n">
        <f aca="false">'City Data'!D21/Assumptions!$B$2</f>
        <v>160</v>
      </c>
      <c r="E21" s="4" t="n">
        <f aca="false">Assumptions!$B$3*Assumptions!$B$4*'City Data'!E21</f>
        <v>66</v>
      </c>
      <c r="F21" s="4" t="n">
        <f aca="false">Assumptions!$B$3*Assumptions!$B$5*'City Data'!E21</f>
        <v>118.8</v>
      </c>
      <c r="G21" s="4" t="n">
        <f aca="false">Assumptions!$B$3*Assumptions!$B$6*'City Data'!E21</f>
        <v>231</v>
      </c>
      <c r="H21" s="4" t="n">
        <f aca="false">Assumptions!$B$7*'City Data'!F21</f>
        <v>18</v>
      </c>
      <c r="I21" s="4" t="n">
        <f aca="false">Assumptions!$B$8*'City Data'!F21</f>
        <v>36</v>
      </c>
      <c r="J21" s="4" t="n">
        <f aca="false">Assumptions!$B$9*'City Data'!F21</f>
        <v>72</v>
      </c>
      <c r="K21" s="4" t="n">
        <f aca="false">'City Data'!G21+'City Data'!H21</f>
        <v>6</v>
      </c>
      <c r="L21" s="4" t="n">
        <f aca="false">IF(AND(Assumptions!$B$13,ISNUMBER('City Data'!I21)),Assumptions!$B$10*'City Data'!I21,0)</f>
        <v>7</v>
      </c>
      <c r="M21" s="4" t="n">
        <f aca="false">IF(AND(Assumptions!$B$13,ISNUMBER('City Data'!I21)),Assumptions!$B$11*'City Data'!I21,0)</f>
        <v>14</v>
      </c>
      <c r="N21" s="4" t="n">
        <f aca="false">IF(AND(Assumptions!$B$13,ISNUMBER('City Data'!I21)),Assumptions!$B$12*'City Data'!I21,0)</f>
        <v>21</v>
      </c>
      <c r="O21" s="4" t="n">
        <f aca="false">B21+E21+H21+K21</f>
        <v>112.5</v>
      </c>
      <c r="P21" s="4" t="n">
        <f aca="false">C21+F21+I21+K21</f>
        <v>248.3</v>
      </c>
      <c r="Q21" s="4" t="n">
        <f aca="false">D21+G21+J21+K21</f>
        <v>469</v>
      </c>
      <c r="R21" s="4" t="n">
        <f aca="false">IF(Assumptions!$B$14,Assumptions!$B$15*O21,0)</f>
        <v>11.25</v>
      </c>
      <c r="S21" s="4" t="n">
        <f aca="false">IF(Assumptions!$B$14,Assumptions!$B$16*P21,0)</f>
        <v>49.66</v>
      </c>
      <c r="T21" s="4" t="n">
        <f aca="false">IF(Assumptions!$B$14,Assumptions!$B$17*Q21,0)</f>
        <v>164.15</v>
      </c>
      <c r="U21" s="4" t="n">
        <f aca="false">O21+L21+R21</f>
        <v>130.75</v>
      </c>
      <c r="V21" s="4" t="n">
        <f aca="false">P21+M21+S21</f>
        <v>311.96</v>
      </c>
      <c r="W21" s="4" t="n">
        <f aca="false">Q21+N21+T21</f>
        <v>654.15</v>
      </c>
      <c r="X21" s="4" t="n">
        <f aca="false">'City Data'!K21</f>
        <v>65</v>
      </c>
      <c r="Y21" s="4" t="n">
        <f aca="false">'City Data'!L21</f>
        <v>160</v>
      </c>
      <c r="Z21" s="4" t="n">
        <f aca="false">'City Data'!M21</f>
        <v>470</v>
      </c>
      <c r="AA21" s="4" t="n">
        <f aca="false">U21-X21</f>
        <v>65.75</v>
      </c>
      <c r="AB21" s="4" t="n">
        <f aca="false">V21-Y21</f>
        <v>151.96</v>
      </c>
      <c r="AC21" s="4" t="n">
        <f aca="false">W21-Z21</f>
        <v>184.15</v>
      </c>
      <c r="AD21" s="4" t="str">
        <f aca="false">IF(OR(AND(X21&lt;&gt;0,ABS(AA21)&gt;Assumptions!$B$18*X21),AND(Y21&lt;&gt;0,ABS(AB21)&gt;Assumptions!$B$18*Y21),AND(Z21&lt;&gt;0,ABS(AC21)&gt;Assumptions!$B$18*Z21)),"REVIEW","")</f>
        <v>REVIEW</v>
      </c>
    </row>
    <row r="22" customFormat="false" ht="15" hidden="false" customHeight="false" outlineLevel="0" collapsed="false">
      <c r="A22" s="0" t="str">
        <f aca="false">'City Data'!A22</f>
        <v>Baghdad</v>
      </c>
      <c r="B22" s="4" t="n">
        <f aca="false">'City Data'!B22/Assumptions!$B$2</f>
        <v>17.5</v>
      </c>
      <c r="C22" s="4" t="n">
        <f aca="false">'City Data'!C22/Assumptions!$B$2</f>
        <v>45</v>
      </c>
      <c r="D22" s="4" t="n">
        <f aca="false">'City Data'!D22/Assumptions!$B$2</f>
        <v>130</v>
      </c>
      <c r="E22" s="4" t="n">
        <f aca="false">Assumptions!$B$3*Assumptions!$B$4*'City Data'!E22</f>
        <v>45</v>
      </c>
      <c r="F22" s="4" t="n">
        <f aca="false">Assumptions!$B$3*Assumptions!$B$5*'City Data'!E22</f>
        <v>81</v>
      </c>
      <c r="G22" s="4" t="n">
        <f aca="false">Assumptions!$B$3*Assumptions!$B$6*'City Data'!E22</f>
        <v>157.5</v>
      </c>
      <c r="H22" s="4" t="n">
        <f aca="false">Assumptions!$B$7*'City Data'!F22</f>
        <v>4</v>
      </c>
      <c r="I22" s="4" t="n">
        <f aca="false">Assumptions!$B$8*'City Data'!F22</f>
        <v>8</v>
      </c>
      <c r="J22" s="4" t="n">
        <f aca="false">Assumptions!$B$9*'City Data'!F22</f>
        <v>16</v>
      </c>
      <c r="K22" s="4" t="n">
        <f aca="false">'City Data'!G22+'City Data'!H22</f>
        <v>3.5</v>
      </c>
      <c r="L22" s="4" t="n">
        <f aca="false">IF(AND(Assumptions!$B$13,ISNUMBER('City Data'!I22)),Assumptions!$B$10*'City Data'!I22,0)</f>
        <v>5</v>
      </c>
      <c r="M22" s="4" t="n">
        <f aca="false">IF(AND(Assumptions!$B$13,ISNUMBER('City Data'!I22)),Assumptions!$B$11*'City Data'!I22,0)</f>
        <v>10</v>
      </c>
      <c r="N22" s="4" t="n">
        <f aca="false">IF(AND(Assumptions!$B$13,ISNUMBER('City Data'!I22)),Assumptions!$B$12*'City Data'!I22,0)</f>
        <v>15</v>
      </c>
      <c r="O22" s="4" t="n">
        <f aca="false">B22+E22+H22+K22</f>
        <v>70</v>
      </c>
      <c r="P22" s="4" t="n">
        <f aca="false">C22+F22+I22+K22</f>
        <v>137.5</v>
      </c>
      <c r="Q22" s="4" t="n">
        <f aca="false">D22+G22+J22+K22</f>
        <v>307</v>
      </c>
      <c r="R22" s="4" t="n">
        <f aca="false">IF(Assumptions!$B$14,Assumptions!$B$15*O22,0)</f>
        <v>7</v>
      </c>
      <c r="S22" s="4" t="n">
        <f aca="false">IF(Assumptions!$B$14,Assumptions!$B$16*P22,0)</f>
        <v>27.5</v>
      </c>
      <c r="T22" s="4" t="n">
        <f aca="false">IF(Assumptions!$B$14,Assumptions!$B$17*Q22,0)</f>
        <v>107.45</v>
      </c>
      <c r="U22" s="4" t="n">
        <f aca="false">O22+L22+R22</f>
        <v>82</v>
      </c>
      <c r="V22" s="4" t="n">
        <f aca="false">P22+M22+S22</f>
        <v>175</v>
      </c>
      <c r="W22" s="4" t="n">
        <f aca="false">Q22+N22+T22</f>
        <v>429.45</v>
      </c>
      <c r="X22" s="4" t="n">
        <f aca="false">'City Data'!K22</f>
        <v>50</v>
      </c>
      <c r="Y22" s="4" t="n">
        <f aca="false">'City Data'!L22</f>
        <v>120</v>
      </c>
      <c r="Z22" s="4" t="n">
        <f aca="false">'City Data'!M22</f>
        <v>370</v>
      </c>
      <c r="AA22" s="4" t="n">
        <f aca="false">U22-X22</f>
        <v>32</v>
      </c>
      <c r="AB22" s="4" t="n">
        <f aca="false">V22-Y22</f>
        <v>55</v>
      </c>
      <c r="AC22" s="4" t="n">
        <f aca="false">W22-Z22</f>
        <v>59.45</v>
      </c>
      <c r="AD22" s="4" t="str">
        <f aca="false">IF(OR(AND(X22&lt;&gt;0,ABS(AA22)&gt;Assumptions!$B$18*X22),AND(Y22&lt;&gt;0,ABS(AB22)&gt;Assumptions!$B$18*Y22),AND(Z22&lt;&gt;0,ABS(AC22)&gt;Assumptions!$B$18*Z22)),"REVIEW","")</f>
        <v>REVIEW</v>
      </c>
    </row>
    <row r="23" customFormat="false" ht="15" hidden="false" customHeight="false" outlineLevel="0" collapsed="false">
      <c r="A23" s="0" t="str">
        <f aca="false">'City Data'!A23</f>
        <v>Baku</v>
      </c>
      <c r="B23" s="4" t="n">
        <f aca="false">'City Data'!B23/Assumptions!$B$2</f>
        <v>12.5</v>
      </c>
      <c r="C23" s="4" t="n">
        <f aca="false">'City Data'!C23/Assumptions!$B$2</f>
        <v>37.5</v>
      </c>
      <c r="D23" s="4" t="n">
        <f aca="false">'City Data'!D23/Assumptions!$B$2</f>
        <v>110</v>
      </c>
      <c r="E23" s="4" t="n">
        <f aca="false">Assumptions!$B$3*Assumptions!$B$4*'City Data'!E23</f>
        <v>45</v>
      </c>
      <c r="F23" s="4" t="n">
        <f aca="false">Assumptions!$B$3*Assumptions!$B$5*'City Data'!E23</f>
        <v>81</v>
      </c>
      <c r="G23" s="4" t="n">
        <f aca="false">Assumptions!$B$3*Assumptions!$B$6*'City Data'!E23</f>
        <v>157.5</v>
      </c>
      <c r="H23" s="4" t="n">
        <f aca="false">Assumptions!$B$7*'City Data'!F23</f>
        <v>5</v>
      </c>
      <c r="I23" s="4" t="n">
        <f aca="false">Assumptions!$B$8*'City Data'!F23</f>
        <v>10</v>
      </c>
      <c r="J23" s="4" t="n">
        <f aca="false">Assumptions!$B$9*'City Data'!F23</f>
        <v>20</v>
      </c>
      <c r="K23" s="4" t="n">
        <f aca="false">'City Data'!G23+'City Data'!H23</f>
        <v>3.8</v>
      </c>
      <c r="L23" s="4" t="n">
        <f aca="false">IF(AND(Assumptions!$B$13,ISNUMBER('City Data'!I23)),Assumptions!$B$10*'City Data'!I23,0)</f>
        <v>4</v>
      </c>
      <c r="M23" s="4" t="n">
        <f aca="false">IF(AND(Assumptions!$B$13,ISNUMBER('City Data'!I23)),Assumptions!$B$11*'City Data'!I23,0)</f>
        <v>8</v>
      </c>
      <c r="N23" s="4" t="n">
        <f aca="false">IF(AND(Assumptions!$B$13,ISNUMBER('City Data'!I23)),Assumptions!$B$12*'City Data'!I23,0)</f>
        <v>12</v>
      </c>
      <c r="O23" s="4" t="n">
        <f aca="false">B23+E23+H23+K23</f>
        <v>66.3</v>
      </c>
      <c r="P23" s="4" t="n">
        <f aca="false">C23+F23+I23+K23</f>
        <v>132.3</v>
      </c>
      <c r="Q23" s="4" t="n">
        <f aca="false">D23+G23+J23+K23</f>
        <v>291.3</v>
      </c>
      <c r="R23" s="4" t="n">
        <f aca="false">IF(Assumptions!$B$14,Assumptions!$B$15*O23,0)</f>
        <v>6.63</v>
      </c>
      <c r="S23" s="4" t="n">
        <f aca="false">IF(Assumptions!$B$14,Assumptions!$B$16*P23,0)</f>
        <v>26.46</v>
      </c>
      <c r="T23" s="4" t="n">
        <f aca="false">IF(Assumptions!$B$14,Assumptions!$B$17*Q23,0)</f>
        <v>101.955</v>
      </c>
      <c r="U23" s="4" t="n">
        <f aca="false">O23+L23+R23</f>
        <v>76.93</v>
      </c>
      <c r="V23" s="4" t="n">
        <f aca="false">P23+M23+S23</f>
        <v>166.76</v>
      </c>
      <c r="W23" s="4" t="n">
        <f aca="false">Q23+N23+T23</f>
        <v>405.255</v>
      </c>
      <c r="X23" s="4" t="n">
        <f aca="false">'City Data'!K23</f>
        <v>45</v>
      </c>
      <c r="Y23" s="4" t="n">
        <f aca="false">'City Data'!L23</f>
        <v>110</v>
      </c>
      <c r="Z23" s="4" t="n">
        <f aca="false">'City Data'!M23</f>
        <v>340</v>
      </c>
      <c r="AA23" s="4" t="n">
        <f aca="false">U23-X23</f>
        <v>31.93</v>
      </c>
      <c r="AB23" s="4" t="n">
        <f aca="false">V23-Y23</f>
        <v>56.76</v>
      </c>
      <c r="AC23" s="4" t="n">
        <f aca="false">W23-Z23</f>
        <v>65.255</v>
      </c>
      <c r="AD23" s="4" t="str">
        <f aca="false">IF(OR(AND(X23&lt;&gt;0,ABS(AA23)&gt;Assumptions!$B$18*X23),AND(Y23&lt;&gt;0,ABS(AB23)&gt;Assumptions!$B$18*Y23),AND(Z23&lt;&gt;0,ABS(AC23)&gt;Assumptions!$B$18*Z23)),"REVIEW","")</f>
        <v>REVIEW</v>
      </c>
    </row>
    <row r="24" customFormat="false" ht="15" hidden="false" customHeight="false" outlineLevel="0" collapsed="false">
      <c r="A24" s="0" t="str">
        <f aca="false">'City Data'!A24</f>
        <v>Bamako</v>
      </c>
      <c r="B24" s="4" t="n">
        <f aca="false">'City Data'!B24/Assumptions!$B$2</f>
        <v>14</v>
      </c>
      <c r="C24" s="4" t="n">
        <f aca="false">'City Data'!C24/Assumptions!$B$2</f>
        <v>45</v>
      </c>
      <c r="D24" s="4" t="n">
        <f aca="false">'City Data'!D24/Assumptions!$B$2</f>
        <v>90</v>
      </c>
      <c r="E24" s="4" t="n">
        <f aca="false">Assumptions!$B$3*Assumptions!$B$4*'City Data'!E24</f>
        <v>36</v>
      </c>
      <c r="F24" s="4" t="n">
        <f aca="false">Assumptions!$B$3*Assumptions!$B$5*'City Data'!E24</f>
        <v>64.8</v>
      </c>
      <c r="G24" s="4" t="n">
        <f aca="false">Assumptions!$B$3*Assumptions!$B$6*'City Data'!E24</f>
        <v>126</v>
      </c>
      <c r="H24" s="4" t="n">
        <f aca="false">Assumptions!$B$7*'City Data'!F24</f>
        <v>4</v>
      </c>
      <c r="I24" s="4" t="n">
        <f aca="false">Assumptions!$B$8*'City Data'!F24</f>
        <v>8</v>
      </c>
      <c r="J24" s="4" t="n">
        <f aca="false">Assumptions!$B$9*'City Data'!F24</f>
        <v>16</v>
      </c>
      <c r="K24" s="4" t="n">
        <f aca="false">'City Data'!G24+'City Data'!H24</f>
        <v>2.7</v>
      </c>
      <c r="L24" s="4" t="n">
        <f aca="false">IF(AND(Assumptions!$B$13,ISNUMBER('City Data'!I24)),Assumptions!$B$10*'City Data'!I24,0)</f>
        <v>3</v>
      </c>
      <c r="M24" s="4" t="n">
        <f aca="false">IF(AND(Assumptions!$B$13,ISNUMBER('City Data'!I24)),Assumptions!$B$11*'City Data'!I24,0)</f>
        <v>6</v>
      </c>
      <c r="N24" s="4" t="n">
        <f aca="false">IF(AND(Assumptions!$B$13,ISNUMBER('City Data'!I24)),Assumptions!$B$12*'City Data'!I24,0)</f>
        <v>9</v>
      </c>
      <c r="O24" s="4" t="n">
        <f aca="false">B24+E24+H24+K24</f>
        <v>56.7</v>
      </c>
      <c r="P24" s="4" t="n">
        <f aca="false">C24+F24+I24+K24</f>
        <v>120.5</v>
      </c>
      <c r="Q24" s="4" t="n">
        <f aca="false">D24+G24+J24+K24</f>
        <v>234.7</v>
      </c>
      <c r="R24" s="4" t="n">
        <f aca="false">IF(Assumptions!$B$14,Assumptions!$B$15*O24,0)</f>
        <v>5.67</v>
      </c>
      <c r="S24" s="4" t="n">
        <f aca="false">IF(Assumptions!$B$14,Assumptions!$B$16*P24,0)</f>
        <v>24.1</v>
      </c>
      <c r="T24" s="4" t="n">
        <f aca="false">IF(Assumptions!$B$14,Assumptions!$B$17*Q24,0)</f>
        <v>82.145</v>
      </c>
      <c r="U24" s="4" t="n">
        <f aca="false">O24+L24+R24</f>
        <v>65.37</v>
      </c>
      <c r="V24" s="4" t="n">
        <f aca="false">P24+M24+S24</f>
        <v>150.6</v>
      </c>
      <c r="W24" s="4" t="n">
        <f aca="false">Q24+N24+T24</f>
        <v>325.845</v>
      </c>
      <c r="X24" s="4" t="n">
        <f aca="false">'City Data'!K24</f>
        <v>40</v>
      </c>
      <c r="Y24" s="4" t="n">
        <f aca="false">'City Data'!L24</f>
        <v>100</v>
      </c>
      <c r="Z24" s="4" t="n">
        <f aca="false">'City Data'!M24</f>
        <v>300</v>
      </c>
      <c r="AA24" s="4" t="n">
        <f aca="false">U24-X24</f>
        <v>25.37</v>
      </c>
      <c r="AB24" s="4" t="n">
        <f aca="false">V24-Y24</f>
        <v>50.6</v>
      </c>
      <c r="AC24" s="4" t="n">
        <f aca="false">W24-Z24</f>
        <v>25.845</v>
      </c>
      <c r="AD24" s="4" t="str">
        <f aca="false">IF(OR(AND(X24&lt;&gt;0,ABS(AA24)&gt;Assumptions!$B$18*X24),AND(Y24&lt;&gt;0,ABS(AB24)&gt;Assumptions!$B$18*Y24),AND(Z24&lt;&gt;0,ABS(AC24)&gt;Assumptions!$B$18*Z24)),"REVIEW","")</f>
        <v>REVIEW</v>
      </c>
    </row>
    <row r="25" customFormat="false" ht="15" hidden="false" customHeight="false" outlineLevel="0" collapsed="false">
      <c r="A25" s="0" t="str">
        <f aca="false">'City Data'!A25</f>
        <v>Bandar Seri Begawan</v>
      </c>
      <c r="B25" s="4" t="n">
        <f aca="false">'City Data'!B25/Assumptions!$B$2</f>
        <v>12.5</v>
      </c>
      <c r="C25" s="4" t="n">
        <f aca="false">'City Data'!C25/Assumptions!$B$2</f>
        <v>37.5</v>
      </c>
      <c r="D25" s="4" t="n">
        <f aca="false">'City Data'!D25/Assumptions!$B$2</f>
        <v>75</v>
      </c>
      <c r="E25" s="4" t="n">
        <f aca="false">Assumptions!$B$3*Assumptions!$B$4*'City Data'!E25</f>
        <v>36</v>
      </c>
      <c r="F25" s="4" t="n">
        <f aca="false">Assumptions!$B$3*Assumptions!$B$5*'City Data'!E25</f>
        <v>64.8</v>
      </c>
      <c r="G25" s="4" t="n">
        <f aca="false">Assumptions!$B$3*Assumptions!$B$6*'City Data'!E25</f>
        <v>126</v>
      </c>
      <c r="H25" s="4" t="n">
        <f aca="false">Assumptions!$B$7*'City Data'!F25</f>
        <v>10</v>
      </c>
      <c r="I25" s="4" t="n">
        <f aca="false">Assumptions!$B$8*'City Data'!F25</f>
        <v>20</v>
      </c>
      <c r="J25" s="4" t="n">
        <f aca="false">Assumptions!$B$9*'City Data'!F25</f>
        <v>40</v>
      </c>
      <c r="K25" s="4" t="n">
        <f aca="false">'City Data'!G25+'City Data'!H25</f>
        <v>4</v>
      </c>
      <c r="L25" s="4" t="n">
        <f aca="false">IF(AND(Assumptions!$B$13,ISNUMBER('City Data'!I25)),Assumptions!$B$10*'City Data'!I25,0)</f>
        <v>0</v>
      </c>
      <c r="M25" s="4" t="n">
        <f aca="false">IF(AND(Assumptions!$B$13,ISNUMBER('City Data'!I25)),Assumptions!$B$11*'City Data'!I25,0)</f>
        <v>0</v>
      </c>
      <c r="N25" s="4" t="n">
        <f aca="false">IF(AND(Assumptions!$B$13,ISNUMBER('City Data'!I25)),Assumptions!$B$12*'City Data'!I25,0)</f>
        <v>0</v>
      </c>
      <c r="O25" s="4" t="n">
        <f aca="false">B25+E25+H25+K25</f>
        <v>62.5</v>
      </c>
      <c r="P25" s="4" t="n">
        <f aca="false">C25+F25+I25+K25</f>
        <v>126.3</v>
      </c>
      <c r="Q25" s="4" t="n">
        <f aca="false">D25+G25+J25+K25</f>
        <v>245</v>
      </c>
      <c r="R25" s="4" t="n">
        <f aca="false">IF(Assumptions!$B$14,Assumptions!$B$15*O25,0)</f>
        <v>6.25</v>
      </c>
      <c r="S25" s="4" t="n">
        <f aca="false">IF(Assumptions!$B$14,Assumptions!$B$16*P25,0)</f>
        <v>25.26</v>
      </c>
      <c r="T25" s="4" t="n">
        <f aca="false">IF(Assumptions!$B$14,Assumptions!$B$17*Q25,0)</f>
        <v>85.75</v>
      </c>
      <c r="U25" s="4" t="n">
        <f aca="false">O25+L25+R25</f>
        <v>68.75</v>
      </c>
      <c r="V25" s="4" t="n">
        <f aca="false">P25+M25+S25</f>
        <v>151.56</v>
      </c>
      <c r="W25" s="4" t="n">
        <f aca="false">Q25+N25+T25</f>
        <v>330.75</v>
      </c>
      <c r="X25" s="4" t="n">
        <f aca="false">'City Data'!K25</f>
        <v>40</v>
      </c>
      <c r="Y25" s="4" t="n">
        <f aca="false">'City Data'!L25</f>
        <v>100</v>
      </c>
      <c r="Z25" s="4" t="n">
        <f aca="false">'City Data'!M25</f>
        <v>285</v>
      </c>
      <c r="AA25" s="4" t="n">
        <f aca="false">U25-X25</f>
        <v>28.75</v>
      </c>
      <c r="AB25" s="4" t="n">
        <f aca="false">V25-Y25</f>
        <v>51.56</v>
      </c>
      <c r="AC25" s="4" t="n">
        <f aca="false">W25-Z25</f>
        <v>45.75</v>
      </c>
      <c r="AD25" s="4" t="str">
        <f aca="false">IF(OR(AND(X25&lt;&gt;0,ABS(AA25)&gt;Assumptions!$B$18*X25),AND(Y25&lt;&gt;0,ABS(AB25)&gt;Assumptions!$B$18*Y25),AND(Z25&lt;&gt;0,ABS(AC25)&gt;Assumptions!$B$18*Z25)),"REVIEW","")</f>
        <v>REVIEW</v>
      </c>
    </row>
    <row r="26" customFormat="false" ht="15" hidden="false" customHeight="false" outlineLevel="0" collapsed="false">
      <c r="A26" s="0" t="str">
        <f aca="false">'City Data'!A26</f>
        <v>Bangkok</v>
      </c>
      <c r="B26" s="4" t="n">
        <f aca="false">'City Data'!B26/Assumptions!$B$2</f>
        <v>9</v>
      </c>
      <c r="C26" s="4" t="n">
        <f aca="false">'City Data'!C26/Assumptions!$B$2</f>
        <v>22.5</v>
      </c>
      <c r="D26" s="4" t="n">
        <f aca="false">'City Data'!D26/Assumptions!$B$2</f>
        <v>75</v>
      </c>
      <c r="E26" s="4" t="n">
        <f aca="false">Assumptions!$B$3*Assumptions!$B$4*'City Data'!E26</f>
        <v>24</v>
      </c>
      <c r="F26" s="4" t="n">
        <f aca="false">Assumptions!$B$3*Assumptions!$B$5*'City Data'!E26</f>
        <v>43.2</v>
      </c>
      <c r="G26" s="4" t="n">
        <f aca="false">Assumptions!$B$3*Assumptions!$B$6*'City Data'!E26</f>
        <v>84</v>
      </c>
      <c r="H26" s="4" t="n">
        <f aca="false">Assumptions!$B$7*'City Data'!F26</f>
        <v>5</v>
      </c>
      <c r="I26" s="4" t="n">
        <f aca="false">Assumptions!$B$8*'City Data'!F26</f>
        <v>10</v>
      </c>
      <c r="J26" s="4" t="n">
        <f aca="false">Assumptions!$B$9*'City Data'!F26</f>
        <v>20</v>
      </c>
      <c r="K26" s="4" t="n">
        <f aca="false">'City Data'!G26+'City Data'!H26</f>
        <v>3</v>
      </c>
      <c r="L26" s="4" t="n">
        <f aca="false">IF(AND(Assumptions!$B$13,ISNUMBER('City Data'!I26)),Assumptions!$B$10*'City Data'!I26,0)</f>
        <v>3</v>
      </c>
      <c r="M26" s="4" t="n">
        <f aca="false">IF(AND(Assumptions!$B$13,ISNUMBER('City Data'!I26)),Assumptions!$B$11*'City Data'!I26,0)</f>
        <v>6</v>
      </c>
      <c r="N26" s="4" t="n">
        <f aca="false">IF(AND(Assumptions!$B$13,ISNUMBER('City Data'!I26)),Assumptions!$B$12*'City Data'!I26,0)</f>
        <v>9</v>
      </c>
      <c r="O26" s="4" t="n">
        <f aca="false">B26+E26+H26+K26</f>
        <v>41</v>
      </c>
      <c r="P26" s="4" t="n">
        <f aca="false">C26+F26+I26+K26</f>
        <v>78.7</v>
      </c>
      <c r="Q26" s="4" t="n">
        <f aca="false">D26+G26+J26+K26</f>
        <v>182</v>
      </c>
      <c r="R26" s="4" t="n">
        <f aca="false">IF(Assumptions!$B$14,Assumptions!$B$15*O26,0)</f>
        <v>4.1</v>
      </c>
      <c r="S26" s="4" t="n">
        <f aca="false">IF(Assumptions!$B$14,Assumptions!$B$16*P26,0)</f>
        <v>15.74</v>
      </c>
      <c r="T26" s="4" t="n">
        <f aca="false">IF(Assumptions!$B$14,Assumptions!$B$17*Q26,0)</f>
        <v>63.7</v>
      </c>
      <c r="U26" s="4" t="n">
        <f aca="false">O26+L26+R26</f>
        <v>48.1</v>
      </c>
      <c r="V26" s="4" t="n">
        <f aca="false">P26+M26+S26</f>
        <v>100.44</v>
      </c>
      <c r="W26" s="4" t="n">
        <f aca="false">Q26+N26+T26</f>
        <v>254.7</v>
      </c>
      <c r="X26" s="4" t="n">
        <f aca="false">'City Data'!K26</f>
        <v>35</v>
      </c>
      <c r="Y26" s="4" t="n">
        <f aca="false">'City Data'!L26</f>
        <v>90</v>
      </c>
      <c r="Z26" s="4" t="n">
        <f aca="false">'City Data'!M26</f>
        <v>250</v>
      </c>
      <c r="AA26" s="4" t="n">
        <f aca="false">U26-X26</f>
        <v>13.1</v>
      </c>
      <c r="AB26" s="4" t="n">
        <f aca="false">V26-Y26</f>
        <v>10.44</v>
      </c>
      <c r="AC26" s="4" t="n">
        <f aca="false">W26-Z26</f>
        <v>4.69999999999999</v>
      </c>
      <c r="AD26" s="4" t="str">
        <f aca="false">IF(OR(AND(X26&lt;&gt;0,ABS(AA26)&gt;Assumptions!$B$18*X26),AND(Y26&lt;&gt;0,ABS(AB26)&gt;Assumptions!$B$18*Y26),AND(Z26&lt;&gt;0,ABS(AC26)&gt;Assumptions!$B$18*Z26)),"REVIEW","")</f>
        <v>REVIEW</v>
      </c>
    </row>
    <row r="27" customFormat="false" ht="15" hidden="false" customHeight="false" outlineLevel="0" collapsed="false">
      <c r="A27" s="0" t="str">
        <f aca="false">'City Data'!A27</f>
        <v>Bangui</v>
      </c>
      <c r="B27" s="4" t="n">
        <f aca="false">'City Data'!B27/Assumptions!$B$2</f>
        <v>15</v>
      </c>
      <c r="C27" s="4" t="n">
        <f aca="false">'City Data'!C27/Assumptions!$B$2</f>
        <v>35</v>
      </c>
      <c r="D27" s="4" t="n">
        <f aca="false">'City Data'!D27/Assumptions!$B$2</f>
        <v>100</v>
      </c>
      <c r="E27" s="4" t="n">
        <f aca="false">Assumptions!$B$3*Assumptions!$B$4*'City Data'!E27</f>
        <v>36</v>
      </c>
      <c r="F27" s="4" t="n">
        <f aca="false">Assumptions!$B$3*Assumptions!$B$5*'City Data'!E27</f>
        <v>64.8</v>
      </c>
      <c r="G27" s="4" t="n">
        <f aca="false">Assumptions!$B$3*Assumptions!$B$6*'City Data'!E27</f>
        <v>126</v>
      </c>
      <c r="H27" s="4" t="n">
        <f aca="false">Assumptions!$B$7*'City Data'!F27</f>
        <v>4</v>
      </c>
      <c r="I27" s="4" t="n">
        <f aca="false">Assumptions!$B$8*'City Data'!F27</f>
        <v>8</v>
      </c>
      <c r="J27" s="4" t="n">
        <f aca="false">Assumptions!$B$9*'City Data'!F27</f>
        <v>16</v>
      </c>
      <c r="K27" s="4" t="n">
        <f aca="false">'City Data'!G27+'City Data'!H27</f>
        <v>3.5</v>
      </c>
      <c r="L27" s="4" t="n">
        <f aca="false">IF(AND(Assumptions!$B$13,ISNUMBER('City Data'!I27)),Assumptions!$B$10*'City Data'!I27,0)</f>
        <v>2</v>
      </c>
      <c r="M27" s="4" t="n">
        <f aca="false">IF(AND(Assumptions!$B$13,ISNUMBER('City Data'!I27)),Assumptions!$B$11*'City Data'!I27,0)</f>
        <v>4</v>
      </c>
      <c r="N27" s="4" t="n">
        <f aca="false">IF(AND(Assumptions!$B$13,ISNUMBER('City Data'!I27)),Assumptions!$B$12*'City Data'!I27,0)</f>
        <v>6</v>
      </c>
      <c r="O27" s="4" t="n">
        <f aca="false">B27+E27+H27+K27</f>
        <v>58.5</v>
      </c>
      <c r="P27" s="4" t="n">
        <f aca="false">C27+F27+I27+K27</f>
        <v>111.3</v>
      </c>
      <c r="Q27" s="4" t="n">
        <f aca="false">D27+G27+J27+K27</f>
        <v>245.5</v>
      </c>
      <c r="R27" s="4" t="n">
        <f aca="false">IF(Assumptions!$B$14,Assumptions!$B$15*O27,0)</f>
        <v>5.85</v>
      </c>
      <c r="S27" s="4" t="n">
        <f aca="false">IF(Assumptions!$B$14,Assumptions!$B$16*P27,0)</f>
        <v>22.26</v>
      </c>
      <c r="T27" s="4" t="n">
        <f aca="false">IF(Assumptions!$B$14,Assumptions!$B$17*Q27,0)</f>
        <v>85.925</v>
      </c>
      <c r="U27" s="4" t="n">
        <f aca="false">O27+L27+R27</f>
        <v>66.35</v>
      </c>
      <c r="V27" s="4" t="n">
        <f aca="false">P27+M27+S27</f>
        <v>137.56</v>
      </c>
      <c r="W27" s="4" t="n">
        <f aca="false">Q27+N27+T27</f>
        <v>337.425</v>
      </c>
      <c r="X27" s="4" t="n">
        <f aca="false">'City Data'!K27</f>
        <v>40</v>
      </c>
      <c r="Y27" s="4" t="n">
        <f aca="false">'City Data'!L27</f>
        <v>105</v>
      </c>
      <c r="Z27" s="4" t="n">
        <f aca="false">'City Data'!M27</f>
        <v>310</v>
      </c>
      <c r="AA27" s="4" t="n">
        <f aca="false">U27-X27</f>
        <v>26.35</v>
      </c>
      <c r="AB27" s="4" t="n">
        <f aca="false">V27-Y27</f>
        <v>32.56</v>
      </c>
      <c r="AC27" s="4" t="n">
        <f aca="false">W27-Z27</f>
        <v>27.425</v>
      </c>
      <c r="AD27" s="4" t="str">
        <f aca="false">IF(OR(AND(X27&lt;&gt;0,ABS(AA27)&gt;Assumptions!$B$18*X27),AND(Y27&lt;&gt;0,ABS(AB27)&gt;Assumptions!$B$18*Y27),AND(Z27&lt;&gt;0,ABS(AC27)&gt;Assumptions!$B$18*Z27)),"REVIEW","")</f>
        <v>REVIEW</v>
      </c>
    </row>
    <row r="28" customFormat="false" ht="15" hidden="false" customHeight="false" outlineLevel="0" collapsed="false">
      <c r="A28" s="0" t="str">
        <f aca="false">'City Data'!A28</f>
        <v>Banjul</v>
      </c>
      <c r="B28" s="4" t="n">
        <f aca="false">'City Data'!B28/Assumptions!$B$2</f>
        <v>12.5</v>
      </c>
      <c r="C28" s="4" t="n">
        <f aca="false">'City Data'!C28/Assumptions!$B$2</f>
        <v>27.5</v>
      </c>
      <c r="D28" s="4" t="n">
        <f aca="false">'City Data'!D28/Assumptions!$B$2</f>
        <v>75</v>
      </c>
      <c r="E28" s="4" t="n">
        <f aca="false">Assumptions!$B$3*Assumptions!$B$4*'City Data'!E28</f>
        <v>24</v>
      </c>
      <c r="F28" s="4" t="n">
        <f aca="false">Assumptions!$B$3*Assumptions!$B$5*'City Data'!E28</f>
        <v>43.2</v>
      </c>
      <c r="G28" s="4" t="n">
        <f aca="false">Assumptions!$B$3*Assumptions!$B$6*'City Data'!E28</f>
        <v>84</v>
      </c>
      <c r="H28" s="4" t="n">
        <f aca="false">Assumptions!$B$7*'City Data'!F28</f>
        <v>6</v>
      </c>
      <c r="I28" s="4" t="n">
        <f aca="false">Assumptions!$B$8*'City Data'!F28</f>
        <v>12</v>
      </c>
      <c r="J28" s="4" t="n">
        <f aca="false">Assumptions!$B$9*'City Data'!F28</f>
        <v>24</v>
      </c>
      <c r="K28" s="4" t="n">
        <f aca="false">'City Data'!G28+'City Data'!H28</f>
        <v>3.1</v>
      </c>
      <c r="L28" s="4" t="n">
        <f aca="false">IF(AND(Assumptions!$B$13,ISNUMBER('City Data'!I28)),Assumptions!$B$10*'City Data'!I28,0)</f>
        <v>3</v>
      </c>
      <c r="M28" s="4" t="n">
        <f aca="false">IF(AND(Assumptions!$B$13,ISNUMBER('City Data'!I28)),Assumptions!$B$11*'City Data'!I28,0)</f>
        <v>6</v>
      </c>
      <c r="N28" s="4" t="n">
        <f aca="false">IF(AND(Assumptions!$B$13,ISNUMBER('City Data'!I28)),Assumptions!$B$12*'City Data'!I28,0)</f>
        <v>9</v>
      </c>
      <c r="O28" s="4" t="n">
        <f aca="false">B28+E28+H28+K28</f>
        <v>45.6</v>
      </c>
      <c r="P28" s="4" t="n">
        <f aca="false">C28+F28+I28+K28</f>
        <v>85.8</v>
      </c>
      <c r="Q28" s="4" t="n">
        <f aca="false">D28+G28+J28+K28</f>
        <v>186.1</v>
      </c>
      <c r="R28" s="4" t="n">
        <f aca="false">IF(Assumptions!$B$14,Assumptions!$B$15*O28,0)</f>
        <v>4.56</v>
      </c>
      <c r="S28" s="4" t="n">
        <f aca="false">IF(Assumptions!$B$14,Assumptions!$B$16*P28,0)</f>
        <v>17.16</v>
      </c>
      <c r="T28" s="4" t="n">
        <f aca="false">IF(Assumptions!$B$14,Assumptions!$B$17*Q28,0)</f>
        <v>65.135</v>
      </c>
      <c r="U28" s="4" t="n">
        <f aca="false">O28+L28+R28</f>
        <v>53.16</v>
      </c>
      <c r="V28" s="4" t="n">
        <f aca="false">P28+M28+S28</f>
        <v>108.96</v>
      </c>
      <c r="W28" s="4" t="n">
        <f aca="false">Q28+N28+T28</f>
        <v>260.235</v>
      </c>
      <c r="X28" s="4" t="n">
        <f aca="false">'City Data'!K28</f>
        <v>35</v>
      </c>
      <c r="Y28" s="4" t="n">
        <f aca="false">'City Data'!L28</f>
        <v>85</v>
      </c>
      <c r="Z28" s="4" t="n">
        <f aca="false">'City Data'!M28</f>
        <v>250</v>
      </c>
      <c r="AA28" s="4" t="n">
        <f aca="false">U28-X28</f>
        <v>18.16</v>
      </c>
      <c r="AB28" s="4" t="n">
        <f aca="false">V28-Y28</f>
        <v>23.96</v>
      </c>
      <c r="AC28" s="4" t="n">
        <f aca="false">W28-Z28</f>
        <v>10.235</v>
      </c>
      <c r="AD28" s="4" t="str">
        <f aca="false">IF(OR(AND(X28&lt;&gt;0,ABS(AA28)&gt;Assumptions!$B$18*X28),AND(Y28&lt;&gt;0,ABS(AB28)&gt;Assumptions!$B$18*Y28),AND(Z28&lt;&gt;0,ABS(AC28)&gt;Assumptions!$B$18*Z28)),"REVIEW","")</f>
        <v>REVIEW</v>
      </c>
    </row>
    <row r="29" customFormat="false" ht="15" hidden="false" customHeight="false" outlineLevel="0" collapsed="false">
      <c r="A29" s="0" t="str">
        <f aca="false">'City Data'!A29</f>
        <v>Barcelona</v>
      </c>
      <c r="B29" s="4" t="n">
        <f aca="false">'City Data'!B29/Assumptions!$B$2</f>
        <v>27.5</v>
      </c>
      <c r="C29" s="4" t="n">
        <f aca="false">'City Data'!C29/Assumptions!$B$2</f>
        <v>60</v>
      </c>
      <c r="D29" s="4" t="n">
        <f aca="false">'City Data'!D29/Assumptions!$B$2</f>
        <v>150</v>
      </c>
      <c r="E29" s="4" t="n">
        <f aca="false">Assumptions!$B$3*Assumptions!$B$4*'City Data'!E29</f>
        <v>66</v>
      </c>
      <c r="F29" s="4" t="n">
        <f aca="false">Assumptions!$B$3*Assumptions!$B$5*'City Data'!E29</f>
        <v>118.8</v>
      </c>
      <c r="G29" s="4" t="n">
        <f aca="false">Assumptions!$B$3*Assumptions!$B$6*'City Data'!E29</f>
        <v>231</v>
      </c>
      <c r="H29" s="4" t="n">
        <f aca="false">Assumptions!$B$7*'City Data'!F29</f>
        <v>15</v>
      </c>
      <c r="I29" s="4" t="n">
        <f aca="false">Assumptions!$B$8*'City Data'!F29</f>
        <v>30</v>
      </c>
      <c r="J29" s="4" t="n">
        <f aca="false">Assumptions!$B$9*'City Data'!F29</f>
        <v>60</v>
      </c>
      <c r="K29" s="4" t="n">
        <f aca="false">'City Data'!G29+'City Data'!H29</f>
        <v>3</v>
      </c>
      <c r="L29" s="4" t="n">
        <f aca="false">IF(AND(Assumptions!$B$13,ISNUMBER('City Data'!I29)),Assumptions!$B$10*'City Data'!I29,0)</f>
        <v>3.5</v>
      </c>
      <c r="M29" s="4" t="n">
        <f aca="false">IF(AND(Assumptions!$B$13,ISNUMBER('City Data'!I29)),Assumptions!$B$11*'City Data'!I29,0)</f>
        <v>7</v>
      </c>
      <c r="N29" s="4" t="n">
        <f aca="false">IF(AND(Assumptions!$B$13,ISNUMBER('City Data'!I29)),Assumptions!$B$12*'City Data'!I29,0)</f>
        <v>10.5</v>
      </c>
      <c r="O29" s="4" t="n">
        <f aca="false">B29+E29+H29+K29</f>
        <v>111.5</v>
      </c>
      <c r="P29" s="4" t="n">
        <f aca="false">C29+F29+I29+K29</f>
        <v>211.8</v>
      </c>
      <c r="Q29" s="4" t="n">
        <f aca="false">D29+G29+J29+K29</f>
        <v>444</v>
      </c>
      <c r="R29" s="4" t="n">
        <f aca="false">IF(Assumptions!$B$14,Assumptions!$B$15*O29,0)</f>
        <v>11.15</v>
      </c>
      <c r="S29" s="4" t="n">
        <f aca="false">IF(Assumptions!$B$14,Assumptions!$B$16*P29,0)</f>
        <v>42.36</v>
      </c>
      <c r="T29" s="4" t="n">
        <f aca="false">IF(Assumptions!$B$14,Assumptions!$B$17*Q29,0)</f>
        <v>155.4</v>
      </c>
      <c r="U29" s="4" t="n">
        <f aca="false">O29+L29+R29</f>
        <v>126.15</v>
      </c>
      <c r="V29" s="4" t="n">
        <f aca="false">P29+M29+S29</f>
        <v>261.16</v>
      </c>
      <c r="W29" s="4" t="n">
        <f aca="false">Q29+N29+T29</f>
        <v>609.9</v>
      </c>
      <c r="X29" s="4" t="n">
        <f aca="false">'City Data'!K29</f>
        <v>75</v>
      </c>
      <c r="Y29" s="4" t="n">
        <f aca="false">'City Data'!L29</f>
        <v>180</v>
      </c>
      <c r="Z29" s="4" t="n">
        <f aca="false">'City Data'!M29</f>
        <v>500</v>
      </c>
      <c r="AA29" s="4" t="n">
        <f aca="false">U29-X29</f>
        <v>51.15</v>
      </c>
      <c r="AB29" s="4" t="n">
        <f aca="false">V29-Y29</f>
        <v>81.16</v>
      </c>
      <c r="AC29" s="4" t="n">
        <f aca="false">W29-Z29</f>
        <v>109.9</v>
      </c>
      <c r="AD29" s="4" t="str">
        <f aca="false">IF(OR(AND(X29&lt;&gt;0,ABS(AA29)&gt;Assumptions!$B$18*X29),AND(Y29&lt;&gt;0,ABS(AB29)&gt;Assumptions!$B$18*Y29),AND(Z29&lt;&gt;0,ABS(AC29)&gt;Assumptions!$B$18*Z29)),"REVIEW","")</f>
        <v>REVIEW</v>
      </c>
    </row>
    <row r="30" customFormat="false" ht="15" hidden="false" customHeight="false" outlineLevel="0" collapsed="false">
      <c r="A30" s="0" t="str">
        <f aca="false">'City Data'!A30</f>
        <v>Basseterre</v>
      </c>
      <c r="B30" s="4" t="n">
        <f aca="false">'City Data'!B30/Assumptions!$B$2</f>
        <v>40</v>
      </c>
      <c r="C30" s="4" t="n">
        <f aca="false">'City Data'!C30/Assumptions!$B$2</f>
        <v>75</v>
      </c>
      <c r="D30" s="4" t="n">
        <f aca="false">'City Data'!D30/Assumptions!$B$2</f>
        <v>275</v>
      </c>
      <c r="E30" s="4" t="n">
        <f aca="false">Assumptions!$B$3*Assumptions!$B$4*'City Data'!E30</f>
        <v>75</v>
      </c>
      <c r="F30" s="4" t="n">
        <f aca="false">Assumptions!$B$3*Assumptions!$B$5*'City Data'!E30</f>
        <v>135</v>
      </c>
      <c r="G30" s="4" t="n">
        <f aca="false">Assumptions!$B$3*Assumptions!$B$6*'City Data'!E30</f>
        <v>262.5</v>
      </c>
      <c r="H30" s="4" t="n">
        <f aca="false">Assumptions!$B$7*'City Data'!F30</f>
        <v>18</v>
      </c>
      <c r="I30" s="4" t="n">
        <f aca="false">Assumptions!$B$8*'City Data'!F30</f>
        <v>36</v>
      </c>
      <c r="J30" s="4" t="n">
        <f aca="false">Assumptions!$B$9*'City Data'!F30</f>
        <v>72</v>
      </c>
      <c r="K30" s="4" t="n">
        <f aca="false">'City Data'!G30+'City Data'!H30</f>
        <v>4.5</v>
      </c>
      <c r="L30" s="4" t="n">
        <f aca="false">IF(AND(Assumptions!$B$13,ISNUMBER('City Data'!I30)),Assumptions!$B$10*'City Data'!I30,0)</f>
        <v>5</v>
      </c>
      <c r="M30" s="4" t="n">
        <f aca="false">IF(AND(Assumptions!$B$13,ISNUMBER('City Data'!I30)),Assumptions!$B$11*'City Data'!I30,0)</f>
        <v>10</v>
      </c>
      <c r="N30" s="4" t="n">
        <f aca="false">IF(AND(Assumptions!$B$13,ISNUMBER('City Data'!I30)),Assumptions!$B$12*'City Data'!I30,0)</f>
        <v>15</v>
      </c>
      <c r="O30" s="4" t="n">
        <f aca="false">B30+E30+H30+K30</f>
        <v>137.5</v>
      </c>
      <c r="P30" s="4" t="n">
        <f aca="false">C30+F30+I30+K30</f>
        <v>250.5</v>
      </c>
      <c r="Q30" s="4" t="n">
        <f aca="false">D30+G30+J30+K30</f>
        <v>614</v>
      </c>
      <c r="R30" s="4" t="n">
        <f aca="false">IF(Assumptions!$B$14,Assumptions!$B$15*O30,0)</f>
        <v>13.75</v>
      </c>
      <c r="S30" s="4" t="n">
        <f aca="false">IF(Assumptions!$B$14,Assumptions!$B$16*P30,0)</f>
        <v>50.1</v>
      </c>
      <c r="T30" s="4" t="n">
        <f aca="false">IF(Assumptions!$B$14,Assumptions!$B$17*Q30,0)</f>
        <v>214.9</v>
      </c>
      <c r="U30" s="4" t="n">
        <f aca="false">O30+L30+R30</f>
        <v>156.25</v>
      </c>
      <c r="V30" s="4" t="n">
        <f aca="false">P30+M30+S30</f>
        <v>310.6</v>
      </c>
      <c r="W30" s="4" t="n">
        <f aca="false">Q30+N30+T30</f>
        <v>843.9</v>
      </c>
      <c r="X30" s="4" t="n">
        <f aca="false">'City Data'!K30</f>
        <v>85</v>
      </c>
      <c r="Y30" s="4" t="n">
        <f aca="false">'City Data'!L30</f>
        <v>220</v>
      </c>
      <c r="Z30" s="4" t="n">
        <f aca="false">'City Data'!M30</f>
        <v>650</v>
      </c>
      <c r="AA30" s="4" t="n">
        <f aca="false">U30-X30</f>
        <v>71.25</v>
      </c>
      <c r="AB30" s="4" t="n">
        <f aca="false">V30-Y30</f>
        <v>90.6</v>
      </c>
      <c r="AC30" s="4" t="n">
        <f aca="false">W30-Z30</f>
        <v>193.9</v>
      </c>
      <c r="AD30" s="4" t="str">
        <f aca="false">IF(OR(AND(X30&lt;&gt;0,ABS(AA30)&gt;Assumptions!$B$18*X30),AND(Y30&lt;&gt;0,ABS(AB30)&gt;Assumptions!$B$18*Y30),AND(Z30&lt;&gt;0,ABS(AC30)&gt;Assumptions!$B$18*Z30)),"REVIEW","")</f>
        <v>REVIEW</v>
      </c>
    </row>
    <row r="31" customFormat="false" ht="15" hidden="false" customHeight="false" outlineLevel="0" collapsed="false">
      <c r="A31" s="0" t="str">
        <f aca="false">'City Data'!A31</f>
        <v>Beijing</v>
      </c>
      <c r="B31" s="4" t="n">
        <f aca="false">'City Data'!B31/Assumptions!$B$2</f>
        <v>17.5</v>
      </c>
      <c r="C31" s="4" t="n">
        <f aca="false">'City Data'!C31/Assumptions!$B$2</f>
        <v>40</v>
      </c>
      <c r="D31" s="4" t="n">
        <f aca="false">'City Data'!D31/Assumptions!$B$2</f>
        <v>125</v>
      </c>
      <c r="E31" s="4" t="n">
        <f aca="false">Assumptions!$B$3*Assumptions!$B$4*'City Data'!E31</f>
        <v>36</v>
      </c>
      <c r="F31" s="4" t="n">
        <f aca="false">Assumptions!$B$3*Assumptions!$B$5*'City Data'!E31</f>
        <v>64.8</v>
      </c>
      <c r="G31" s="4" t="n">
        <f aca="false">Assumptions!$B$3*Assumptions!$B$6*'City Data'!E31</f>
        <v>126</v>
      </c>
      <c r="H31" s="4" t="n">
        <f aca="false">Assumptions!$B$7*'City Data'!F31</f>
        <v>8</v>
      </c>
      <c r="I31" s="4" t="n">
        <f aca="false">Assumptions!$B$8*'City Data'!F31</f>
        <v>16</v>
      </c>
      <c r="J31" s="4" t="n">
        <f aca="false">Assumptions!$B$9*'City Data'!F31</f>
        <v>32</v>
      </c>
      <c r="K31" s="4" t="n">
        <f aca="false">'City Data'!G31+'City Data'!H31</f>
        <v>5</v>
      </c>
      <c r="L31" s="4" t="n">
        <f aca="false">IF(AND(Assumptions!$B$13,ISNUMBER('City Data'!I31)),Assumptions!$B$10*'City Data'!I31,0)</f>
        <v>3</v>
      </c>
      <c r="M31" s="4" t="n">
        <f aca="false">IF(AND(Assumptions!$B$13,ISNUMBER('City Data'!I31)),Assumptions!$B$11*'City Data'!I31,0)</f>
        <v>6</v>
      </c>
      <c r="N31" s="4" t="n">
        <f aca="false">IF(AND(Assumptions!$B$13,ISNUMBER('City Data'!I31)),Assumptions!$B$12*'City Data'!I31,0)</f>
        <v>9</v>
      </c>
      <c r="O31" s="4" t="n">
        <f aca="false">B31+E31+H31+K31</f>
        <v>66.5</v>
      </c>
      <c r="P31" s="4" t="n">
        <f aca="false">C31+F31+I31+K31</f>
        <v>125.8</v>
      </c>
      <c r="Q31" s="4" t="n">
        <f aca="false">D31+G31+J31+K31</f>
        <v>288</v>
      </c>
      <c r="R31" s="4" t="n">
        <f aca="false">IF(Assumptions!$B$14,Assumptions!$B$15*O31,0)</f>
        <v>6.65</v>
      </c>
      <c r="S31" s="4" t="n">
        <f aca="false">IF(Assumptions!$B$14,Assumptions!$B$16*P31,0)</f>
        <v>25.16</v>
      </c>
      <c r="T31" s="4" t="n">
        <f aca="false">IF(Assumptions!$B$14,Assumptions!$B$17*Q31,0)</f>
        <v>100.8</v>
      </c>
      <c r="U31" s="4" t="n">
        <f aca="false">O31+L31+R31</f>
        <v>76.15</v>
      </c>
      <c r="V31" s="4" t="n">
        <f aca="false">P31+M31+S31</f>
        <v>156.96</v>
      </c>
      <c r="W31" s="4" t="n">
        <f aca="false">Q31+N31+T31</f>
        <v>397.8</v>
      </c>
      <c r="X31" s="4" t="n">
        <f aca="false">'City Data'!K31</f>
        <v>55</v>
      </c>
      <c r="Y31" s="4" t="n">
        <f aca="false">'City Data'!L31</f>
        <v>135</v>
      </c>
      <c r="Z31" s="4" t="n">
        <f aca="false">'City Data'!M31</f>
        <v>380</v>
      </c>
      <c r="AA31" s="4" t="n">
        <f aca="false">U31-X31</f>
        <v>21.15</v>
      </c>
      <c r="AB31" s="4" t="n">
        <f aca="false">V31-Y31</f>
        <v>21.96</v>
      </c>
      <c r="AC31" s="4" t="n">
        <f aca="false">W31-Z31</f>
        <v>17.8</v>
      </c>
      <c r="AD31" s="4" t="str">
        <f aca="false">IF(OR(AND(X31&lt;&gt;0,ABS(AA31)&gt;Assumptions!$B$18*X31),AND(Y31&lt;&gt;0,ABS(AB31)&gt;Assumptions!$B$18*Y31),AND(Z31&lt;&gt;0,ABS(AC31)&gt;Assumptions!$B$18*Z31)),"REVIEW","")</f>
        <v>REVIEW</v>
      </c>
    </row>
    <row r="32" customFormat="false" ht="15" hidden="false" customHeight="false" outlineLevel="0" collapsed="false">
      <c r="A32" s="0" t="str">
        <f aca="false">'City Data'!A32</f>
        <v>Beirut</v>
      </c>
      <c r="B32" s="4" t="n">
        <f aca="false">'City Data'!B32/Assumptions!$B$2</f>
        <v>20</v>
      </c>
      <c r="C32" s="4" t="n">
        <f aca="false">'City Data'!C32/Assumptions!$B$2</f>
        <v>45</v>
      </c>
      <c r="D32" s="4" t="n">
        <f aca="false">'City Data'!D32/Assumptions!$B$2</f>
        <v>130</v>
      </c>
      <c r="E32" s="4" t="n">
        <f aca="false">Assumptions!$B$3*Assumptions!$B$4*'City Data'!E32</f>
        <v>54</v>
      </c>
      <c r="F32" s="4" t="n">
        <f aca="false">Assumptions!$B$3*Assumptions!$B$5*'City Data'!E32</f>
        <v>97.2</v>
      </c>
      <c r="G32" s="4" t="n">
        <f aca="false">Assumptions!$B$3*Assumptions!$B$6*'City Data'!E32</f>
        <v>189</v>
      </c>
      <c r="H32" s="4" t="n">
        <f aca="false">Assumptions!$B$7*'City Data'!F32</f>
        <v>8</v>
      </c>
      <c r="I32" s="4" t="n">
        <f aca="false">Assumptions!$B$8*'City Data'!F32</f>
        <v>16</v>
      </c>
      <c r="J32" s="4" t="n">
        <f aca="false">Assumptions!$B$9*'City Data'!F32</f>
        <v>32</v>
      </c>
      <c r="K32" s="4" t="n">
        <f aca="false">'City Data'!G32+'City Data'!H32</f>
        <v>4.5</v>
      </c>
      <c r="L32" s="4" t="n">
        <f aca="false">IF(AND(Assumptions!$B$13,ISNUMBER('City Data'!I32)),Assumptions!$B$10*'City Data'!I32,0)</f>
        <v>6</v>
      </c>
      <c r="M32" s="4" t="n">
        <f aca="false">IF(AND(Assumptions!$B$13,ISNUMBER('City Data'!I32)),Assumptions!$B$11*'City Data'!I32,0)</f>
        <v>12</v>
      </c>
      <c r="N32" s="4" t="n">
        <f aca="false">IF(AND(Assumptions!$B$13,ISNUMBER('City Data'!I32)),Assumptions!$B$12*'City Data'!I32,0)</f>
        <v>18</v>
      </c>
      <c r="O32" s="4" t="n">
        <f aca="false">B32+E32+H32+K32</f>
        <v>86.5</v>
      </c>
      <c r="P32" s="4" t="n">
        <f aca="false">C32+F32+I32+K32</f>
        <v>162.7</v>
      </c>
      <c r="Q32" s="4" t="n">
        <f aca="false">D32+G32+J32+K32</f>
        <v>355.5</v>
      </c>
      <c r="R32" s="4" t="n">
        <f aca="false">IF(Assumptions!$B$14,Assumptions!$B$15*O32,0)</f>
        <v>8.65</v>
      </c>
      <c r="S32" s="4" t="n">
        <f aca="false">IF(Assumptions!$B$14,Assumptions!$B$16*P32,0)</f>
        <v>32.54</v>
      </c>
      <c r="T32" s="4" t="n">
        <f aca="false">IF(Assumptions!$B$14,Assumptions!$B$17*Q32,0)</f>
        <v>124.425</v>
      </c>
      <c r="U32" s="4" t="n">
        <f aca="false">O32+L32+R32</f>
        <v>101.15</v>
      </c>
      <c r="V32" s="4" t="n">
        <f aca="false">P32+M32+S32</f>
        <v>207.24</v>
      </c>
      <c r="W32" s="4" t="n">
        <f aca="false">Q32+N32+T32</f>
        <v>497.925</v>
      </c>
      <c r="X32" s="4" t="n">
        <f aca="false">'City Data'!K32</f>
        <v>55</v>
      </c>
      <c r="Y32" s="4" t="n">
        <f aca="false">'City Data'!L32</f>
        <v>135</v>
      </c>
      <c r="Z32" s="4" t="n">
        <f aca="false">'City Data'!M32</f>
        <v>400</v>
      </c>
      <c r="AA32" s="4" t="n">
        <f aca="false">U32-X32</f>
        <v>46.15</v>
      </c>
      <c r="AB32" s="4" t="n">
        <f aca="false">V32-Y32</f>
        <v>72.24</v>
      </c>
      <c r="AC32" s="4" t="n">
        <f aca="false">W32-Z32</f>
        <v>97.925</v>
      </c>
      <c r="AD32" s="4" t="str">
        <f aca="false">IF(OR(AND(X32&lt;&gt;0,ABS(AA32)&gt;Assumptions!$B$18*X32),AND(Y32&lt;&gt;0,ABS(AB32)&gt;Assumptions!$B$18*Y32),AND(Z32&lt;&gt;0,ABS(AC32)&gt;Assumptions!$B$18*Z32)),"REVIEW","")</f>
        <v>REVIEW</v>
      </c>
    </row>
    <row r="33" customFormat="false" ht="15" hidden="false" customHeight="false" outlineLevel="0" collapsed="false">
      <c r="A33" s="0" t="str">
        <f aca="false">'City Data'!A33</f>
        <v>Belgrade</v>
      </c>
      <c r="B33" s="4" t="n">
        <f aca="false">'City Data'!B33/Assumptions!$B$2</f>
        <v>12.5</v>
      </c>
      <c r="C33" s="4" t="n">
        <f aca="false">'City Data'!C33/Assumptions!$B$2</f>
        <v>37.5</v>
      </c>
      <c r="D33" s="4" t="n">
        <f aca="false">'City Data'!D33/Assumptions!$B$2</f>
        <v>110</v>
      </c>
      <c r="E33" s="4" t="n">
        <f aca="false">Assumptions!$B$3*Assumptions!$B$4*'City Data'!E33</f>
        <v>45</v>
      </c>
      <c r="F33" s="4" t="n">
        <f aca="false">Assumptions!$B$3*Assumptions!$B$5*'City Data'!E33</f>
        <v>81</v>
      </c>
      <c r="G33" s="4" t="n">
        <f aca="false">Assumptions!$B$3*Assumptions!$B$6*'City Data'!E33</f>
        <v>157.5</v>
      </c>
      <c r="H33" s="4" t="n">
        <f aca="false">Assumptions!$B$7*'City Data'!F33</f>
        <v>6</v>
      </c>
      <c r="I33" s="4" t="n">
        <f aca="false">Assumptions!$B$8*'City Data'!F33</f>
        <v>12</v>
      </c>
      <c r="J33" s="4" t="n">
        <f aca="false">Assumptions!$B$9*'City Data'!F33</f>
        <v>24</v>
      </c>
      <c r="K33" s="4" t="n">
        <f aca="false">'City Data'!G33+'City Data'!H33</f>
        <v>4</v>
      </c>
      <c r="L33" s="4" t="n">
        <f aca="false">IF(AND(Assumptions!$B$13,ISNUMBER('City Data'!I33)),Assumptions!$B$10*'City Data'!I33,0)</f>
        <v>3</v>
      </c>
      <c r="M33" s="4" t="n">
        <f aca="false">IF(AND(Assumptions!$B$13,ISNUMBER('City Data'!I33)),Assumptions!$B$11*'City Data'!I33,0)</f>
        <v>6</v>
      </c>
      <c r="N33" s="4" t="n">
        <f aca="false">IF(AND(Assumptions!$B$13,ISNUMBER('City Data'!I33)),Assumptions!$B$12*'City Data'!I33,0)</f>
        <v>9</v>
      </c>
      <c r="O33" s="4" t="n">
        <f aca="false">B33+E33+H33+K33</f>
        <v>67.5</v>
      </c>
      <c r="P33" s="4" t="n">
        <f aca="false">C33+F33+I33+K33</f>
        <v>134.5</v>
      </c>
      <c r="Q33" s="4" t="n">
        <f aca="false">D33+G33+J33+K33</f>
        <v>295.5</v>
      </c>
      <c r="R33" s="4" t="n">
        <f aca="false">IF(Assumptions!$B$14,Assumptions!$B$15*O33,0)</f>
        <v>6.75</v>
      </c>
      <c r="S33" s="4" t="n">
        <f aca="false">IF(Assumptions!$B$14,Assumptions!$B$16*P33,0)</f>
        <v>26.9</v>
      </c>
      <c r="T33" s="4" t="n">
        <f aca="false">IF(Assumptions!$B$14,Assumptions!$B$17*Q33,0)</f>
        <v>103.425</v>
      </c>
      <c r="U33" s="4" t="n">
        <f aca="false">O33+L33+R33</f>
        <v>77.25</v>
      </c>
      <c r="V33" s="4" t="n">
        <f aca="false">P33+M33+S33</f>
        <v>167.4</v>
      </c>
      <c r="W33" s="4" t="n">
        <f aca="false">Q33+N33+T33</f>
        <v>407.925</v>
      </c>
      <c r="X33" s="4" t="n">
        <f aca="false">'City Data'!K33</f>
        <v>45</v>
      </c>
      <c r="Y33" s="4" t="n">
        <f aca="false">'City Data'!L33</f>
        <v>110</v>
      </c>
      <c r="Z33" s="4" t="n">
        <f aca="false">'City Data'!M33</f>
        <v>340</v>
      </c>
      <c r="AA33" s="4" t="n">
        <f aca="false">U33-X33</f>
        <v>32.25</v>
      </c>
      <c r="AB33" s="4" t="n">
        <f aca="false">V33-Y33</f>
        <v>57.4</v>
      </c>
      <c r="AC33" s="4" t="n">
        <f aca="false">W33-Z33</f>
        <v>67.925</v>
      </c>
      <c r="AD33" s="4" t="str">
        <f aca="false">IF(OR(AND(X33&lt;&gt;0,ABS(AA33)&gt;Assumptions!$B$18*X33),AND(Y33&lt;&gt;0,ABS(AB33)&gt;Assumptions!$B$18*Y33),AND(Z33&lt;&gt;0,ABS(AC33)&gt;Assumptions!$B$18*Z33)),"REVIEW","")</f>
        <v>REVIEW</v>
      </c>
    </row>
    <row r="34" customFormat="false" ht="15" hidden="false" customHeight="false" outlineLevel="0" collapsed="false">
      <c r="A34" s="0" t="str">
        <f aca="false">'City Data'!A34</f>
        <v>Belize City</v>
      </c>
      <c r="B34" s="4" t="n">
        <f aca="false">'City Data'!B34/Assumptions!$B$2</f>
        <v>17.5</v>
      </c>
      <c r="C34" s="4" t="n">
        <f aca="false">'City Data'!C34/Assumptions!$B$2</f>
        <v>45</v>
      </c>
      <c r="D34" s="4" t="n">
        <f aca="false">'City Data'!D34/Assumptions!$B$2</f>
        <v>110</v>
      </c>
      <c r="E34" s="4" t="n">
        <f aca="false">Assumptions!$B$3*Assumptions!$B$4*'City Data'!E34</f>
        <v>36</v>
      </c>
      <c r="F34" s="4" t="n">
        <f aca="false">Assumptions!$B$3*Assumptions!$B$5*'City Data'!E34</f>
        <v>64.8</v>
      </c>
      <c r="G34" s="4" t="n">
        <f aca="false">Assumptions!$B$3*Assumptions!$B$6*'City Data'!E34</f>
        <v>126</v>
      </c>
      <c r="H34" s="4" t="n">
        <f aca="false">Assumptions!$B$7*'City Data'!F34</f>
        <v>7</v>
      </c>
      <c r="I34" s="4" t="n">
        <f aca="false">Assumptions!$B$8*'City Data'!F34</f>
        <v>14</v>
      </c>
      <c r="J34" s="4" t="n">
        <f aca="false">Assumptions!$B$9*'City Data'!F34</f>
        <v>28</v>
      </c>
      <c r="K34" s="4" t="n">
        <f aca="false">'City Data'!G34+'City Data'!H34</f>
        <v>4</v>
      </c>
      <c r="L34" s="4" t="n">
        <f aca="false">IF(AND(Assumptions!$B$13,ISNUMBER('City Data'!I34)),Assumptions!$B$10*'City Data'!I34,0)</f>
        <v>3</v>
      </c>
      <c r="M34" s="4" t="n">
        <f aca="false">IF(AND(Assumptions!$B$13,ISNUMBER('City Data'!I34)),Assumptions!$B$11*'City Data'!I34,0)</f>
        <v>6</v>
      </c>
      <c r="N34" s="4" t="n">
        <f aca="false">IF(AND(Assumptions!$B$13,ISNUMBER('City Data'!I34)),Assumptions!$B$12*'City Data'!I34,0)</f>
        <v>9</v>
      </c>
      <c r="O34" s="4" t="n">
        <f aca="false">B34+E34+H34+K34</f>
        <v>64.5</v>
      </c>
      <c r="P34" s="4" t="n">
        <f aca="false">C34+F34+I34+K34</f>
        <v>127.8</v>
      </c>
      <c r="Q34" s="4" t="n">
        <f aca="false">D34+G34+J34+K34</f>
        <v>268</v>
      </c>
      <c r="R34" s="4" t="n">
        <f aca="false">IF(Assumptions!$B$14,Assumptions!$B$15*O34,0)</f>
        <v>6.45</v>
      </c>
      <c r="S34" s="4" t="n">
        <f aca="false">IF(Assumptions!$B$14,Assumptions!$B$16*P34,0)</f>
        <v>25.56</v>
      </c>
      <c r="T34" s="4" t="n">
        <f aca="false">IF(Assumptions!$B$14,Assumptions!$B$17*Q34,0)</f>
        <v>93.8</v>
      </c>
      <c r="U34" s="4" t="n">
        <f aca="false">O34+L34+R34</f>
        <v>73.95</v>
      </c>
      <c r="V34" s="4" t="n">
        <f aca="false">P34+M34+S34</f>
        <v>159.36</v>
      </c>
      <c r="W34" s="4" t="n">
        <f aca="false">Q34+N34+T34</f>
        <v>370.8</v>
      </c>
      <c r="X34" s="4" t="n">
        <f aca="false">'City Data'!K34</f>
        <v>45</v>
      </c>
      <c r="Y34" s="4" t="n">
        <f aca="false">'City Data'!L34</f>
        <v>110</v>
      </c>
      <c r="Z34" s="4" t="n">
        <f aca="false">'City Data'!M34</f>
        <v>330</v>
      </c>
      <c r="AA34" s="4" t="n">
        <f aca="false">U34-X34</f>
        <v>28.95</v>
      </c>
      <c r="AB34" s="4" t="n">
        <f aca="false">V34-Y34</f>
        <v>49.36</v>
      </c>
      <c r="AC34" s="4" t="n">
        <f aca="false">W34-Z34</f>
        <v>40.8</v>
      </c>
      <c r="AD34" s="4" t="str">
        <f aca="false">IF(OR(AND(X34&lt;&gt;0,ABS(AA34)&gt;Assumptions!$B$18*X34),AND(Y34&lt;&gt;0,ABS(AB34)&gt;Assumptions!$B$18*Y34),AND(Z34&lt;&gt;0,ABS(AC34)&gt;Assumptions!$B$18*Z34)),"REVIEW","")</f>
        <v>REVIEW</v>
      </c>
    </row>
    <row r="35" customFormat="false" ht="15" hidden="false" customHeight="false" outlineLevel="0" collapsed="false">
      <c r="A35" s="0" t="str">
        <f aca="false">'City Data'!A35</f>
        <v>Bengaluru</v>
      </c>
      <c r="B35" s="4" t="n">
        <f aca="false">'City Data'!B35/Assumptions!$B$2</f>
        <v>10</v>
      </c>
      <c r="C35" s="4" t="n">
        <f aca="false">'City Data'!C35/Assumptions!$B$2</f>
        <v>27.5</v>
      </c>
      <c r="D35" s="4" t="n">
        <f aca="false">'City Data'!D35/Assumptions!$B$2</f>
        <v>65</v>
      </c>
      <c r="E35" s="4" t="n">
        <f aca="false">Assumptions!$B$3*Assumptions!$B$4*'City Data'!E35</f>
        <v>18</v>
      </c>
      <c r="F35" s="4" t="n">
        <f aca="false">Assumptions!$B$3*Assumptions!$B$5*'City Data'!E35</f>
        <v>32.4</v>
      </c>
      <c r="G35" s="4" t="n">
        <f aca="false">Assumptions!$B$3*Assumptions!$B$6*'City Data'!E35</f>
        <v>63</v>
      </c>
      <c r="H35" s="4" t="n">
        <f aca="false">Assumptions!$B$7*'City Data'!F35</f>
        <v>3</v>
      </c>
      <c r="I35" s="4" t="n">
        <f aca="false">Assumptions!$B$8*'City Data'!F35</f>
        <v>6</v>
      </c>
      <c r="J35" s="4" t="n">
        <f aca="false">Assumptions!$B$9*'City Data'!F35</f>
        <v>12</v>
      </c>
      <c r="K35" s="4" t="n">
        <f aca="false">'City Data'!G35+'City Data'!H35</f>
        <v>1.9</v>
      </c>
      <c r="L35" s="4" t="n">
        <f aca="false">IF(AND(Assumptions!$B$13,ISNUMBER('City Data'!I35)),Assumptions!$B$10*'City Data'!I35,0)</f>
        <v>3</v>
      </c>
      <c r="M35" s="4" t="n">
        <f aca="false">IF(AND(Assumptions!$B$13,ISNUMBER('City Data'!I35)),Assumptions!$B$11*'City Data'!I35,0)</f>
        <v>6</v>
      </c>
      <c r="N35" s="4" t="n">
        <f aca="false">IF(AND(Assumptions!$B$13,ISNUMBER('City Data'!I35)),Assumptions!$B$12*'City Data'!I35,0)</f>
        <v>9</v>
      </c>
      <c r="O35" s="4" t="n">
        <f aca="false">B35+E35+H35+K35</f>
        <v>32.9</v>
      </c>
      <c r="P35" s="4" t="n">
        <f aca="false">C35+F35+I35+K35</f>
        <v>67.8</v>
      </c>
      <c r="Q35" s="4" t="n">
        <f aca="false">D35+G35+J35+K35</f>
        <v>141.9</v>
      </c>
      <c r="R35" s="4" t="n">
        <f aca="false">IF(Assumptions!$B$14,Assumptions!$B$15*O35,0)</f>
        <v>3.29</v>
      </c>
      <c r="S35" s="4" t="n">
        <f aca="false">IF(Assumptions!$B$14,Assumptions!$B$16*P35,0)</f>
        <v>13.56</v>
      </c>
      <c r="T35" s="4" t="n">
        <f aca="false">IF(Assumptions!$B$14,Assumptions!$B$17*Q35,0)</f>
        <v>49.665</v>
      </c>
      <c r="U35" s="4" t="n">
        <f aca="false">O35+L35+R35</f>
        <v>39.19</v>
      </c>
      <c r="V35" s="4" t="n">
        <f aca="false">P35+M35+S35</f>
        <v>87.36</v>
      </c>
      <c r="W35" s="4" t="n">
        <f aca="false">Q35+N35+T35</f>
        <v>200.565</v>
      </c>
      <c r="X35" s="4" t="n">
        <f aca="false">'City Data'!K35</f>
        <v>30</v>
      </c>
      <c r="Y35" s="4" t="n">
        <f aca="false">'City Data'!L35</f>
        <v>75</v>
      </c>
      <c r="Z35" s="4" t="n">
        <f aca="false">'City Data'!M35</f>
        <v>220</v>
      </c>
      <c r="AA35" s="4" t="n">
        <f aca="false">U35-X35</f>
        <v>9.19</v>
      </c>
      <c r="AB35" s="4" t="n">
        <f aca="false">V35-Y35</f>
        <v>12.36</v>
      </c>
      <c r="AC35" s="4" t="n">
        <f aca="false">W35-Z35</f>
        <v>-19.435</v>
      </c>
      <c r="AD35" s="4" t="str">
        <f aca="false">IF(OR(AND(X35&lt;&gt;0,ABS(AA35)&gt;Assumptions!$B$18*X35),AND(Y35&lt;&gt;0,ABS(AB35)&gt;Assumptions!$B$18*Y35),AND(Z35&lt;&gt;0,ABS(AC35)&gt;Assumptions!$B$18*Z35)),"REVIEW","")</f>
        <v>REVIEW</v>
      </c>
    </row>
    <row r="36" customFormat="false" ht="15" hidden="false" customHeight="false" outlineLevel="0" collapsed="false">
      <c r="A36" s="0" t="str">
        <f aca="false">'City Data'!A36</f>
        <v>Berlin</v>
      </c>
      <c r="B36" s="4" t="n">
        <f aca="false">'City Data'!B36/Assumptions!$B$2</f>
        <v>30</v>
      </c>
      <c r="C36" s="4" t="n">
        <f aca="false">'City Data'!C36/Assumptions!$B$2</f>
        <v>55</v>
      </c>
      <c r="D36" s="4" t="n">
        <f aca="false">'City Data'!D36/Assumptions!$B$2</f>
        <v>130</v>
      </c>
      <c r="E36" s="4" t="n">
        <f aca="false">Assumptions!$B$3*Assumptions!$B$4*'City Data'!E36</f>
        <v>54</v>
      </c>
      <c r="F36" s="4" t="n">
        <f aca="false">Assumptions!$B$3*Assumptions!$B$5*'City Data'!E36</f>
        <v>97.2</v>
      </c>
      <c r="G36" s="4" t="n">
        <f aca="false">Assumptions!$B$3*Assumptions!$B$6*'City Data'!E36</f>
        <v>189</v>
      </c>
      <c r="H36" s="4" t="n">
        <f aca="false">Assumptions!$B$7*'City Data'!F36</f>
        <v>25</v>
      </c>
      <c r="I36" s="4" t="n">
        <f aca="false">Assumptions!$B$8*'City Data'!F36</f>
        <v>50</v>
      </c>
      <c r="J36" s="4" t="n">
        <f aca="false">Assumptions!$B$9*'City Data'!F36</f>
        <v>100</v>
      </c>
      <c r="K36" s="4" t="n">
        <f aca="false">'City Data'!G36+'City Data'!H36</f>
        <v>5.7</v>
      </c>
      <c r="L36" s="4" t="n">
        <f aca="false">IF(AND(Assumptions!$B$13,ISNUMBER('City Data'!I36)),Assumptions!$B$10*'City Data'!I36,0)</f>
        <v>4</v>
      </c>
      <c r="M36" s="4" t="n">
        <f aca="false">IF(AND(Assumptions!$B$13,ISNUMBER('City Data'!I36)),Assumptions!$B$11*'City Data'!I36,0)</f>
        <v>8</v>
      </c>
      <c r="N36" s="4" t="n">
        <f aca="false">IF(AND(Assumptions!$B$13,ISNUMBER('City Data'!I36)),Assumptions!$B$12*'City Data'!I36,0)</f>
        <v>12</v>
      </c>
      <c r="O36" s="4" t="n">
        <f aca="false">B36+E36+H36+K36</f>
        <v>114.7</v>
      </c>
      <c r="P36" s="4" t="n">
        <f aca="false">C36+F36+I36+K36</f>
        <v>207.9</v>
      </c>
      <c r="Q36" s="4" t="n">
        <f aca="false">D36+G36+J36+K36</f>
        <v>424.7</v>
      </c>
      <c r="R36" s="4" t="n">
        <f aca="false">IF(Assumptions!$B$14,Assumptions!$B$15*O36,0)</f>
        <v>11.47</v>
      </c>
      <c r="S36" s="4" t="n">
        <f aca="false">IF(Assumptions!$B$14,Assumptions!$B$16*P36,0)</f>
        <v>41.58</v>
      </c>
      <c r="T36" s="4" t="n">
        <f aca="false">IF(Assumptions!$B$14,Assumptions!$B$17*Q36,0)</f>
        <v>148.645</v>
      </c>
      <c r="U36" s="4" t="n">
        <f aca="false">O36+L36+R36</f>
        <v>130.17</v>
      </c>
      <c r="V36" s="4" t="n">
        <f aca="false">P36+M36+S36</f>
        <v>257.48</v>
      </c>
      <c r="W36" s="4" t="n">
        <f aca="false">Q36+N36+T36</f>
        <v>585.345</v>
      </c>
      <c r="X36" s="4" t="n">
        <f aca="false">'City Data'!K36</f>
        <v>70</v>
      </c>
      <c r="Y36" s="4" t="n">
        <f aca="false">'City Data'!L36</f>
        <v>170</v>
      </c>
      <c r="Z36" s="4" t="n">
        <f aca="false">'City Data'!M36</f>
        <v>470</v>
      </c>
      <c r="AA36" s="4" t="n">
        <f aca="false">U36-X36</f>
        <v>60.17</v>
      </c>
      <c r="AB36" s="4" t="n">
        <f aca="false">V36-Y36</f>
        <v>87.48</v>
      </c>
      <c r="AC36" s="4" t="n">
        <f aca="false">W36-Z36</f>
        <v>115.345</v>
      </c>
      <c r="AD36" s="4" t="str">
        <f aca="false">IF(OR(AND(X36&lt;&gt;0,ABS(AA36)&gt;Assumptions!$B$18*X36),AND(Y36&lt;&gt;0,ABS(AB36)&gt;Assumptions!$B$18*Y36),AND(Z36&lt;&gt;0,ABS(AC36)&gt;Assumptions!$B$18*Z36)),"REVIEW","")</f>
        <v>REVIEW</v>
      </c>
    </row>
    <row r="37" customFormat="false" ht="15" hidden="false" customHeight="false" outlineLevel="0" collapsed="false">
      <c r="A37" s="0" t="str">
        <f aca="false">'City Data'!A37</f>
        <v>Bishkek</v>
      </c>
      <c r="B37" s="4" t="n">
        <f aca="false">'City Data'!B37/Assumptions!$B$2</f>
        <v>7.5</v>
      </c>
      <c r="C37" s="4" t="n">
        <f aca="false">'City Data'!C37/Assumptions!$B$2</f>
        <v>22.5</v>
      </c>
      <c r="D37" s="4" t="n">
        <f aca="false">'City Data'!D37/Assumptions!$B$2</f>
        <v>90</v>
      </c>
      <c r="E37" s="4" t="n">
        <f aca="false">Assumptions!$B$3*Assumptions!$B$4*'City Data'!E37</f>
        <v>24</v>
      </c>
      <c r="F37" s="4" t="n">
        <f aca="false">Assumptions!$B$3*Assumptions!$B$5*'City Data'!E37</f>
        <v>43.2</v>
      </c>
      <c r="G37" s="4" t="n">
        <f aca="false">Assumptions!$B$3*Assumptions!$B$6*'City Data'!E37</f>
        <v>84</v>
      </c>
      <c r="H37" s="4" t="n">
        <f aca="false">Assumptions!$B$7*'City Data'!F37</f>
        <v>3</v>
      </c>
      <c r="I37" s="4" t="n">
        <f aca="false">Assumptions!$B$8*'City Data'!F37</f>
        <v>6</v>
      </c>
      <c r="J37" s="4" t="n">
        <f aca="false">Assumptions!$B$9*'City Data'!F37</f>
        <v>12</v>
      </c>
      <c r="K37" s="4" t="n">
        <f aca="false">'City Data'!G37+'City Data'!H37</f>
        <v>2.4</v>
      </c>
      <c r="L37" s="4" t="n">
        <f aca="false">IF(AND(Assumptions!$B$13,ISNUMBER('City Data'!I37)),Assumptions!$B$10*'City Data'!I37,0)</f>
        <v>1.3</v>
      </c>
      <c r="M37" s="4" t="n">
        <f aca="false">IF(AND(Assumptions!$B$13,ISNUMBER('City Data'!I37)),Assumptions!$B$11*'City Data'!I37,0)</f>
        <v>2.6</v>
      </c>
      <c r="N37" s="4" t="n">
        <f aca="false">IF(AND(Assumptions!$B$13,ISNUMBER('City Data'!I37)),Assumptions!$B$12*'City Data'!I37,0)</f>
        <v>3.9</v>
      </c>
      <c r="O37" s="4" t="n">
        <f aca="false">B37+E37+H37+K37</f>
        <v>36.9</v>
      </c>
      <c r="P37" s="4" t="n">
        <f aca="false">C37+F37+I37+K37</f>
        <v>74.1</v>
      </c>
      <c r="Q37" s="4" t="n">
        <f aca="false">D37+G37+J37+K37</f>
        <v>188.4</v>
      </c>
      <c r="R37" s="4" t="n">
        <f aca="false">IF(Assumptions!$B$14,Assumptions!$B$15*O37,0)</f>
        <v>3.69</v>
      </c>
      <c r="S37" s="4" t="n">
        <f aca="false">IF(Assumptions!$B$14,Assumptions!$B$16*P37,0)</f>
        <v>14.82</v>
      </c>
      <c r="T37" s="4" t="n">
        <f aca="false">IF(Assumptions!$B$14,Assumptions!$B$17*Q37,0)</f>
        <v>65.94</v>
      </c>
      <c r="U37" s="4" t="n">
        <f aca="false">O37+L37+R37</f>
        <v>41.89</v>
      </c>
      <c r="V37" s="4" t="n">
        <f aca="false">P37+M37+S37</f>
        <v>91.52</v>
      </c>
      <c r="W37" s="4" t="n">
        <f aca="false">Q37+N37+T37</f>
        <v>258.24</v>
      </c>
      <c r="X37" s="4" t="n">
        <f aca="false">'City Data'!K37</f>
        <v>30</v>
      </c>
      <c r="Y37" s="4" t="n">
        <f aca="false">'City Data'!L37</f>
        <v>80</v>
      </c>
      <c r="Z37" s="4" t="n">
        <f aca="false">'City Data'!M37</f>
        <v>250</v>
      </c>
      <c r="AA37" s="4" t="n">
        <f aca="false">U37-X37</f>
        <v>11.89</v>
      </c>
      <c r="AB37" s="4" t="n">
        <f aca="false">V37-Y37</f>
        <v>11.52</v>
      </c>
      <c r="AC37" s="4" t="n">
        <f aca="false">W37-Z37</f>
        <v>8.24000000000001</v>
      </c>
      <c r="AD37" s="4" t="str">
        <f aca="false">IF(OR(AND(X37&lt;&gt;0,ABS(AA37)&gt;Assumptions!$B$18*X37),AND(Y37&lt;&gt;0,ABS(AB37)&gt;Assumptions!$B$18*Y37),AND(Z37&lt;&gt;0,ABS(AC37)&gt;Assumptions!$B$18*Z37)),"REVIEW","")</f>
        <v>REVIEW</v>
      </c>
    </row>
    <row r="38" customFormat="false" ht="15" hidden="false" customHeight="false" outlineLevel="0" collapsed="false">
      <c r="A38" s="0" t="str">
        <f aca="false">'City Data'!A38</f>
        <v>Bissau</v>
      </c>
      <c r="B38" s="4" t="n">
        <f aca="false">'City Data'!B38/Assumptions!$B$2</f>
        <v>15</v>
      </c>
      <c r="C38" s="4" t="n">
        <f aca="false">'City Data'!C38/Assumptions!$B$2</f>
        <v>37.5</v>
      </c>
      <c r="D38" s="4" t="n">
        <f aca="false">'City Data'!D38/Assumptions!$B$2</f>
        <v>100</v>
      </c>
      <c r="E38" s="4" t="n">
        <f aca="false">Assumptions!$B$3*Assumptions!$B$4*'City Data'!E38</f>
        <v>39</v>
      </c>
      <c r="F38" s="4" t="n">
        <f aca="false">Assumptions!$B$3*Assumptions!$B$5*'City Data'!E38</f>
        <v>70.2</v>
      </c>
      <c r="G38" s="4" t="n">
        <f aca="false">Assumptions!$B$3*Assumptions!$B$6*'City Data'!E38</f>
        <v>136.5</v>
      </c>
      <c r="H38" s="4" t="n">
        <f aca="false">Assumptions!$B$7*'City Data'!F38</f>
        <v>4</v>
      </c>
      <c r="I38" s="4" t="n">
        <f aca="false">Assumptions!$B$8*'City Data'!F38</f>
        <v>8</v>
      </c>
      <c r="J38" s="4" t="n">
        <f aca="false">Assumptions!$B$9*'City Data'!F38</f>
        <v>16</v>
      </c>
      <c r="K38" s="4" t="n">
        <f aca="false">'City Data'!G38+'City Data'!H38</f>
        <v>3</v>
      </c>
      <c r="L38" s="4" t="n">
        <f aca="false">IF(AND(Assumptions!$B$13,ISNUMBER('City Data'!I38)),Assumptions!$B$10*'City Data'!I38,0)</f>
        <v>1.5</v>
      </c>
      <c r="M38" s="4" t="n">
        <f aca="false">IF(AND(Assumptions!$B$13,ISNUMBER('City Data'!I38)),Assumptions!$B$11*'City Data'!I38,0)</f>
        <v>3</v>
      </c>
      <c r="N38" s="4" t="n">
        <f aca="false">IF(AND(Assumptions!$B$13,ISNUMBER('City Data'!I38)),Assumptions!$B$12*'City Data'!I38,0)</f>
        <v>4.5</v>
      </c>
      <c r="O38" s="4" t="n">
        <f aca="false">B38+E38+H38+K38</f>
        <v>61</v>
      </c>
      <c r="P38" s="4" t="n">
        <f aca="false">C38+F38+I38+K38</f>
        <v>118.7</v>
      </c>
      <c r="Q38" s="4" t="n">
        <f aca="false">D38+G38+J38+K38</f>
        <v>255.5</v>
      </c>
      <c r="R38" s="4" t="n">
        <f aca="false">IF(Assumptions!$B$14,Assumptions!$B$15*O38,0)</f>
        <v>6.1</v>
      </c>
      <c r="S38" s="4" t="n">
        <f aca="false">IF(Assumptions!$B$14,Assumptions!$B$16*P38,0)</f>
        <v>23.74</v>
      </c>
      <c r="T38" s="4" t="n">
        <f aca="false">IF(Assumptions!$B$14,Assumptions!$B$17*Q38,0)</f>
        <v>89.425</v>
      </c>
      <c r="U38" s="4" t="n">
        <f aca="false">O38+L38+R38</f>
        <v>68.6</v>
      </c>
      <c r="V38" s="4" t="n">
        <f aca="false">P38+M38+S38</f>
        <v>145.44</v>
      </c>
      <c r="W38" s="4" t="n">
        <f aca="false">Q38+N38+T38</f>
        <v>349.425</v>
      </c>
      <c r="X38" s="4" t="n">
        <f aca="false">'City Data'!K38</f>
        <v>45</v>
      </c>
      <c r="Y38" s="4" t="n">
        <f aca="false">'City Data'!L38</f>
        <v>105</v>
      </c>
      <c r="Z38" s="4" t="n">
        <f aca="false">'City Data'!M38</f>
        <v>320</v>
      </c>
      <c r="AA38" s="4" t="n">
        <f aca="false">U38-X38</f>
        <v>23.6</v>
      </c>
      <c r="AB38" s="4" t="n">
        <f aca="false">V38-Y38</f>
        <v>40.44</v>
      </c>
      <c r="AC38" s="4" t="n">
        <f aca="false">W38-Z38</f>
        <v>29.425</v>
      </c>
      <c r="AD38" s="4" t="str">
        <f aca="false">IF(OR(AND(X38&lt;&gt;0,ABS(AA38)&gt;Assumptions!$B$18*X38),AND(Y38&lt;&gt;0,ABS(AB38)&gt;Assumptions!$B$18*Y38),AND(Z38&lt;&gt;0,ABS(AC38)&gt;Assumptions!$B$18*Z38)),"REVIEW","")</f>
        <v>REVIEW</v>
      </c>
    </row>
    <row r="39" customFormat="false" ht="15" hidden="false" customHeight="false" outlineLevel="0" collapsed="false">
      <c r="A39" s="0" t="str">
        <f aca="false">'City Data'!A39</f>
        <v>Bogotá</v>
      </c>
      <c r="B39" s="4" t="n">
        <f aca="false">'City Data'!B39/Assumptions!$B$2</f>
        <v>10</v>
      </c>
      <c r="C39" s="4" t="n">
        <f aca="false">'City Data'!C39/Assumptions!$B$2</f>
        <v>45</v>
      </c>
      <c r="D39" s="4" t="n">
        <f aca="false">'City Data'!D39/Assumptions!$B$2</f>
        <v>110</v>
      </c>
      <c r="E39" s="4" t="n">
        <f aca="false">Assumptions!$B$3*Assumptions!$B$4*'City Data'!E39</f>
        <v>36</v>
      </c>
      <c r="F39" s="4" t="n">
        <f aca="false">Assumptions!$B$3*Assumptions!$B$5*'City Data'!E39</f>
        <v>64.8</v>
      </c>
      <c r="G39" s="4" t="n">
        <f aca="false">Assumptions!$B$3*Assumptions!$B$6*'City Data'!E39</f>
        <v>126</v>
      </c>
      <c r="H39" s="4" t="n">
        <f aca="false">Assumptions!$B$7*'City Data'!F39</f>
        <v>6</v>
      </c>
      <c r="I39" s="4" t="n">
        <f aca="false">Assumptions!$B$8*'City Data'!F39</f>
        <v>12</v>
      </c>
      <c r="J39" s="4" t="n">
        <f aca="false">Assumptions!$B$9*'City Data'!F39</f>
        <v>24</v>
      </c>
      <c r="K39" s="4" t="n">
        <f aca="false">'City Data'!G39+'City Data'!H39</f>
        <v>3</v>
      </c>
      <c r="L39" s="4" t="n">
        <f aca="false">IF(AND(Assumptions!$B$13,ISNUMBER('City Data'!I39)),Assumptions!$B$10*'City Data'!I39,0)</f>
        <v>2.5</v>
      </c>
      <c r="M39" s="4" t="n">
        <f aca="false">IF(AND(Assumptions!$B$13,ISNUMBER('City Data'!I39)),Assumptions!$B$11*'City Data'!I39,0)</f>
        <v>5</v>
      </c>
      <c r="N39" s="4" t="n">
        <f aca="false">IF(AND(Assumptions!$B$13,ISNUMBER('City Data'!I39)),Assumptions!$B$12*'City Data'!I39,0)</f>
        <v>7.5</v>
      </c>
      <c r="O39" s="4" t="n">
        <f aca="false">B39+E39+H39+K39</f>
        <v>55</v>
      </c>
      <c r="P39" s="4" t="n">
        <f aca="false">C39+F39+I39+K39</f>
        <v>124.8</v>
      </c>
      <c r="Q39" s="4" t="n">
        <f aca="false">D39+G39+J39+K39</f>
        <v>263</v>
      </c>
      <c r="R39" s="4" t="n">
        <f aca="false">IF(Assumptions!$B$14,Assumptions!$B$15*O39,0)</f>
        <v>5.5</v>
      </c>
      <c r="S39" s="4" t="n">
        <f aca="false">IF(Assumptions!$B$14,Assumptions!$B$16*P39,0)</f>
        <v>24.96</v>
      </c>
      <c r="T39" s="4" t="n">
        <f aca="false">IF(Assumptions!$B$14,Assumptions!$B$17*Q39,0)</f>
        <v>92.05</v>
      </c>
      <c r="U39" s="4" t="n">
        <f aca="false">O39+L39+R39</f>
        <v>63</v>
      </c>
      <c r="V39" s="4" t="n">
        <f aca="false">P39+M39+S39</f>
        <v>154.76</v>
      </c>
      <c r="W39" s="4" t="n">
        <f aca="false">Q39+N39+T39</f>
        <v>362.55</v>
      </c>
      <c r="X39" s="4" t="n">
        <f aca="false">'City Data'!K39</f>
        <v>40</v>
      </c>
      <c r="Y39" s="4" t="n">
        <f aca="false">'City Data'!L39</f>
        <v>100</v>
      </c>
      <c r="Z39" s="4" t="n">
        <f aca="false">'City Data'!M39</f>
        <v>305</v>
      </c>
      <c r="AA39" s="4" t="n">
        <f aca="false">U39-X39</f>
        <v>23</v>
      </c>
      <c r="AB39" s="4" t="n">
        <f aca="false">V39-Y39</f>
        <v>54.76</v>
      </c>
      <c r="AC39" s="4" t="n">
        <f aca="false">W39-Z39</f>
        <v>57.55</v>
      </c>
      <c r="AD39" s="4" t="str">
        <f aca="false">IF(OR(AND(X39&lt;&gt;0,ABS(AA39)&gt;Assumptions!$B$18*X39),AND(Y39&lt;&gt;0,ABS(AB39)&gt;Assumptions!$B$18*Y39),AND(Z39&lt;&gt;0,ABS(AC39)&gt;Assumptions!$B$18*Z39)),"REVIEW","")</f>
        <v>REVIEW</v>
      </c>
    </row>
    <row r="40" customFormat="false" ht="15" hidden="false" customHeight="false" outlineLevel="0" collapsed="false">
      <c r="A40" s="0" t="str">
        <f aca="false">'City Data'!A40</f>
        <v>Bologna</v>
      </c>
      <c r="B40" s="4" t="n">
        <f aca="false">'City Data'!B40/Assumptions!$B$2</f>
        <v>35</v>
      </c>
      <c r="C40" s="4" t="n">
        <f aca="false">'City Data'!C40/Assumptions!$B$2</f>
        <v>65</v>
      </c>
      <c r="D40" s="4" t="n">
        <f aca="false">'City Data'!D40/Assumptions!$B$2</f>
        <v>150</v>
      </c>
      <c r="E40" s="4" t="n">
        <f aca="false">Assumptions!$B$3*Assumptions!$B$4*'City Data'!E40</f>
        <v>84</v>
      </c>
      <c r="F40" s="4" t="n">
        <f aca="false">Assumptions!$B$3*Assumptions!$B$5*'City Data'!E40</f>
        <v>151.2</v>
      </c>
      <c r="G40" s="4" t="n">
        <f aca="false">Assumptions!$B$3*Assumptions!$B$6*'City Data'!E40</f>
        <v>294</v>
      </c>
      <c r="H40" s="4" t="n">
        <f aca="false">Assumptions!$B$7*'City Data'!F40</f>
        <v>25</v>
      </c>
      <c r="I40" s="4" t="n">
        <f aca="false">Assumptions!$B$8*'City Data'!F40</f>
        <v>50</v>
      </c>
      <c r="J40" s="4" t="n">
        <f aca="false">Assumptions!$B$9*'City Data'!F40</f>
        <v>100</v>
      </c>
      <c r="K40" s="4" t="n">
        <f aca="false">'City Data'!G40+'City Data'!H40</f>
        <v>2.4</v>
      </c>
      <c r="L40" s="4" t="n">
        <f aca="false">IF(AND(Assumptions!$B$13,ISNUMBER('City Data'!I40)),Assumptions!$B$10*'City Data'!I40,0)</f>
        <v>5.5</v>
      </c>
      <c r="M40" s="4" t="n">
        <f aca="false">IF(AND(Assumptions!$B$13,ISNUMBER('City Data'!I40)),Assumptions!$B$11*'City Data'!I40,0)</f>
        <v>11</v>
      </c>
      <c r="N40" s="4" t="n">
        <f aca="false">IF(AND(Assumptions!$B$13,ISNUMBER('City Data'!I40)),Assumptions!$B$12*'City Data'!I40,0)</f>
        <v>16.5</v>
      </c>
      <c r="O40" s="4" t="n">
        <f aca="false">B40+E40+H40+K40</f>
        <v>146.4</v>
      </c>
      <c r="P40" s="4" t="n">
        <f aca="false">C40+F40+I40+K40</f>
        <v>268.6</v>
      </c>
      <c r="Q40" s="4" t="n">
        <f aca="false">D40+G40+J40+K40</f>
        <v>546.4</v>
      </c>
      <c r="R40" s="4" t="n">
        <f aca="false">IF(Assumptions!$B$14,Assumptions!$B$15*O40,0)</f>
        <v>14.64</v>
      </c>
      <c r="S40" s="4" t="n">
        <f aca="false">IF(Assumptions!$B$14,Assumptions!$B$16*P40,0)</f>
        <v>53.72</v>
      </c>
      <c r="T40" s="4" t="n">
        <f aca="false">IF(Assumptions!$B$14,Assumptions!$B$17*Q40,0)</f>
        <v>191.24</v>
      </c>
      <c r="U40" s="4" t="n">
        <f aca="false">O40+L40+R40</f>
        <v>166.54</v>
      </c>
      <c r="V40" s="4" t="n">
        <f aca="false">P40+M40+S40</f>
        <v>333.32</v>
      </c>
      <c r="W40" s="4" t="n">
        <f aca="false">Q40+N40+T40</f>
        <v>754.14</v>
      </c>
      <c r="X40" s="4" t="n">
        <f aca="false">'City Data'!K40</f>
        <v>70</v>
      </c>
      <c r="Y40" s="4" t="n">
        <f aca="false">'City Data'!L40</f>
        <v>165</v>
      </c>
      <c r="Z40" s="4" t="n">
        <f aca="false">'City Data'!M40</f>
        <v>450</v>
      </c>
      <c r="AA40" s="4" t="n">
        <f aca="false">U40-X40</f>
        <v>96.54</v>
      </c>
      <c r="AB40" s="4" t="n">
        <f aca="false">V40-Y40</f>
        <v>168.32</v>
      </c>
      <c r="AC40" s="4" t="n">
        <f aca="false">W40-Z40</f>
        <v>304.14</v>
      </c>
      <c r="AD40" s="4" t="str">
        <f aca="false">IF(OR(AND(X40&lt;&gt;0,ABS(AA40)&gt;Assumptions!$B$18*X40),AND(Y40&lt;&gt;0,ABS(AB40)&gt;Assumptions!$B$18*Y40),AND(Z40&lt;&gt;0,ABS(AC40)&gt;Assumptions!$B$18*Z40)),"REVIEW","")</f>
        <v>REVIEW</v>
      </c>
    </row>
    <row r="41" customFormat="false" ht="15" hidden="false" customHeight="false" outlineLevel="0" collapsed="false">
      <c r="A41" s="0" t="str">
        <f aca="false">'City Data'!A41</f>
        <v>Bratislava</v>
      </c>
      <c r="B41" s="4" t="n">
        <f aca="false">'City Data'!B41/Assumptions!$B$2</f>
        <v>22.5</v>
      </c>
      <c r="C41" s="4" t="n">
        <f aca="false">'City Data'!C41/Assumptions!$B$2</f>
        <v>47.5</v>
      </c>
      <c r="D41" s="4" t="n">
        <f aca="false">'City Data'!D41/Assumptions!$B$2</f>
        <v>110</v>
      </c>
      <c r="E41" s="4" t="n">
        <f aca="false">Assumptions!$B$3*Assumptions!$B$4*'City Data'!E41</f>
        <v>45</v>
      </c>
      <c r="F41" s="4" t="n">
        <f aca="false">Assumptions!$B$3*Assumptions!$B$5*'City Data'!E41</f>
        <v>81</v>
      </c>
      <c r="G41" s="4" t="n">
        <f aca="false">Assumptions!$B$3*Assumptions!$B$6*'City Data'!E41</f>
        <v>157.5</v>
      </c>
      <c r="H41" s="4" t="n">
        <f aca="false">Assumptions!$B$7*'City Data'!F41</f>
        <v>8</v>
      </c>
      <c r="I41" s="4" t="n">
        <f aca="false">Assumptions!$B$8*'City Data'!F41</f>
        <v>16</v>
      </c>
      <c r="J41" s="4" t="n">
        <f aca="false">Assumptions!$B$9*'City Data'!F41</f>
        <v>32</v>
      </c>
      <c r="K41" s="4" t="n">
        <f aca="false">'City Data'!G41+'City Data'!H41</f>
        <v>4.5</v>
      </c>
      <c r="L41" s="4" t="n">
        <f aca="false">IF(AND(Assumptions!$B$13,ISNUMBER('City Data'!I41)),Assumptions!$B$10*'City Data'!I41,0)</f>
        <v>2.5</v>
      </c>
      <c r="M41" s="4" t="n">
        <f aca="false">IF(AND(Assumptions!$B$13,ISNUMBER('City Data'!I41)),Assumptions!$B$11*'City Data'!I41,0)</f>
        <v>5</v>
      </c>
      <c r="N41" s="4" t="n">
        <f aca="false">IF(AND(Assumptions!$B$13,ISNUMBER('City Data'!I41)),Assumptions!$B$12*'City Data'!I41,0)</f>
        <v>7.5</v>
      </c>
      <c r="O41" s="4" t="n">
        <f aca="false">B41+E41+H41+K41</f>
        <v>80</v>
      </c>
      <c r="P41" s="4" t="n">
        <f aca="false">C41+F41+I41+K41</f>
        <v>149</v>
      </c>
      <c r="Q41" s="4" t="n">
        <f aca="false">D41+G41+J41+K41</f>
        <v>304</v>
      </c>
      <c r="R41" s="4" t="n">
        <f aca="false">IF(Assumptions!$B$14,Assumptions!$B$15*O41,0)</f>
        <v>8</v>
      </c>
      <c r="S41" s="4" t="n">
        <f aca="false">IF(Assumptions!$B$14,Assumptions!$B$16*P41,0)</f>
        <v>29.8</v>
      </c>
      <c r="T41" s="4" t="n">
        <f aca="false">IF(Assumptions!$B$14,Assumptions!$B$17*Q41,0)</f>
        <v>106.4</v>
      </c>
      <c r="U41" s="4" t="n">
        <f aca="false">O41+L41+R41</f>
        <v>90.5</v>
      </c>
      <c r="V41" s="4" t="n">
        <f aca="false">P41+M41+S41</f>
        <v>183.8</v>
      </c>
      <c r="W41" s="4" t="n">
        <f aca="false">Q41+N41+T41</f>
        <v>417.9</v>
      </c>
      <c r="X41" s="4" t="n">
        <f aca="false">'City Data'!K41</f>
        <v>50</v>
      </c>
      <c r="Y41" s="4" t="n">
        <f aca="false">'City Data'!L41</f>
        <v>125</v>
      </c>
      <c r="Z41" s="4" t="n">
        <f aca="false">'City Data'!M41</f>
        <v>365</v>
      </c>
      <c r="AA41" s="4" t="n">
        <f aca="false">U41-X41</f>
        <v>40.5</v>
      </c>
      <c r="AB41" s="4" t="n">
        <f aca="false">V41-Y41</f>
        <v>58.8</v>
      </c>
      <c r="AC41" s="4" t="n">
        <f aca="false">W41-Z41</f>
        <v>52.9</v>
      </c>
      <c r="AD41" s="4" t="str">
        <f aca="false">IF(OR(AND(X41&lt;&gt;0,ABS(AA41)&gt;Assumptions!$B$18*X41),AND(Y41&lt;&gt;0,ABS(AB41)&gt;Assumptions!$B$18*Y41),AND(Z41&lt;&gt;0,ABS(AC41)&gt;Assumptions!$B$18*Z41)),"REVIEW","")</f>
        <v>REVIEW</v>
      </c>
    </row>
    <row r="42" customFormat="false" ht="15" hidden="false" customHeight="false" outlineLevel="0" collapsed="false">
      <c r="A42" s="0" t="str">
        <f aca="false">'City Data'!A42</f>
        <v>Brazzaville</v>
      </c>
      <c r="B42" s="4" t="n">
        <f aca="false">'City Data'!B42/Assumptions!$B$2</f>
        <v>20</v>
      </c>
      <c r="C42" s="4" t="n">
        <f aca="false">'City Data'!C42/Assumptions!$B$2</f>
        <v>42.5</v>
      </c>
      <c r="D42" s="4" t="n">
        <f aca="false">'City Data'!D42/Assumptions!$B$2</f>
        <v>150</v>
      </c>
      <c r="E42" s="4" t="n">
        <f aca="false">Assumptions!$B$3*Assumptions!$B$4*'City Data'!E42</f>
        <v>45</v>
      </c>
      <c r="F42" s="4" t="n">
        <f aca="false">Assumptions!$B$3*Assumptions!$B$5*'City Data'!E42</f>
        <v>81</v>
      </c>
      <c r="G42" s="4" t="n">
        <f aca="false">Assumptions!$B$3*Assumptions!$B$6*'City Data'!E42</f>
        <v>157.5</v>
      </c>
      <c r="H42" s="4" t="n">
        <f aca="false">Assumptions!$B$7*'City Data'!F42</f>
        <v>4</v>
      </c>
      <c r="I42" s="4" t="n">
        <f aca="false">Assumptions!$B$8*'City Data'!F42</f>
        <v>8</v>
      </c>
      <c r="J42" s="4" t="n">
        <f aca="false">Assumptions!$B$9*'City Data'!F42</f>
        <v>16</v>
      </c>
      <c r="K42" s="4" t="n">
        <f aca="false">'City Data'!G42+'City Data'!H42</f>
        <v>4</v>
      </c>
      <c r="L42" s="4" t="n">
        <f aca="false">IF(AND(Assumptions!$B$13,ISNUMBER('City Data'!I42)),Assumptions!$B$10*'City Data'!I42,0)</f>
        <v>2.5</v>
      </c>
      <c r="M42" s="4" t="n">
        <f aca="false">IF(AND(Assumptions!$B$13,ISNUMBER('City Data'!I42)),Assumptions!$B$11*'City Data'!I42,0)</f>
        <v>5</v>
      </c>
      <c r="N42" s="4" t="n">
        <f aca="false">IF(AND(Assumptions!$B$13,ISNUMBER('City Data'!I42)),Assumptions!$B$12*'City Data'!I42,0)</f>
        <v>7.5</v>
      </c>
      <c r="O42" s="4" t="n">
        <f aca="false">B42+E42+H42+K42</f>
        <v>73</v>
      </c>
      <c r="P42" s="4" t="n">
        <f aca="false">C42+F42+I42+K42</f>
        <v>135.5</v>
      </c>
      <c r="Q42" s="4" t="n">
        <f aca="false">D42+G42+J42+K42</f>
        <v>327.5</v>
      </c>
      <c r="R42" s="4" t="n">
        <f aca="false">IF(Assumptions!$B$14,Assumptions!$B$15*O42,0)</f>
        <v>7.3</v>
      </c>
      <c r="S42" s="4" t="n">
        <f aca="false">IF(Assumptions!$B$14,Assumptions!$B$16*P42,0)</f>
        <v>27.1</v>
      </c>
      <c r="T42" s="4" t="n">
        <f aca="false">IF(Assumptions!$B$14,Assumptions!$B$17*Q42,0)</f>
        <v>114.625</v>
      </c>
      <c r="U42" s="4" t="n">
        <f aca="false">O42+L42+R42</f>
        <v>82.8</v>
      </c>
      <c r="V42" s="4" t="n">
        <f aca="false">P42+M42+S42</f>
        <v>167.6</v>
      </c>
      <c r="W42" s="4" t="n">
        <f aca="false">Q42+N42+T42</f>
        <v>449.625</v>
      </c>
      <c r="X42" s="4" t="n">
        <f aca="false">'City Data'!K42</f>
        <v>50</v>
      </c>
      <c r="Y42" s="4" t="n">
        <f aca="false">'City Data'!L42</f>
        <v>130</v>
      </c>
      <c r="Z42" s="4" t="n">
        <f aca="false">'City Data'!M42</f>
        <v>395</v>
      </c>
      <c r="AA42" s="4" t="n">
        <f aca="false">U42-X42</f>
        <v>32.8</v>
      </c>
      <c r="AB42" s="4" t="n">
        <f aca="false">V42-Y42</f>
        <v>37.6</v>
      </c>
      <c r="AC42" s="4" t="n">
        <f aca="false">W42-Z42</f>
        <v>54.625</v>
      </c>
      <c r="AD42" s="4" t="str">
        <f aca="false">IF(OR(AND(X42&lt;&gt;0,ABS(AA42)&gt;Assumptions!$B$18*X42),AND(Y42&lt;&gt;0,ABS(AB42)&gt;Assumptions!$B$18*Y42),AND(Z42&lt;&gt;0,ABS(AC42)&gt;Assumptions!$B$18*Z42)),"REVIEW","")</f>
        <v>REVIEW</v>
      </c>
    </row>
    <row r="43" customFormat="false" ht="15" hidden="false" customHeight="false" outlineLevel="0" collapsed="false">
      <c r="A43" s="0" t="str">
        <f aca="false">'City Data'!A43</f>
        <v>Bridgetown</v>
      </c>
      <c r="B43" s="4" t="n">
        <f aca="false">'City Data'!B43/Assumptions!$B$2</f>
        <v>45</v>
      </c>
      <c r="C43" s="4" t="n">
        <f aca="false">'City Data'!C43/Assumptions!$B$2</f>
        <v>100</v>
      </c>
      <c r="D43" s="4" t="n">
        <f aca="false">'City Data'!D43/Assumptions!$B$2</f>
        <v>325</v>
      </c>
      <c r="E43" s="4" t="n">
        <f aca="false">Assumptions!$B$3*Assumptions!$B$4*'City Data'!E43</f>
        <v>120</v>
      </c>
      <c r="F43" s="4" t="n">
        <f aca="false">Assumptions!$B$3*Assumptions!$B$5*'City Data'!E43</f>
        <v>216</v>
      </c>
      <c r="G43" s="4" t="n">
        <f aca="false">Assumptions!$B$3*Assumptions!$B$6*'City Data'!E43</f>
        <v>420</v>
      </c>
      <c r="H43" s="4" t="n">
        <f aca="false">Assumptions!$B$7*'City Data'!F43</f>
        <v>20</v>
      </c>
      <c r="I43" s="4" t="n">
        <f aca="false">Assumptions!$B$8*'City Data'!F43</f>
        <v>40</v>
      </c>
      <c r="J43" s="4" t="n">
        <f aca="false">Assumptions!$B$9*'City Data'!F43</f>
        <v>80</v>
      </c>
      <c r="K43" s="4" t="n">
        <f aca="false">'City Data'!G43+'City Data'!H43</f>
        <v>5.5</v>
      </c>
      <c r="L43" s="4" t="n">
        <f aca="false">IF(AND(Assumptions!$B$13,ISNUMBER('City Data'!I43)),Assumptions!$B$10*'City Data'!I43,0)</f>
        <v>4</v>
      </c>
      <c r="M43" s="4" t="n">
        <f aca="false">IF(AND(Assumptions!$B$13,ISNUMBER('City Data'!I43)),Assumptions!$B$11*'City Data'!I43,0)</f>
        <v>8</v>
      </c>
      <c r="N43" s="4" t="n">
        <f aca="false">IF(AND(Assumptions!$B$13,ISNUMBER('City Data'!I43)),Assumptions!$B$12*'City Data'!I43,0)</f>
        <v>12</v>
      </c>
      <c r="O43" s="4" t="n">
        <f aca="false">B43+E43+H43+K43</f>
        <v>190.5</v>
      </c>
      <c r="P43" s="4" t="n">
        <f aca="false">C43+F43+I43+K43</f>
        <v>361.5</v>
      </c>
      <c r="Q43" s="4" t="n">
        <f aca="false">D43+G43+J43+K43</f>
        <v>830.5</v>
      </c>
      <c r="R43" s="4" t="n">
        <f aca="false">IF(Assumptions!$B$14,Assumptions!$B$15*O43,0)</f>
        <v>19.05</v>
      </c>
      <c r="S43" s="4" t="n">
        <f aca="false">IF(Assumptions!$B$14,Assumptions!$B$16*P43,0)</f>
        <v>72.3</v>
      </c>
      <c r="T43" s="4" t="n">
        <f aca="false">IF(Assumptions!$B$14,Assumptions!$B$17*Q43,0)</f>
        <v>290.675</v>
      </c>
      <c r="U43" s="4" t="n">
        <f aca="false">O43+L43+R43</f>
        <v>213.55</v>
      </c>
      <c r="V43" s="4" t="n">
        <f aca="false">P43+M43+S43</f>
        <v>441.8</v>
      </c>
      <c r="W43" s="4" t="n">
        <f aca="false">Q43+N43+T43</f>
        <v>1133.175</v>
      </c>
      <c r="X43" s="4" t="n">
        <f aca="false">'City Data'!K43</f>
        <v>105</v>
      </c>
      <c r="Y43" s="4" t="n">
        <f aca="false">'City Data'!L43</f>
        <v>275</v>
      </c>
      <c r="Z43" s="4" t="n">
        <f aca="false">'City Data'!M43</f>
        <v>830</v>
      </c>
      <c r="AA43" s="4" t="n">
        <f aca="false">U43-X43</f>
        <v>108.55</v>
      </c>
      <c r="AB43" s="4" t="n">
        <f aca="false">V43-Y43</f>
        <v>166.8</v>
      </c>
      <c r="AC43" s="4" t="n">
        <f aca="false">W43-Z43</f>
        <v>303.175</v>
      </c>
      <c r="AD43" s="4" t="str">
        <f aca="false">IF(OR(AND(X43&lt;&gt;0,ABS(AA43)&gt;Assumptions!$B$18*X43),AND(Y43&lt;&gt;0,ABS(AB43)&gt;Assumptions!$B$18*Y43),AND(Z43&lt;&gt;0,ABS(AC43)&gt;Assumptions!$B$18*Z43)),"REVIEW","")</f>
        <v>REVIEW</v>
      </c>
    </row>
    <row r="44" customFormat="false" ht="15" hidden="false" customHeight="false" outlineLevel="0" collapsed="false">
      <c r="A44" s="0" t="str">
        <f aca="false">'City Data'!A44</f>
        <v>Brussels</v>
      </c>
      <c r="B44" s="4" t="n">
        <f aca="false">'City Data'!B44/Assumptions!$B$2</f>
        <v>40</v>
      </c>
      <c r="C44" s="4" t="n">
        <f aca="false">'City Data'!C44/Assumptions!$B$2</f>
        <v>65</v>
      </c>
      <c r="D44" s="4" t="n">
        <f aca="false">'City Data'!D44/Assumptions!$B$2</f>
        <v>160</v>
      </c>
      <c r="E44" s="4" t="n">
        <f aca="false">Assumptions!$B$3*Assumptions!$B$4*'City Data'!E44</f>
        <v>75</v>
      </c>
      <c r="F44" s="4" t="n">
        <f aca="false">Assumptions!$B$3*Assumptions!$B$5*'City Data'!E44</f>
        <v>135</v>
      </c>
      <c r="G44" s="4" t="n">
        <f aca="false">Assumptions!$B$3*Assumptions!$B$6*'City Data'!E44</f>
        <v>262.5</v>
      </c>
      <c r="H44" s="4" t="n">
        <f aca="false">Assumptions!$B$7*'City Data'!F44</f>
        <v>25</v>
      </c>
      <c r="I44" s="4" t="n">
        <f aca="false">Assumptions!$B$8*'City Data'!F44</f>
        <v>50</v>
      </c>
      <c r="J44" s="4" t="n">
        <f aca="false">Assumptions!$B$9*'City Data'!F44</f>
        <v>100</v>
      </c>
      <c r="K44" s="4" t="n">
        <f aca="false">'City Data'!G44+'City Data'!H44</f>
        <v>6.5</v>
      </c>
      <c r="L44" s="4" t="n">
        <f aca="false">IF(AND(Assumptions!$B$13,ISNUMBER('City Data'!I44)),Assumptions!$B$10*'City Data'!I44,0)</f>
        <v>4.5</v>
      </c>
      <c r="M44" s="4" t="n">
        <f aca="false">IF(AND(Assumptions!$B$13,ISNUMBER('City Data'!I44)),Assumptions!$B$11*'City Data'!I44,0)</f>
        <v>9</v>
      </c>
      <c r="N44" s="4" t="n">
        <f aca="false">IF(AND(Assumptions!$B$13,ISNUMBER('City Data'!I44)),Assumptions!$B$12*'City Data'!I44,0)</f>
        <v>13.5</v>
      </c>
      <c r="O44" s="4" t="n">
        <f aca="false">B44+E44+H44+K44</f>
        <v>146.5</v>
      </c>
      <c r="P44" s="4" t="n">
        <f aca="false">C44+F44+I44+K44</f>
        <v>256.5</v>
      </c>
      <c r="Q44" s="4" t="n">
        <f aca="false">D44+G44+J44+K44</f>
        <v>529</v>
      </c>
      <c r="R44" s="4" t="n">
        <f aca="false">IF(Assumptions!$B$14,Assumptions!$B$15*O44,0)</f>
        <v>14.65</v>
      </c>
      <c r="S44" s="4" t="n">
        <f aca="false">IF(Assumptions!$B$14,Assumptions!$B$16*P44,0)</f>
        <v>51.3</v>
      </c>
      <c r="T44" s="4" t="n">
        <f aca="false">IF(Assumptions!$B$14,Assumptions!$B$17*Q44,0)</f>
        <v>185.15</v>
      </c>
      <c r="U44" s="4" t="n">
        <f aca="false">O44+L44+R44</f>
        <v>165.65</v>
      </c>
      <c r="V44" s="4" t="n">
        <f aca="false">P44+M44+S44</f>
        <v>316.8</v>
      </c>
      <c r="W44" s="4" t="n">
        <f aca="false">Q44+N44+T44</f>
        <v>727.65</v>
      </c>
      <c r="X44" s="4" t="n">
        <f aca="false">'City Data'!K44</f>
        <v>85</v>
      </c>
      <c r="Y44" s="4" t="n">
        <f aca="false">'City Data'!L44</f>
        <v>200</v>
      </c>
      <c r="Z44" s="4" t="n">
        <f aca="false">'City Data'!M44</f>
        <v>550</v>
      </c>
      <c r="AA44" s="4" t="n">
        <f aca="false">U44-X44</f>
        <v>80.65</v>
      </c>
      <c r="AB44" s="4" t="n">
        <f aca="false">V44-Y44</f>
        <v>116.8</v>
      </c>
      <c r="AC44" s="4" t="n">
        <f aca="false">W44-Z44</f>
        <v>177.65</v>
      </c>
      <c r="AD44" s="4" t="str">
        <f aca="false">IF(OR(AND(X44&lt;&gt;0,ABS(AA44)&gt;Assumptions!$B$18*X44),AND(Y44&lt;&gt;0,ABS(AB44)&gt;Assumptions!$B$18*Y44),AND(Z44&lt;&gt;0,ABS(AC44)&gt;Assumptions!$B$18*Z44)),"REVIEW","")</f>
        <v>REVIEW</v>
      </c>
    </row>
    <row r="45" customFormat="false" ht="15" hidden="false" customHeight="false" outlineLevel="0" collapsed="false">
      <c r="A45" s="0" t="str">
        <f aca="false">'City Data'!A45</f>
        <v>Bucharest</v>
      </c>
      <c r="B45" s="4" t="n">
        <f aca="false">'City Data'!B45/Assumptions!$B$2</f>
        <v>15</v>
      </c>
      <c r="C45" s="4" t="n">
        <f aca="false">'City Data'!C45/Assumptions!$B$2</f>
        <v>35</v>
      </c>
      <c r="D45" s="4" t="n">
        <f aca="false">'City Data'!D45/Assumptions!$B$2</f>
        <v>90</v>
      </c>
      <c r="E45" s="4" t="n">
        <f aca="false">Assumptions!$B$3*Assumptions!$B$4*'City Data'!E45</f>
        <v>45</v>
      </c>
      <c r="F45" s="4" t="n">
        <f aca="false">Assumptions!$B$3*Assumptions!$B$5*'City Data'!E45</f>
        <v>81</v>
      </c>
      <c r="G45" s="4" t="n">
        <f aca="false">Assumptions!$B$3*Assumptions!$B$6*'City Data'!E45</f>
        <v>157.5</v>
      </c>
      <c r="H45" s="4" t="n">
        <f aca="false">Assumptions!$B$7*'City Data'!F45</f>
        <v>5</v>
      </c>
      <c r="I45" s="4" t="n">
        <f aca="false">Assumptions!$B$8*'City Data'!F45</f>
        <v>10</v>
      </c>
      <c r="J45" s="4" t="n">
        <f aca="false">Assumptions!$B$9*'City Data'!F45</f>
        <v>20</v>
      </c>
      <c r="K45" s="4" t="n">
        <f aca="false">'City Data'!G45+'City Data'!H45</f>
        <v>3.5</v>
      </c>
      <c r="L45" s="4" t="n">
        <f aca="false">IF(AND(Assumptions!$B$13,ISNUMBER('City Data'!I45)),Assumptions!$B$10*'City Data'!I45,0)</f>
        <v>3</v>
      </c>
      <c r="M45" s="4" t="n">
        <f aca="false">IF(AND(Assumptions!$B$13,ISNUMBER('City Data'!I45)),Assumptions!$B$11*'City Data'!I45,0)</f>
        <v>6</v>
      </c>
      <c r="N45" s="4" t="n">
        <f aca="false">IF(AND(Assumptions!$B$13,ISNUMBER('City Data'!I45)),Assumptions!$B$12*'City Data'!I45,0)</f>
        <v>9</v>
      </c>
      <c r="O45" s="4" t="n">
        <f aca="false">B45+E45+H45+K45</f>
        <v>68.5</v>
      </c>
      <c r="P45" s="4" t="n">
        <f aca="false">C45+F45+I45+K45</f>
        <v>129.5</v>
      </c>
      <c r="Q45" s="4" t="n">
        <f aca="false">D45+G45+J45+K45</f>
        <v>271</v>
      </c>
      <c r="R45" s="4" t="n">
        <f aca="false">IF(Assumptions!$B$14,Assumptions!$B$15*O45,0)</f>
        <v>6.85</v>
      </c>
      <c r="S45" s="4" t="n">
        <f aca="false">IF(Assumptions!$B$14,Assumptions!$B$16*P45,0)</f>
        <v>25.9</v>
      </c>
      <c r="T45" s="4" t="n">
        <f aca="false">IF(Assumptions!$B$14,Assumptions!$B$17*Q45,0)</f>
        <v>94.85</v>
      </c>
      <c r="U45" s="4" t="n">
        <f aca="false">O45+L45+R45</f>
        <v>78.35</v>
      </c>
      <c r="V45" s="4" t="n">
        <f aca="false">P45+M45+S45</f>
        <v>161.4</v>
      </c>
      <c r="W45" s="4" t="n">
        <f aca="false">Q45+N45+T45</f>
        <v>374.85</v>
      </c>
      <c r="X45" s="4" t="n">
        <f aca="false">'City Data'!K45</f>
        <v>45</v>
      </c>
      <c r="Y45" s="4" t="n">
        <f aca="false">'City Data'!L45</f>
        <v>110</v>
      </c>
      <c r="Z45" s="4" t="n">
        <f aca="false">'City Data'!M45</f>
        <v>325</v>
      </c>
      <c r="AA45" s="4" t="n">
        <f aca="false">U45-X45</f>
        <v>33.35</v>
      </c>
      <c r="AB45" s="4" t="n">
        <f aca="false">V45-Y45</f>
        <v>51.4</v>
      </c>
      <c r="AC45" s="4" t="n">
        <f aca="false">W45-Z45</f>
        <v>49.85</v>
      </c>
      <c r="AD45" s="4" t="str">
        <f aca="false">IF(OR(AND(X45&lt;&gt;0,ABS(AA45)&gt;Assumptions!$B$18*X45),AND(Y45&lt;&gt;0,ABS(AB45)&gt;Assumptions!$B$18*Y45),AND(Z45&lt;&gt;0,ABS(AC45)&gt;Assumptions!$B$18*Z45)),"REVIEW","")</f>
        <v>REVIEW</v>
      </c>
    </row>
    <row r="46" customFormat="false" ht="15" hidden="false" customHeight="false" outlineLevel="0" collapsed="false">
      <c r="A46" s="0" t="str">
        <f aca="false">'City Data'!A46</f>
        <v>Budapest</v>
      </c>
      <c r="B46" s="4" t="n">
        <f aca="false">'City Data'!B46/Assumptions!$B$2</f>
        <v>22.5</v>
      </c>
      <c r="C46" s="4" t="n">
        <f aca="false">'City Data'!C46/Assumptions!$B$2</f>
        <v>45</v>
      </c>
      <c r="D46" s="4" t="n">
        <f aca="false">'City Data'!D46/Assumptions!$B$2</f>
        <v>140</v>
      </c>
      <c r="E46" s="4" t="n">
        <f aca="false">Assumptions!$B$3*Assumptions!$B$4*'City Data'!E46</f>
        <v>54</v>
      </c>
      <c r="F46" s="4" t="n">
        <f aca="false">Assumptions!$B$3*Assumptions!$B$5*'City Data'!E46</f>
        <v>97.2</v>
      </c>
      <c r="G46" s="4" t="n">
        <f aca="false">Assumptions!$B$3*Assumptions!$B$6*'City Data'!E46</f>
        <v>189</v>
      </c>
      <c r="H46" s="4" t="n">
        <f aca="false">Assumptions!$B$7*'City Data'!F46</f>
        <v>15</v>
      </c>
      <c r="I46" s="4" t="n">
        <f aca="false">Assumptions!$B$8*'City Data'!F46</f>
        <v>30</v>
      </c>
      <c r="J46" s="4" t="n">
        <f aca="false">Assumptions!$B$9*'City Data'!F46</f>
        <v>60</v>
      </c>
      <c r="K46" s="4" t="n">
        <f aca="false">'City Data'!G46+'City Data'!H46</f>
        <v>4</v>
      </c>
      <c r="L46" s="4" t="n">
        <f aca="false">IF(AND(Assumptions!$B$13,ISNUMBER('City Data'!I46)),Assumptions!$B$10*'City Data'!I46,0)</f>
        <v>2</v>
      </c>
      <c r="M46" s="4" t="n">
        <f aca="false">IF(AND(Assumptions!$B$13,ISNUMBER('City Data'!I46)),Assumptions!$B$11*'City Data'!I46,0)</f>
        <v>4</v>
      </c>
      <c r="N46" s="4" t="n">
        <f aca="false">IF(AND(Assumptions!$B$13,ISNUMBER('City Data'!I46)),Assumptions!$B$12*'City Data'!I46,0)</f>
        <v>6</v>
      </c>
      <c r="O46" s="4" t="n">
        <f aca="false">B46+E46+H46+K46</f>
        <v>95.5</v>
      </c>
      <c r="P46" s="4" t="n">
        <f aca="false">C46+F46+I46+K46</f>
        <v>176.2</v>
      </c>
      <c r="Q46" s="4" t="n">
        <f aca="false">D46+G46+J46+K46</f>
        <v>393</v>
      </c>
      <c r="R46" s="4" t="n">
        <f aca="false">IF(Assumptions!$B$14,Assumptions!$B$15*O46,0)</f>
        <v>9.55</v>
      </c>
      <c r="S46" s="4" t="n">
        <f aca="false">IF(Assumptions!$B$14,Assumptions!$B$16*P46,0)</f>
        <v>35.24</v>
      </c>
      <c r="T46" s="4" t="n">
        <f aca="false">IF(Assumptions!$B$14,Assumptions!$B$17*Q46,0)</f>
        <v>137.55</v>
      </c>
      <c r="U46" s="4" t="n">
        <f aca="false">O46+L46+R46</f>
        <v>107.05</v>
      </c>
      <c r="V46" s="4" t="n">
        <f aca="false">P46+M46+S46</f>
        <v>215.44</v>
      </c>
      <c r="W46" s="4" t="n">
        <f aca="false">Q46+N46+T46</f>
        <v>536.55</v>
      </c>
      <c r="X46" s="4" t="n">
        <f aca="false">'City Data'!K46</f>
        <v>55</v>
      </c>
      <c r="Y46" s="4" t="n">
        <f aca="false">'City Data'!L46</f>
        <v>130</v>
      </c>
      <c r="Z46" s="4" t="n">
        <f aca="false">'City Data'!M46</f>
        <v>360</v>
      </c>
      <c r="AA46" s="4" t="n">
        <f aca="false">U46-X46</f>
        <v>52.05</v>
      </c>
      <c r="AB46" s="4" t="n">
        <f aca="false">V46-Y46</f>
        <v>85.44</v>
      </c>
      <c r="AC46" s="4" t="n">
        <f aca="false">W46-Z46</f>
        <v>176.55</v>
      </c>
      <c r="AD46" s="4" t="str">
        <f aca="false">IF(OR(AND(X46&lt;&gt;0,ABS(AA46)&gt;Assumptions!$B$18*X46),AND(Y46&lt;&gt;0,ABS(AB46)&gt;Assumptions!$B$18*Y46),AND(Z46&lt;&gt;0,ABS(AC46)&gt;Assumptions!$B$18*Z46)),"REVIEW","")</f>
        <v>REVIEW</v>
      </c>
    </row>
    <row r="47" customFormat="false" ht="15" hidden="false" customHeight="false" outlineLevel="0" collapsed="false">
      <c r="A47" s="0" t="str">
        <f aca="false">'City Data'!A47</f>
        <v>Buenos Aires</v>
      </c>
      <c r="B47" s="4" t="n">
        <f aca="false">'City Data'!B47/Assumptions!$B$2</f>
        <v>20</v>
      </c>
      <c r="C47" s="4" t="n">
        <f aca="false">'City Data'!C47/Assumptions!$B$2</f>
        <v>45</v>
      </c>
      <c r="D47" s="4" t="n">
        <f aca="false">'City Data'!D47/Assumptions!$B$2</f>
        <v>125</v>
      </c>
      <c r="E47" s="4" t="n">
        <f aca="false">Assumptions!$B$3*Assumptions!$B$4*'City Data'!E47</f>
        <v>60</v>
      </c>
      <c r="F47" s="4" t="n">
        <f aca="false">Assumptions!$B$3*Assumptions!$B$5*'City Data'!E47</f>
        <v>108</v>
      </c>
      <c r="G47" s="4" t="n">
        <f aca="false">Assumptions!$B$3*Assumptions!$B$6*'City Data'!E47</f>
        <v>210</v>
      </c>
      <c r="H47" s="4" t="n">
        <f aca="false">Assumptions!$B$7*'City Data'!F47</f>
        <v>12</v>
      </c>
      <c r="I47" s="4" t="n">
        <f aca="false">Assumptions!$B$8*'City Data'!F47</f>
        <v>24</v>
      </c>
      <c r="J47" s="4" t="n">
        <f aca="false">Assumptions!$B$9*'City Data'!F47</f>
        <v>48</v>
      </c>
      <c r="K47" s="4" t="n">
        <f aca="false">'City Data'!G47+'City Data'!H47</f>
        <v>4</v>
      </c>
      <c r="L47" s="4" t="n">
        <f aca="false">IF(AND(Assumptions!$B$13,ISNUMBER('City Data'!I47)),Assumptions!$B$10*'City Data'!I47,0)</f>
        <v>3.5</v>
      </c>
      <c r="M47" s="4" t="n">
        <f aca="false">IF(AND(Assumptions!$B$13,ISNUMBER('City Data'!I47)),Assumptions!$B$11*'City Data'!I47,0)</f>
        <v>7</v>
      </c>
      <c r="N47" s="4" t="n">
        <f aca="false">IF(AND(Assumptions!$B$13,ISNUMBER('City Data'!I47)),Assumptions!$B$12*'City Data'!I47,0)</f>
        <v>10.5</v>
      </c>
      <c r="O47" s="4" t="n">
        <f aca="false">B47+E47+H47+K47</f>
        <v>96</v>
      </c>
      <c r="P47" s="4" t="n">
        <f aca="false">C47+F47+I47+K47</f>
        <v>181</v>
      </c>
      <c r="Q47" s="4" t="n">
        <f aca="false">D47+G47+J47+K47</f>
        <v>387</v>
      </c>
      <c r="R47" s="4" t="n">
        <f aca="false">IF(Assumptions!$B$14,Assumptions!$B$15*O47,0)</f>
        <v>9.6</v>
      </c>
      <c r="S47" s="4" t="n">
        <f aca="false">IF(Assumptions!$B$14,Assumptions!$B$16*P47,0)</f>
        <v>36.2</v>
      </c>
      <c r="T47" s="4" t="n">
        <f aca="false">IF(Assumptions!$B$14,Assumptions!$B$17*Q47,0)</f>
        <v>135.45</v>
      </c>
      <c r="U47" s="4" t="n">
        <f aca="false">O47+L47+R47</f>
        <v>109.1</v>
      </c>
      <c r="V47" s="4" t="n">
        <f aca="false">P47+M47+S47</f>
        <v>224.2</v>
      </c>
      <c r="W47" s="4" t="n">
        <f aca="false">Q47+N47+T47</f>
        <v>532.95</v>
      </c>
      <c r="X47" s="4" t="n">
        <f aca="false">'City Data'!K47</f>
        <v>50</v>
      </c>
      <c r="Y47" s="4" t="n">
        <f aca="false">'City Data'!L47</f>
        <v>120</v>
      </c>
      <c r="Z47" s="4" t="n">
        <f aca="false">'City Data'!M47</f>
        <v>350</v>
      </c>
      <c r="AA47" s="4" t="n">
        <f aca="false">U47-X47</f>
        <v>59.1</v>
      </c>
      <c r="AB47" s="4" t="n">
        <f aca="false">V47-Y47</f>
        <v>104.2</v>
      </c>
      <c r="AC47" s="4" t="n">
        <f aca="false">W47-Z47</f>
        <v>182.95</v>
      </c>
      <c r="AD47" s="4" t="str">
        <f aca="false">IF(OR(AND(X47&lt;&gt;0,ABS(AA47)&gt;Assumptions!$B$18*X47),AND(Y47&lt;&gt;0,ABS(AB47)&gt;Assumptions!$B$18*Y47),AND(Z47&lt;&gt;0,ABS(AC47)&gt;Assumptions!$B$18*Z47)),"REVIEW","")</f>
        <v>REVIEW</v>
      </c>
    </row>
    <row r="48" customFormat="false" ht="15" hidden="false" customHeight="false" outlineLevel="0" collapsed="false">
      <c r="A48" s="0" t="str">
        <f aca="false">'City Data'!A48</f>
        <v>Bujumbura</v>
      </c>
      <c r="B48" s="4" t="n">
        <f aca="false">'City Data'!B48/Assumptions!$B$2</f>
        <v>10</v>
      </c>
      <c r="C48" s="4" t="n">
        <f aca="false">'City Data'!C48/Assumptions!$B$2</f>
        <v>35</v>
      </c>
      <c r="D48" s="4" t="n">
        <f aca="false">'City Data'!D48/Assumptions!$B$2</f>
        <v>90</v>
      </c>
      <c r="E48" s="4" t="n">
        <f aca="false">Assumptions!$B$3*Assumptions!$B$4*'City Data'!E48</f>
        <v>45</v>
      </c>
      <c r="F48" s="4" t="n">
        <f aca="false">Assumptions!$B$3*Assumptions!$B$5*'City Data'!E48</f>
        <v>81</v>
      </c>
      <c r="G48" s="4" t="n">
        <f aca="false">Assumptions!$B$3*Assumptions!$B$6*'City Data'!E48</f>
        <v>157.5</v>
      </c>
      <c r="H48" s="4" t="n">
        <f aca="false">Assumptions!$B$7*'City Data'!F48</f>
        <v>6</v>
      </c>
      <c r="I48" s="4" t="n">
        <f aca="false">Assumptions!$B$8*'City Data'!F48</f>
        <v>12</v>
      </c>
      <c r="J48" s="4" t="n">
        <f aca="false">Assumptions!$B$9*'City Data'!F48</f>
        <v>24</v>
      </c>
      <c r="K48" s="4" t="n">
        <f aca="false">'City Data'!G48+'City Data'!H48</f>
        <v>4</v>
      </c>
      <c r="L48" s="4" t="n">
        <f aca="false">IF(AND(Assumptions!$B$13,ISNUMBER('City Data'!I48)),Assumptions!$B$10*'City Data'!I48,0)</f>
        <v>2.5</v>
      </c>
      <c r="M48" s="4" t="n">
        <f aca="false">IF(AND(Assumptions!$B$13,ISNUMBER('City Data'!I48)),Assumptions!$B$11*'City Data'!I48,0)</f>
        <v>5</v>
      </c>
      <c r="N48" s="4" t="n">
        <f aca="false">IF(AND(Assumptions!$B$13,ISNUMBER('City Data'!I48)),Assumptions!$B$12*'City Data'!I48,0)</f>
        <v>7.5</v>
      </c>
      <c r="O48" s="4" t="n">
        <f aca="false">B48+E48+H48+K48</f>
        <v>65</v>
      </c>
      <c r="P48" s="4" t="n">
        <f aca="false">C48+F48+I48+K48</f>
        <v>132</v>
      </c>
      <c r="Q48" s="4" t="n">
        <f aca="false">D48+G48+J48+K48</f>
        <v>275.5</v>
      </c>
      <c r="R48" s="4" t="n">
        <f aca="false">IF(Assumptions!$B$14,Assumptions!$B$15*O48,0)</f>
        <v>6.5</v>
      </c>
      <c r="S48" s="4" t="n">
        <f aca="false">IF(Assumptions!$B$14,Assumptions!$B$16*P48,0)</f>
        <v>26.4</v>
      </c>
      <c r="T48" s="4" t="n">
        <f aca="false">IF(Assumptions!$B$14,Assumptions!$B$17*Q48,0)</f>
        <v>96.425</v>
      </c>
      <c r="U48" s="4" t="n">
        <f aca="false">O48+L48+R48</f>
        <v>74</v>
      </c>
      <c r="V48" s="4" t="n">
        <f aca="false">P48+M48+S48</f>
        <v>163.4</v>
      </c>
      <c r="W48" s="4" t="n">
        <f aca="false">Q48+N48+T48</f>
        <v>379.425</v>
      </c>
      <c r="X48" s="4" t="n">
        <f aca="false">'City Data'!K48</f>
        <v>40</v>
      </c>
      <c r="Y48" s="4" t="n">
        <f aca="false">'City Data'!L48</f>
        <v>105</v>
      </c>
      <c r="Z48" s="4" t="n">
        <f aca="false">'City Data'!M48</f>
        <v>315</v>
      </c>
      <c r="AA48" s="4" t="n">
        <f aca="false">U48-X48</f>
        <v>34</v>
      </c>
      <c r="AB48" s="4" t="n">
        <f aca="false">V48-Y48</f>
        <v>58.4</v>
      </c>
      <c r="AC48" s="4" t="n">
        <f aca="false">W48-Z48</f>
        <v>64.425</v>
      </c>
      <c r="AD48" s="4" t="str">
        <f aca="false">IF(OR(AND(X48&lt;&gt;0,ABS(AA48)&gt;Assumptions!$B$18*X48),AND(Y48&lt;&gt;0,ABS(AB48)&gt;Assumptions!$B$18*Y48),AND(Z48&lt;&gt;0,ABS(AC48)&gt;Assumptions!$B$18*Z48)),"REVIEW","")</f>
        <v>REVIEW</v>
      </c>
    </row>
    <row r="49" customFormat="false" ht="15" hidden="false" customHeight="false" outlineLevel="0" collapsed="false">
      <c r="A49" s="0" t="str">
        <f aca="false">'City Data'!A49</f>
        <v>Busan</v>
      </c>
      <c r="B49" s="4" t="n">
        <f aca="false">'City Data'!B49/Assumptions!$B$2</f>
        <v>20</v>
      </c>
      <c r="C49" s="4" t="n">
        <f aca="false">'City Data'!C49/Assumptions!$B$2</f>
        <v>40</v>
      </c>
      <c r="D49" s="4" t="n">
        <f aca="false">'City Data'!D49/Assumptions!$B$2</f>
        <v>110</v>
      </c>
      <c r="E49" s="4" t="n">
        <f aca="false">Assumptions!$B$3*Assumptions!$B$4*'City Data'!E49</f>
        <v>45</v>
      </c>
      <c r="F49" s="4" t="n">
        <f aca="false">Assumptions!$B$3*Assumptions!$B$5*'City Data'!E49</f>
        <v>81</v>
      </c>
      <c r="G49" s="4" t="n">
        <f aca="false">Assumptions!$B$3*Assumptions!$B$6*'City Data'!E49</f>
        <v>157.5</v>
      </c>
      <c r="H49" s="4" t="n">
        <f aca="false">Assumptions!$B$7*'City Data'!F49</f>
        <v>12</v>
      </c>
      <c r="I49" s="4" t="n">
        <f aca="false">Assumptions!$B$8*'City Data'!F49</f>
        <v>24</v>
      </c>
      <c r="J49" s="4" t="n">
        <f aca="false">Assumptions!$B$9*'City Data'!F49</f>
        <v>48</v>
      </c>
      <c r="K49" s="4" t="n">
        <f aca="false">'City Data'!G49+'City Data'!H49</f>
        <v>5</v>
      </c>
      <c r="L49" s="4" t="n">
        <f aca="false">IF(AND(Assumptions!$B$13,ISNUMBER('City Data'!I49)),Assumptions!$B$10*'City Data'!I49,0)</f>
        <v>3.5</v>
      </c>
      <c r="M49" s="4" t="n">
        <f aca="false">IF(AND(Assumptions!$B$13,ISNUMBER('City Data'!I49)),Assumptions!$B$11*'City Data'!I49,0)</f>
        <v>7</v>
      </c>
      <c r="N49" s="4" t="n">
        <f aca="false">IF(AND(Assumptions!$B$13,ISNUMBER('City Data'!I49)),Assumptions!$B$12*'City Data'!I49,0)</f>
        <v>10.5</v>
      </c>
      <c r="O49" s="4" t="n">
        <f aca="false">B49+E49+H49+K49</f>
        <v>82</v>
      </c>
      <c r="P49" s="4" t="n">
        <f aca="false">C49+F49+I49+K49</f>
        <v>150</v>
      </c>
      <c r="Q49" s="4" t="n">
        <f aca="false">D49+G49+J49+K49</f>
        <v>320.5</v>
      </c>
      <c r="R49" s="4" t="n">
        <f aca="false">IF(Assumptions!$B$14,Assumptions!$B$15*O49,0)</f>
        <v>8.2</v>
      </c>
      <c r="S49" s="4" t="n">
        <f aca="false">IF(Assumptions!$B$14,Assumptions!$B$16*P49,0)</f>
        <v>30</v>
      </c>
      <c r="T49" s="4" t="n">
        <f aca="false">IF(Assumptions!$B$14,Assumptions!$B$17*Q49,0)</f>
        <v>112.175</v>
      </c>
      <c r="U49" s="4" t="n">
        <f aca="false">O49+L49+R49</f>
        <v>93.7</v>
      </c>
      <c r="V49" s="4" t="n">
        <f aca="false">P49+M49+S49</f>
        <v>187</v>
      </c>
      <c r="W49" s="4" t="n">
        <f aca="false">Q49+N49+T49</f>
        <v>443.175</v>
      </c>
      <c r="X49" s="4" t="n">
        <f aca="false">'City Data'!K49</f>
        <v>60</v>
      </c>
      <c r="Y49" s="4" t="n">
        <f aca="false">'City Data'!L49</f>
        <v>140</v>
      </c>
      <c r="Z49" s="4" t="n">
        <f aca="false">'City Data'!M49</f>
        <v>390</v>
      </c>
      <c r="AA49" s="4" t="n">
        <f aca="false">U49-X49</f>
        <v>33.7</v>
      </c>
      <c r="AB49" s="4" t="n">
        <f aca="false">V49-Y49</f>
        <v>47</v>
      </c>
      <c r="AC49" s="4" t="n">
        <f aca="false">W49-Z49</f>
        <v>53.175</v>
      </c>
      <c r="AD49" s="4" t="str">
        <f aca="false">IF(OR(AND(X49&lt;&gt;0,ABS(AA49)&gt;Assumptions!$B$18*X49),AND(Y49&lt;&gt;0,ABS(AB49)&gt;Assumptions!$B$18*Y49),AND(Z49&lt;&gt;0,ABS(AC49)&gt;Assumptions!$B$18*Z49)),"REVIEW","")</f>
        <v>REVIEW</v>
      </c>
    </row>
    <row r="50" customFormat="false" ht="15" hidden="false" customHeight="false" outlineLevel="0" collapsed="false">
      <c r="A50" s="0" t="str">
        <f aca="false">'City Data'!A50</f>
        <v>Cairo</v>
      </c>
      <c r="B50" s="4" t="n">
        <f aca="false">'City Data'!B50/Assumptions!$B$2</f>
        <v>15</v>
      </c>
      <c r="C50" s="4" t="n">
        <f aca="false">'City Data'!C50/Assumptions!$B$2</f>
        <v>35</v>
      </c>
      <c r="D50" s="4" t="n">
        <f aca="false">'City Data'!D50/Assumptions!$B$2</f>
        <v>90</v>
      </c>
      <c r="E50" s="4" t="n">
        <f aca="false">Assumptions!$B$3*Assumptions!$B$4*'City Data'!E50</f>
        <v>36</v>
      </c>
      <c r="F50" s="4" t="n">
        <f aca="false">Assumptions!$B$3*Assumptions!$B$5*'City Data'!E50</f>
        <v>64.8</v>
      </c>
      <c r="G50" s="4" t="n">
        <f aca="false">Assumptions!$B$3*Assumptions!$B$6*'City Data'!E50</f>
        <v>126</v>
      </c>
      <c r="H50" s="4" t="n">
        <f aca="false">Assumptions!$B$7*'City Data'!F50</f>
        <v>8</v>
      </c>
      <c r="I50" s="4" t="n">
        <f aca="false">Assumptions!$B$8*'City Data'!F50</f>
        <v>16</v>
      </c>
      <c r="J50" s="4" t="n">
        <f aca="false">Assumptions!$B$9*'City Data'!F50</f>
        <v>32</v>
      </c>
      <c r="K50" s="4" t="n">
        <f aca="false">'City Data'!G50+'City Data'!H50</f>
        <v>1.8</v>
      </c>
      <c r="L50" s="4" t="n">
        <f aca="false">IF(AND(Assumptions!$B$13,ISNUMBER('City Data'!I50)),Assumptions!$B$10*'City Data'!I50,0)</f>
        <v>2.5</v>
      </c>
      <c r="M50" s="4" t="n">
        <f aca="false">IF(AND(Assumptions!$B$13,ISNUMBER('City Data'!I50)),Assumptions!$B$11*'City Data'!I50,0)</f>
        <v>5</v>
      </c>
      <c r="N50" s="4" t="n">
        <f aca="false">IF(AND(Assumptions!$B$13,ISNUMBER('City Data'!I50)),Assumptions!$B$12*'City Data'!I50,0)</f>
        <v>7.5</v>
      </c>
      <c r="O50" s="4" t="n">
        <f aca="false">B50+E50+H50+K50</f>
        <v>60.8</v>
      </c>
      <c r="P50" s="4" t="n">
        <f aca="false">C50+F50+I50+K50</f>
        <v>117.6</v>
      </c>
      <c r="Q50" s="4" t="n">
        <f aca="false">D50+G50+J50+K50</f>
        <v>249.8</v>
      </c>
      <c r="R50" s="4" t="n">
        <f aca="false">IF(Assumptions!$B$14,Assumptions!$B$15*O50,0)</f>
        <v>6.08</v>
      </c>
      <c r="S50" s="4" t="n">
        <f aca="false">IF(Assumptions!$B$14,Assumptions!$B$16*P50,0)</f>
        <v>23.52</v>
      </c>
      <c r="T50" s="4" t="n">
        <f aca="false">IF(Assumptions!$B$14,Assumptions!$B$17*Q50,0)</f>
        <v>87.43</v>
      </c>
      <c r="U50" s="4" t="n">
        <f aca="false">O50+L50+R50</f>
        <v>69.38</v>
      </c>
      <c r="V50" s="4" t="n">
        <f aca="false">P50+M50+S50</f>
        <v>146.12</v>
      </c>
      <c r="W50" s="4" t="n">
        <f aca="false">Q50+N50+T50</f>
        <v>344.73</v>
      </c>
      <c r="X50" s="4" t="n">
        <f aca="false">'City Data'!K50</f>
        <v>35</v>
      </c>
      <c r="Y50" s="4" t="n">
        <f aca="false">'City Data'!L50</f>
        <v>85</v>
      </c>
      <c r="Z50" s="4" t="n">
        <f aca="false">'City Data'!M50</f>
        <v>280</v>
      </c>
      <c r="AA50" s="4" t="n">
        <f aca="false">U50-X50</f>
        <v>34.38</v>
      </c>
      <c r="AB50" s="4" t="n">
        <f aca="false">V50-Y50</f>
        <v>61.12</v>
      </c>
      <c r="AC50" s="4" t="n">
        <f aca="false">W50-Z50</f>
        <v>64.73</v>
      </c>
      <c r="AD50" s="4" t="str">
        <f aca="false">IF(OR(AND(X50&lt;&gt;0,ABS(AA50)&gt;Assumptions!$B$18*X50),AND(Y50&lt;&gt;0,ABS(AB50)&gt;Assumptions!$B$18*Y50),AND(Z50&lt;&gt;0,ABS(AC50)&gt;Assumptions!$B$18*Z50)),"REVIEW","")</f>
        <v>REVIEW</v>
      </c>
    </row>
    <row r="51" customFormat="false" ht="15" hidden="false" customHeight="false" outlineLevel="0" collapsed="false">
      <c r="A51" s="0" t="str">
        <f aca="false">'City Data'!A51</f>
        <v>Cancún</v>
      </c>
      <c r="B51" s="4" t="n">
        <f aca="false">'City Data'!B51/Assumptions!$B$2</f>
        <v>27.5</v>
      </c>
      <c r="C51" s="4" t="n">
        <f aca="false">'City Data'!C51/Assumptions!$B$2</f>
        <v>60</v>
      </c>
      <c r="D51" s="4" t="n">
        <f aca="false">'City Data'!D51/Assumptions!$B$2</f>
        <v>175</v>
      </c>
      <c r="E51" s="4" t="n">
        <f aca="false">Assumptions!$B$3*Assumptions!$B$4*'City Data'!E51</f>
        <v>60</v>
      </c>
      <c r="F51" s="4" t="n">
        <f aca="false">Assumptions!$B$3*Assumptions!$B$5*'City Data'!E51</f>
        <v>108</v>
      </c>
      <c r="G51" s="4" t="n">
        <f aca="false">Assumptions!$B$3*Assumptions!$B$6*'City Data'!E51</f>
        <v>210</v>
      </c>
      <c r="H51" s="4" t="n">
        <f aca="false">Assumptions!$B$7*'City Data'!F51</f>
        <v>12</v>
      </c>
      <c r="I51" s="4" t="n">
        <f aca="false">Assumptions!$B$8*'City Data'!F51</f>
        <v>24</v>
      </c>
      <c r="J51" s="4" t="n">
        <f aca="false">Assumptions!$B$9*'City Data'!F51</f>
        <v>48</v>
      </c>
      <c r="K51" s="4" t="n">
        <f aca="false">'City Data'!G51+'City Data'!H51</f>
        <v>3.8</v>
      </c>
      <c r="L51" s="4" t="n">
        <f aca="false">IF(AND(Assumptions!$B$13,ISNUMBER('City Data'!I51)),Assumptions!$B$10*'City Data'!I51,0)</f>
        <v>2.5</v>
      </c>
      <c r="M51" s="4" t="n">
        <f aca="false">IF(AND(Assumptions!$B$13,ISNUMBER('City Data'!I51)),Assumptions!$B$11*'City Data'!I51,0)</f>
        <v>5</v>
      </c>
      <c r="N51" s="4" t="n">
        <f aca="false">IF(AND(Assumptions!$B$13,ISNUMBER('City Data'!I51)),Assumptions!$B$12*'City Data'!I51,0)</f>
        <v>7.5</v>
      </c>
      <c r="O51" s="4" t="n">
        <f aca="false">B51+E51+H51+K51</f>
        <v>103.3</v>
      </c>
      <c r="P51" s="4" t="n">
        <f aca="false">C51+F51+I51+K51</f>
        <v>195.8</v>
      </c>
      <c r="Q51" s="4" t="n">
        <f aca="false">D51+G51+J51+K51</f>
        <v>436.8</v>
      </c>
      <c r="R51" s="4" t="n">
        <f aca="false">IF(Assumptions!$B$14,Assumptions!$B$15*O51,0)</f>
        <v>10.33</v>
      </c>
      <c r="S51" s="4" t="n">
        <f aca="false">IF(Assumptions!$B$14,Assumptions!$B$16*P51,0)</f>
        <v>39.16</v>
      </c>
      <c r="T51" s="4" t="n">
        <f aca="false">IF(Assumptions!$B$14,Assumptions!$B$17*Q51,0)</f>
        <v>152.88</v>
      </c>
      <c r="U51" s="4" t="n">
        <f aca="false">O51+L51+R51</f>
        <v>116.13</v>
      </c>
      <c r="V51" s="4" t="n">
        <f aca="false">P51+M51+S51</f>
        <v>239.96</v>
      </c>
      <c r="W51" s="4" t="n">
        <f aca="false">Q51+N51+T51</f>
        <v>597.18</v>
      </c>
      <c r="X51" s="4" t="n">
        <f aca="false">'City Data'!K51</f>
        <v>60</v>
      </c>
      <c r="Y51" s="4" t="n">
        <f aca="false">'City Data'!L51</f>
        <v>150</v>
      </c>
      <c r="Z51" s="4" t="n">
        <f aca="false">'City Data'!M51</f>
        <v>450</v>
      </c>
      <c r="AA51" s="4" t="n">
        <f aca="false">U51-X51</f>
        <v>56.13</v>
      </c>
      <c r="AB51" s="4" t="n">
        <f aca="false">V51-Y51</f>
        <v>89.96</v>
      </c>
      <c r="AC51" s="4" t="n">
        <f aca="false">W51-Z51</f>
        <v>147.18</v>
      </c>
      <c r="AD51" s="4" t="str">
        <f aca="false">IF(OR(AND(X51&lt;&gt;0,ABS(AA51)&gt;Assumptions!$B$18*X51),AND(Y51&lt;&gt;0,ABS(AB51)&gt;Assumptions!$B$18*Y51),AND(Z51&lt;&gt;0,ABS(AC51)&gt;Assumptions!$B$18*Z51)),"REVIEW","")</f>
        <v>REVIEW</v>
      </c>
    </row>
    <row r="52" customFormat="false" ht="15" hidden="false" customHeight="false" outlineLevel="0" collapsed="false">
      <c r="A52" s="0" t="str">
        <f aca="false">'City Data'!A52</f>
        <v>Cape Town</v>
      </c>
      <c r="B52" s="4" t="n">
        <f aca="false">'City Data'!B52/Assumptions!$B$2</f>
        <v>20</v>
      </c>
      <c r="C52" s="4" t="n">
        <f aca="false">'City Data'!C52/Assumptions!$B$2</f>
        <v>45</v>
      </c>
      <c r="D52" s="4" t="n">
        <f aca="false">'City Data'!D52/Assumptions!$B$2</f>
        <v>125</v>
      </c>
      <c r="E52" s="4" t="n">
        <f aca="false">Assumptions!$B$3*Assumptions!$B$4*'City Data'!E52</f>
        <v>45</v>
      </c>
      <c r="F52" s="4" t="n">
        <f aca="false">Assumptions!$B$3*Assumptions!$B$5*'City Data'!E52</f>
        <v>81</v>
      </c>
      <c r="G52" s="4" t="n">
        <f aca="false">Assumptions!$B$3*Assumptions!$B$6*'City Data'!E52</f>
        <v>157.5</v>
      </c>
      <c r="H52" s="4" t="n">
        <f aca="false">Assumptions!$B$7*'City Data'!F52</f>
        <v>12</v>
      </c>
      <c r="I52" s="4" t="n">
        <f aca="false">Assumptions!$B$8*'City Data'!F52</f>
        <v>24</v>
      </c>
      <c r="J52" s="4" t="n">
        <f aca="false">Assumptions!$B$9*'City Data'!F52</f>
        <v>48</v>
      </c>
      <c r="K52" s="4" t="n">
        <f aca="false">'City Data'!G52+'City Data'!H52</f>
        <v>3.3</v>
      </c>
      <c r="L52" s="4" t="n">
        <f aca="false">IF(AND(Assumptions!$B$13,ISNUMBER('City Data'!I52)),Assumptions!$B$10*'City Data'!I52,0)</f>
        <v>2.5</v>
      </c>
      <c r="M52" s="4" t="n">
        <f aca="false">IF(AND(Assumptions!$B$13,ISNUMBER('City Data'!I52)),Assumptions!$B$11*'City Data'!I52,0)</f>
        <v>5</v>
      </c>
      <c r="N52" s="4" t="n">
        <f aca="false">IF(AND(Assumptions!$B$13,ISNUMBER('City Data'!I52)),Assumptions!$B$12*'City Data'!I52,0)</f>
        <v>7.5</v>
      </c>
      <c r="O52" s="4" t="n">
        <f aca="false">B52+E52+H52+K52</f>
        <v>80.3</v>
      </c>
      <c r="P52" s="4" t="n">
        <f aca="false">C52+F52+I52+K52</f>
        <v>153.3</v>
      </c>
      <c r="Q52" s="4" t="n">
        <f aca="false">D52+G52+J52+K52</f>
        <v>333.8</v>
      </c>
      <c r="R52" s="4" t="n">
        <f aca="false">IF(Assumptions!$B$14,Assumptions!$B$15*O52,0)</f>
        <v>8.03</v>
      </c>
      <c r="S52" s="4" t="n">
        <f aca="false">IF(Assumptions!$B$14,Assumptions!$B$16*P52,0)</f>
        <v>30.66</v>
      </c>
      <c r="T52" s="4" t="n">
        <f aca="false">IF(Assumptions!$B$14,Assumptions!$B$17*Q52,0)</f>
        <v>116.83</v>
      </c>
      <c r="U52" s="4" t="n">
        <f aca="false">O52+L52+R52</f>
        <v>90.83</v>
      </c>
      <c r="V52" s="4" t="n">
        <f aca="false">P52+M52+S52</f>
        <v>188.96</v>
      </c>
      <c r="W52" s="4" t="n">
        <f aca="false">Q52+N52+T52</f>
        <v>458.13</v>
      </c>
      <c r="X52" s="4" t="n">
        <f aca="false">'City Data'!K52</f>
        <v>45</v>
      </c>
      <c r="Y52" s="4" t="n">
        <f aca="false">'City Data'!L52</f>
        <v>110</v>
      </c>
      <c r="Z52" s="4" t="n">
        <f aca="false">'City Data'!M52</f>
        <v>350</v>
      </c>
      <c r="AA52" s="4" t="n">
        <f aca="false">U52-X52</f>
        <v>45.83</v>
      </c>
      <c r="AB52" s="4" t="n">
        <f aca="false">V52-Y52</f>
        <v>78.96</v>
      </c>
      <c r="AC52" s="4" t="n">
        <f aca="false">W52-Z52</f>
        <v>108.13</v>
      </c>
      <c r="AD52" s="4" t="str">
        <f aca="false">IF(OR(AND(X52&lt;&gt;0,ABS(AA52)&gt;Assumptions!$B$18*X52),AND(Y52&lt;&gt;0,ABS(AB52)&gt;Assumptions!$B$18*Y52),AND(Z52&lt;&gt;0,ABS(AC52)&gt;Assumptions!$B$18*Z52)),"REVIEW","")</f>
        <v>REVIEW</v>
      </c>
    </row>
    <row r="53" customFormat="false" ht="15" hidden="false" customHeight="false" outlineLevel="0" collapsed="false">
      <c r="A53" s="0" t="str">
        <f aca="false">'City Data'!A53</f>
        <v>Caracas</v>
      </c>
      <c r="B53" s="4" t="n">
        <f aca="false">'City Data'!B53/Assumptions!$B$2</f>
        <v>10</v>
      </c>
      <c r="C53" s="4" t="n">
        <f aca="false">'City Data'!C53/Assumptions!$B$2</f>
        <v>37.5</v>
      </c>
      <c r="D53" s="4" t="n">
        <f aca="false">'City Data'!D53/Assumptions!$B$2</f>
        <v>100</v>
      </c>
      <c r="E53" s="4" t="n">
        <f aca="false">Assumptions!$B$3*Assumptions!$B$4*'City Data'!E53</f>
        <v>45</v>
      </c>
      <c r="F53" s="4" t="n">
        <f aca="false">Assumptions!$B$3*Assumptions!$B$5*'City Data'!E53</f>
        <v>81</v>
      </c>
      <c r="G53" s="4" t="n">
        <f aca="false">Assumptions!$B$3*Assumptions!$B$6*'City Data'!E53</f>
        <v>157.5</v>
      </c>
      <c r="H53" s="4" t="n">
        <f aca="false">Assumptions!$B$7*'City Data'!F53</f>
        <v>6</v>
      </c>
      <c r="I53" s="4" t="n">
        <f aca="false">Assumptions!$B$8*'City Data'!F53</f>
        <v>12</v>
      </c>
      <c r="J53" s="4" t="n">
        <f aca="false">Assumptions!$B$9*'City Data'!F53</f>
        <v>24</v>
      </c>
      <c r="K53" s="4" t="n">
        <f aca="false">'City Data'!G53+'City Data'!H53</f>
        <v>3</v>
      </c>
      <c r="L53" s="4" t="n">
        <f aca="false">IF(AND(Assumptions!$B$13,ISNUMBER('City Data'!I53)),Assumptions!$B$10*'City Data'!I53,0)</f>
        <v>3</v>
      </c>
      <c r="M53" s="4" t="n">
        <f aca="false">IF(AND(Assumptions!$B$13,ISNUMBER('City Data'!I53)),Assumptions!$B$11*'City Data'!I53,0)</f>
        <v>6</v>
      </c>
      <c r="N53" s="4" t="n">
        <f aca="false">IF(AND(Assumptions!$B$13,ISNUMBER('City Data'!I53)),Assumptions!$B$12*'City Data'!I53,0)</f>
        <v>9</v>
      </c>
      <c r="O53" s="4" t="n">
        <f aca="false">B53+E53+H53+K53</f>
        <v>64</v>
      </c>
      <c r="P53" s="4" t="n">
        <f aca="false">C53+F53+I53+K53</f>
        <v>133.5</v>
      </c>
      <c r="Q53" s="4" t="n">
        <f aca="false">D53+G53+J53+K53</f>
        <v>284.5</v>
      </c>
      <c r="R53" s="4" t="n">
        <f aca="false">IF(Assumptions!$B$14,Assumptions!$B$15*O53,0)</f>
        <v>6.4</v>
      </c>
      <c r="S53" s="4" t="n">
        <f aca="false">IF(Assumptions!$B$14,Assumptions!$B$16*P53,0)</f>
        <v>26.7</v>
      </c>
      <c r="T53" s="4" t="n">
        <f aca="false">IF(Assumptions!$B$14,Assumptions!$B$17*Q53,0)</f>
        <v>99.575</v>
      </c>
      <c r="U53" s="4" t="n">
        <f aca="false">O53+L53+R53</f>
        <v>73.4</v>
      </c>
      <c r="V53" s="4" t="n">
        <f aca="false">P53+M53+S53</f>
        <v>166.2</v>
      </c>
      <c r="W53" s="4" t="n">
        <f aca="false">Q53+N53+T53</f>
        <v>393.075</v>
      </c>
      <c r="X53" s="4" t="n">
        <f aca="false">'City Data'!K53</f>
        <v>40</v>
      </c>
      <c r="Y53" s="4" t="n">
        <f aca="false">'City Data'!L53</f>
        <v>105</v>
      </c>
      <c r="Z53" s="4" t="n">
        <f aca="false">'City Data'!M53</f>
        <v>320</v>
      </c>
      <c r="AA53" s="4" t="n">
        <f aca="false">U53-X53</f>
        <v>33.4</v>
      </c>
      <c r="AB53" s="4" t="n">
        <f aca="false">V53-Y53</f>
        <v>61.2</v>
      </c>
      <c r="AC53" s="4" t="n">
        <f aca="false">W53-Z53</f>
        <v>73.075</v>
      </c>
      <c r="AD53" s="4" t="str">
        <f aca="false">IF(OR(AND(X53&lt;&gt;0,ABS(AA53)&gt;Assumptions!$B$18*X53),AND(Y53&lt;&gt;0,ABS(AB53)&gt;Assumptions!$B$18*Y53),AND(Z53&lt;&gt;0,ABS(AC53)&gt;Assumptions!$B$18*Z53)),"REVIEW","")</f>
        <v>REVIEW</v>
      </c>
    </row>
    <row r="54" customFormat="false" ht="15" hidden="false" customHeight="false" outlineLevel="0" collapsed="false">
      <c r="A54" s="0" t="str">
        <f aca="false">'City Data'!A54</f>
        <v>Castries</v>
      </c>
      <c r="B54" s="4" t="n">
        <f aca="false">'City Data'!B54/Assumptions!$B$2</f>
        <v>30</v>
      </c>
      <c r="C54" s="4" t="n">
        <f aca="false">'City Data'!C54/Assumptions!$B$2</f>
        <v>90</v>
      </c>
      <c r="D54" s="4" t="n">
        <f aca="false">'City Data'!D54/Assumptions!$B$2</f>
        <v>250</v>
      </c>
      <c r="E54" s="4" t="n">
        <f aca="false">Assumptions!$B$3*Assumptions!$B$4*'City Data'!E54</f>
        <v>75</v>
      </c>
      <c r="F54" s="4" t="n">
        <f aca="false">Assumptions!$B$3*Assumptions!$B$5*'City Data'!E54</f>
        <v>135</v>
      </c>
      <c r="G54" s="4" t="n">
        <f aca="false">Assumptions!$B$3*Assumptions!$B$6*'City Data'!E54</f>
        <v>262.5</v>
      </c>
      <c r="H54" s="4" t="n">
        <f aca="false">Assumptions!$B$7*'City Data'!F54</f>
        <v>15</v>
      </c>
      <c r="I54" s="4" t="n">
        <f aca="false">Assumptions!$B$8*'City Data'!F54</f>
        <v>30</v>
      </c>
      <c r="J54" s="4" t="n">
        <f aca="false">Assumptions!$B$9*'City Data'!F54</f>
        <v>60</v>
      </c>
      <c r="K54" s="4" t="n">
        <f aca="false">'City Data'!G54+'City Data'!H54</f>
        <v>5</v>
      </c>
      <c r="L54" s="4" t="n">
        <f aca="false">IF(AND(Assumptions!$B$13,ISNUMBER('City Data'!I54)),Assumptions!$B$10*'City Data'!I54,0)</f>
        <v>4</v>
      </c>
      <c r="M54" s="4" t="n">
        <f aca="false">IF(AND(Assumptions!$B$13,ISNUMBER('City Data'!I54)),Assumptions!$B$11*'City Data'!I54,0)</f>
        <v>8</v>
      </c>
      <c r="N54" s="4" t="n">
        <f aca="false">IF(AND(Assumptions!$B$13,ISNUMBER('City Data'!I54)),Assumptions!$B$12*'City Data'!I54,0)</f>
        <v>12</v>
      </c>
      <c r="O54" s="4" t="n">
        <f aca="false">B54+E54+H54+K54</f>
        <v>125</v>
      </c>
      <c r="P54" s="4" t="n">
        <f aca="false">C54+F54+I54+K54</f>
        <v>260</v>
      </c>
      <c r="Q54" s="4" t="n">
        <f aca="false">D54+G54+J54+K54</f>
        <v>577.5</v>
      </c>
      <c r="R54" s="4" t="n">
        <f aca="false">IF(Assumptions!$B$14,Assumptions!$B$15*O54,0)</f>
        <v>12.5</v>
      </c>
      <c r="S54" s="4" t="n">
        <f aca="false">IF(Assumptions!$B$14,Assumptions!$B$16*P54,0)</f>
        <v>52</v>
      </c>
      <c r="T54" s="4" t="n">
        <f aca="false">IF(Assumptions!$B$14,Assumptions!$B$17*Q54,0)</f>
        <v>202.125</v>
      </c>
      <c r="U54" s="4" t="n">
        <f aca="false">O54+L54+R54</f>
        <v>141.5</v>
      </c>
      <c r="V54" s="4" t="n">
        <f aca="false">P54+M54+S54</f>
        <v>320</v>
      </c>
      <c r="W54" s="4" t="n">
        <f aca="false">Q54+N54+T54</f>
        <v>791.625</v>
      </c>
      <c r="X54" s="4" t="n">
        <f aca="false">'City Data'!K54</f>
        <v>75</v>
      </c>
      <c r="Y54" s="4" t="n">
        <f aca="false">'City Data'!L54</f>
        <v>200</v>
      </c>
      <c r="Z54" s="4" t="n">
        <f aca="false">'City Data'!M54</f>
        <v>595</v>
      </c>
      <c r="AA54" s="4" t="n">
        <f aca="false">U54-X54</f>
        <v>66.5</v>
      </c>
      <c r="AB54" s="4" t="n">
        <f aca="false">V54-Y54</f>
        <v>120</v>
      </c>
      <c r="AC54" s="4" t="n">
        <f aca="false">W54-Z54</f>
        <v>196.625</v>
      </c>
      <c r="AD54" s="4" t="str">
        <f aca="false">IF(OR(AND(X54&lt;&gt;0,ABS(AA54)&gt;Assumptions!$B$18*X54),AND(Y54&lt;&gt;0,ABS(AB54)&gt;Assumptions!$B$18*Y54),AND(Z54&lt;&gt;0,ABS(AC54)&gt;Assumptions!$B$18*Z54)),"REVIEW","")</f>
        <v>REVIEW</v>
      </c>
    </row>
    <row r="55" customFormat="false" ht="15" hidden="false" customHeight="false" outlineLevel="0" collapsed="false">
      <c r="A55" s="0" t="str">
        <f aca="false">'City Data'!A55</f>
        <v>Changchun</v>
      </c>
      <c r="B55" s="4" t="n">
        <f aca="false">'City Data'!B55/Assumptions!$B$2</f>
        <v>10</v>
      </c>
      <c r="C55" s="4" t="n">
        <f aca="false">'City Data'!C55/Assumptions!$B$2</f>
        <v>22.5</v>
      </c>
      <c r="D55" s="4" t="n">
        <f aca="false">'City Data'!D55/Assumptions!$B$2</f>
        <v>60</v>
      </c>
      <c r="E55" s="4" t="n">
        <f aca="false">Assumptions!$B$3*Assumptions!$B$4*'City Data'!E55</f>
        <v>18</v>
      </c>
      <c r="F55" s="4" t="n">
        <f aca="false">Assumptions!$B$3*Assumptions!$B$5*'City Data'!E55</f>
        <v>32.4</v>
      </c>
      <c r="G55" s="4" t="n">
        <f aca="false">Assumptions!$B$3*Assumptions!$B$6*'City Data'!E55</f>
        <v>63</v>
      </c>
      <c r="H55" s="4" t="n">
        <f aca="false">Assumptions!$B$7*'City Data'!F55</f>
        <v>3</v>
      </c>
      <c r="I55" s="4" t="n">
        <f aca="false">Assumptions!$B$8*'City Data'!F55</f>
        <v>6</v>
      </c>
      <c r="J55" s="4" t="n">
        <f aca="false">Assumptions!$B$9*'City Data'!F55</f>
        <v>12</v>
      </c>
      <c r="K55" s="4" t="n">
        <f aca="false">'City Data'!G55+'City Data'!H55</f>
        <v>4.3</v>
      </c>
      <c r="L55" s="4" t="n">
        <f aca="false">IF(AND(Assumptions!$B$13,ISNUMBER('City Data'!I55)),Assumptions!$B$10*'City Data'!I55,0)</f>
        <v>1.5</v>
      </c>
      <c r="M55" s="4" t="n">
        <f aca="false">IF(AND(Assumptions!$B$13,ISNUMBER('City Data'!I55)),Assumptions!$B$11*'City Data'!I55,0)</f>
        <v>3</v>
      </c>
      <c r="N55" s="4" t="n">
        <f aca="false">IF(AND(Assumptions!$B$13,ISNUMBER('City Data'!I55)),Assumptions!$B$12*'City Data'!I55,0)</f>
        <v>4.5</v>
      </c>
      <c r="O55" s="4" t="n">
        <f aca="false">B55+E55+H55+K55</f>
        <v>35.3</v>
      </c>
      <c r="P55" s="4" t="n">
        <f aca="false">C55+F55+I55+K55</f>
        <v>65.2</v>
      </c>
      <c r="Q55" s="4" t="n">
        <f aca="false">D55+G55+J55+K55</f>
        <v>139.3</v>
      </c>
      <c r="R55" s="4" t="n">
        <f aca="false">IF(Assumptions!$B$14,Assumptions!$B$15*O55,0)</f>
        <v>3.53</v>
      </c>
      <c r="S55" s="4" t="n">
        <f aca="false">IF(Assumptions!$B$14,Assumptions!$B$16*P55,0)</f>
        <v>13.04</v>
      </c>
      <c r="T55" s="4" t="n">
        <f aca="false">IF(Assumptions!$B$14,Assumptions!$B$17*Q55,0)</f>
        <v>48.755</v>
      </c>
      <c r="U55" s="4" t="n">
        <f aca="false">O55+L55+R55</f>
        <v>40.33</v>
      </c>
      <c r="V55" s="4" t="n">
        <f aca="false">P55+M55+S55</f>
        <v>81.24</v>
      </c>
      <c r="W55" s="4" t="n">
        <f aca="false">Q55+N55+T55</f>
        <v>192.555</v>
      </c>
      <c r="X55" s="4" t="n">
        <f aca="false">'City Data'!K55</f>
        <v>30</v>
      </c>
      <c r="Y55" s="4" t="n">
        <f aca="false">'City Data'!L55</f>
        <v>70</v>
      </c>
      <c r="Z55" s="4" t="n">
        <f aca="false">'City Data'!M55</f>
        <v>200</v>
      </c>
      <c r="AA55" s="4" t="n">
        <f aca="false">U55-X55</f>
        <v>10.33</v>
      </c>
      <c r="AB55" s="4" t="n">
        <f aca="false">V55-Y55</f>
        <v>11.24</v>
      </c>
      <c r="AC55" s="4" t="n">
        <f aca="false">W55-Z55</f>
        <v>-7.44499999999999</v>
      </c>
      <c r="AD55" s="4" t="str">
        <f aca="false">IF(OR(AND(X55&lt;&gt;0,ABS(AA55)&gt;Assumptions!$B$18*X55),AND(Y55&lt;&gt;0,ABS(AB55)&gt;Assumptions!$B$18*Y55),AND(Z55&lt;&gt;0,ABS(AC55)&gt;Assumptions!$B$18*Z55)),"REVIEW","")</f>
        <v>REVIEW</v>
      </c>
    </row>
    <row r="56" customFormat="false" ht="15" hidden="false" customHeight="false" outlineLevel="0" collapsed="false">
      <c r="A56" s="0" t="str">
        <f aca="false">'City Data'!A56</f>
        <v>Chengdu</v>
      </c>
      <c r="B56" s="4" t="n">
        <f aca="false">'City Data'!B56/Assumptions!$B$2</f>
        <v>10</v>
      </c>
      <c r="C56" s="4" t="n">
        <f aca="false">'City Data'!C56/Assumptions!$B$2</f>
        <v>30</v>
      </c>
      <c r="D56" s="4" t="n">
        <f aca="false">'City Data'!D56/Assumptions!$B$2</f>
        <v>90</v>
      </c>
      <c r="E56" s="4" t="n">
        <f aca="false">Assumptions!$B$3*Assumptions!$B$4*'City Data'!E56</f>
        <v>18</v>
      </c>
      <c r="F56" s="4" t="n">
        <f aca="false">Assumptions!$B$3*Assumptions!$B$5*'City Data'!E56</f>
        <v>32.4</v>
      </c>
      <c r="G56" s="4" t="n">
        <f aca="false">Assumptions!$B$3*Assumptions!$B$6*'City Data'!E56</f>
        <v>63</v>
      </c>
      <c r="H56" s="4" t="n">
        <f aca="false">Assumptions!$B$7*'City Data'!F56</f>
        <v>3</v>
      </c>
      <c r="I56" s="4" t="n">
        <f aca="false">Assumptions!$B$8*'City Data'!F56</f>
        <v>6</v>
      </c>
      <c r="J56" s="4" t="n">
        <f aca="false">Assumptions!$B$9*'City Data'!F56</f>
        <v>12</v>
      </c>
      <c r="K56" s="4" t="n">
        <f aca="false">'City Data'!G56+'City Data'!H56</f>
        <v>4.4</v>
      </c>
      <c r="L56" s="4" t="n">
        <f aca="false">IF(AND(Assumptions!$B$13,ISNUMBER('City Data'!I56)),Assumptions!$B$10*'City Data'!I56,0)</f>
        <v>1.5</v>
      </c>
      <c r="M56" s="4" t="n">
        <f aca="false">IF(AND(Assumptions!$B$13,ISNUMBER('City Data'!I56)),Assumptions!$B$11*'City Data'!I56,0)</f>
        <v>3</v>
      </c>
      <c r="N56" s="4" t="n">
        <f aca="false">IF(AND(Assumptions!$B$13,ISNUMBER('City Data'!I56)),Assumptions!$B$12*'City Data'!I56,0)</f>
        <v>4.5</v>
      </c>
      <c r="O56" s="4" t="n">
        <f aca="false">B56+E56+H56+K56</f>
        <v>35.4</v>
      </c>
      <c r="P56" s="4" t="n">
        <f aca="false">C56+F56+I56+K56</f>
        <v>72.8</v>
      </c>
      <c r="Q56" s="4" t="n">
        <f aca="false">D56+G56+J56+K56</f>
        <v>169.4</v>
      </c>
      <c r="R56" s="4" t="n">
        <f aca="false">IF(Assumptions!$B$14,Assumptions!$B$15*O56,0)</f>
        <v>3.54</v>
      </c>
      <c r="S56" s="4" t="n">
        <f aca="false">IF(Assumptions!$B$14,Assumptions!$B$16*P56,0)</f>
        <v>14.56</v>
      </c>
      <c r="T56" s="4" t="n">
        <f aca="false">IF(Assumptions!$B$14,Assumptions!$B$17*Q56,0)</f>
        <v>59.29</v>
      </c>
      <c r="U56" s="4" t="n">
        <f aca="false">O56+L56+R56</f>
        <v>40.44</v>
      </c>
      <c r="V56" s="4" t="n">
        <f aca="false">P56+M56+S56</f>
        <v>90.36</v>
      </c>
      <c r="W56" s="4" t="n">
        <f aca="false">Q56+N56+T56</f>
        <v>233.19</v>
      </c>
      <c r="X56" s="4" t="n">
        <f aca="false">'City Data'!K56</f>
        <v>30</v>
      </c>
      <c r="Y56" s="4" t="n">
        <f aca="false">'City Data'!L56</f>
        <v>75</v>
      </c>
      <c r="Z56" s="4" t="n">
        <f aca="false">'City Data'!M56</f>
        <v>220</v>
      </c>
      <c r="AA56" s="4" t="n">
        <f aca="false">U56-X56</f>
        <v>10.44</v>
      </c>
      <c r="AB56" s="4" t="n">
        <f aca="false">V56-Y56</f>
        <v>15.36</v>
      </c>
      <c r="AC56" s="4" t="n">
        <f aca="false">W56-Z56</f>
        <v>13.19</v>
      </c>
      <c r="AD56" s="4" t="str">
        <f aca="false">IF(OR(AND(X56&lt;&gt;0,ABS(AA56)&gt;Assumptions!$B$18*X56),AND(Y56&lt;&gt;0,ABS(AB56)&gt;Assumptions!$B$18*Y56),AND(Z56&lt;&gt;0,ABS(AC56)&gt;Assumptions!$B$18*Z56)),"REVIEW","")</f>
        <v>REVIEW</v>
      </c>
    </row>
    <row r="57" customFormat="false" ht="15" hidden="false" customHeight="false" outlineLevel="0" collapsed="false">
      <c r="A57" s="0" t="str">
        <f aca="false">'City Data'!A57</f>
        <v>Chennai</v>
      </c>
      <c r="B57" s="4" t="n">
        <f aca="false">'City Data'!B57/Assumptions!$B$2</f>
        <v>7.5</v>
      </c>
      <c r="C57" s="4" t="n">
        <f aca="false">'City Data'!C57/Assumptions!$B$2</f>
        <v>22.5</v>
      </c>
      <c r="D57" s="4" t="n">
        <f aca="false">'City Data'!D57/Assumptions!$B$2</f>
        <v>60</v>
      </c>
      <c r="E57" s="4" t="n">
        <f aca="false">Assumptions!$B$3*Assumptions!$B$4*'City Data'!E57</f>
        <v>12</v>
      </c>
      <c r="F57" s="4" t="n">
        <f aca="false">Assumptions!$B$3*Assumptions!$B$5*'City Data'!E57</f>
        <v>21.6</v>
      </c>
      <c r="G57" s="4" t="n">
        <f aca="false">Assumptions!$B$3*Assumptions!$B$6*'City Data'!E57</f>
        <v>42</v>
      </c>
      <c r="H57" s="4" t="n">
        <f aca="false">Assumptions!$B$7*'City Data'!F57</f>
        <v>3</v>
      </c>
      <c r="I57" s="4" t="n">
        <f aca="false">Assumptions!$B$8*'City Data'!F57</f>
        <v>6</v>
      </c>
      <c r="J57" s="4" t="n">
        <f aca="false">Assumptions!$B$9*'City Data'!F57</f>
        <v>12</v>
      </c>
      <c r="K57" s="4" t="n">
        <f aca="false">'City Data'!G57+'City Data'!H57</f>
        <v>1.25</v>
      </c>
      <c r="L57" s="4" t="n">
        <f aca="false">IF(AND(Assumptions!$B$13,ISNUMBER('City Data'!I57)),Assumptions!$B$10*'City Data'!I57,0)</f>
        <v>3</v>
      </c>
      <c r="M57" s="4" t="n">
        <f aca="false">IF(AND(Assumptions!$B$13,ISNUMBER('City Data'!I57)),Assumptions!$B$11*'City Data'!I57,0)</f>
        <v>6</v>
      </c>
      <c r="N57" s="4" t="n">
        <f aca="false">IF(AND(Assumptions!$B$13,ISNUMBER('City Data'!I57)),Assumptions!$B$12*'City Data'!I57,0)</f>
        <v>9</v>
      </c>
      <c r="O57" s="4" t="n">
        <f aca="false">B57+E57+H57+K57</f>
        <v>23.75</v>
      </c>
      <c r="P57" s="4" t="n">
        <f aca="false">C57+F57+I57+K57</f>
        <v>51.35</v>
      </c>
      <c r="Q57" s="4" t="n">
        <f aca="false">D57+G57+J57+K57</f>
        <v>115.25</v>
      </c>
      <c r="R57" s="4" t="n">
        <f aca="false">IF(Assumptions!$B$14,Assumptions!$B$15*O57,0)</f>
        <v>2.375</v>
      </c>
      <c r="S57" s="4" t="n">
        <f aca="false">IF(Assumptions!$B$14,Assumptions!$B$16*P57,0)</f>
        <v>10.27</v>
      </c>
      <c r="T57" s="4" t="n">
        <f aca="false">IF(Assumptions!$B$14,Assumptions!$B$17*Q57,0)</f>
        <v>40.3375</v>
      </c>
      <c r="U57" s="4" t="n">
        <f aca="false">O57+L57+R57</f>
        <v>29.125</v>
      </c>
      <c r="V57" s="4" t="n">
        <f aca="false">P57+M57+S57</f>
        <v>67.62</v>
      </c>
      <c r="W57" s="4" t="n">
        <f aca="false">Q57+N57+T57</f>
        <v>164.5875</v>
      </c>
      <c r="X57" s="4" t="n">
        <f aca="false">'City Data'!K57</f>
        <v>25</v>
      </c>
      <c r="Y57" s="4" t="n">
        <f aca="false">'City Data'!L57</f>
        <v>65</v>
      </c>
      <c r="Z57" s="4" t="n">
        <f aca="false">'City Data'!M57</f>
        <v>180</v>
      </c>
      <c r="AA57" s="4" t="n">
        <f aca="false">U57-X57</f>
        <v>4.125</v>
      </c>
      <c r="AB57" s="4" t="n">
        <f aca="false">V57-Y57</f>
        <v>2.62</v>
      </c>
      <c r="AC57" s="4" t="n">
        <f aca="false">W57-Z57</f>
        <v>-15.4125</v>
      </c>
      <c r="AD57" s="4" t="str">
        <f aca="false">IF(OR(AND(X57&lt;&gt;0,ABS(AA57)&gt;Assumptions!$B$18*X57),AND(Y57&lt;&gt;0,ABS(AB57)&gt;Assumptions!$B$18*Y57),AND(Z57&lt;&gt;0,ABS(AC57)&gt;Assumptions!$B$18*Z57)),"REVIEW","")</f>
        <v/>
      </c>
    </row>
    <row r="58" customFormat="false" ht="15" hidden="false" customHeight="false" outlineLevel="0" collapsed="false">
      <c r="A58" s="0" t="str">
        <f aca="false">'City Data'!A58</f>
        <v>Chittagong</v>
      </c>
      <c r="B58" s="4" t="n">
        <f aca="false">'City Data'!B58/Assumptions!$B$2</f>
        <v>7.5</v>
      </c>
      <c r="C58" s="4" t="n">
        <f aca="false">'City Data'!C58/Assumptions!$B$2</f>
        <v>27.5</v>
      </c>
      <c r="D58" s="4" t="n">
        <f aca="false">'City Data'!D58/Assumptions!$B$2</f>
        <v>60</v>
      </c>
      <c r="E58" s="4" t="n">
        <f aca="false">Assumptions!$B$3*Assumptions!$B$4*'City Data'!E58</f>
        <v>12</v>
      </c>
      <c r="F58" s="4" t="n">
        <f aca="false">Assumptions!$B$3*Assumptions!$B$5*'City Data'!E58</f>
        <v>21.6</v>
      </c>
      <c r="G58" s="4" t="n">
        <f aca="false">Assumptions!$B$3*Assumptions!$B$6*'City Data'!E58</f>
        <v>42</v>
      </c>
      <c r="H58" s="4" t="n">
        <f aca="false">Assumptions!$B$7*'City Data'!F58</f>
        <v>3</v>
      </c>
      <c r="I58" s="4" t="n">
        <f aca="false">Assumptions!$B$8*'City Data'!F58</f>
        <v>6</v>
      </c>
      <c r="J58" s="4" t="n">
        <f aca="false">Assumptions!$B$9*'City Data'!F58</f>
        <v>12</v>
      </c>
      <c r="K58" s="4" t="n">
        <f aca="false">'City Data'!G58+'City Data'!H58</f>
        <v>2.4</v>
      </c>
      <c r="L58" s="4" t="n">
        <f aca="false">IF(AND(Assumptions!$B$13,ISNUMBER('City Data'!I58)),Assumptions!$B$10*'City Data'!I58,0)</f>
        <v>8</v>
      </c>
      <c r="M58" s="4" t="n">
        <f aca="false">IF(AND(Assumptions!$B$13,ISNUMBER('City Data'!I58)),Assumptions!$B$11*'City Data'!I58,0)</f>
        <v>16</v>
      </c>
      <c r="N58" s="4" t="n">
        <f aca="false">IF(AND(Assumptions!$B$13,ISNUMBER('City Data'!I58)),Assumptions!$B$12*'City Data'!I58,0)</f>
        <v>24</v>
      </c>
      <c r="O58" s="4" t="n">
        <f aca="false">B58+E58+H58+K58</f>
        <v>24.9</v>
      </c>
      <c r="P58" s="4" t="n">
        <f aca="false">C58+F58+I58+K58</f>
        <v>57.5</v>
      </c>
      <c r="Q58" s="4" t="n">
        <f aca="false">D58+G58+J58+K58</f>
        <v>116.4</v>
      </c>
      <c r="R58" s="4" t="n">
        <f aca="false">IF(Assumptions!$B$14,Assumptions!$B$15*O58,0)</f>
        <v>2.49</v>
      </c>
      <c r="S58" s="4" t="n">
        <f aca="false">IF(Assumptions!$B$14,Assumptions!$B$16*P58,0)</f>
        <v>11.5</v>
      </c>
      <c r="T58" s="4" t="n">
        <f aca="false">IF(Assumptions!$B$14,Assumptions!$B$17*Q58,0)</f>
        <v>40.74</v>
      </c>
      <c r="U58" s="4" t="n">
        <f aca="false">O58+L58+R58</f>
        <v>35.39</v>
      </c>
      <c r="V58" s="4" t="n">
        <f aca="false">P58+M58+S58</f>
        <v>85</v>
      </c>
      <c r="W58" s="4" t="n">
        <f aca="false">Q58+N58+T58</f>
        <v>181.14</v>
      </c>
      <c r="X58" s="4" t="n">
        <f aca="false">'City Data'!K58</f>
        <v>25</v>
      </c>
      <c r="Y58" s="4" t="n">
        <f aca="false">'City Data'!L58</f>
        <v>60</v>
      </c>
      <c r="Z58" s="4" t="n">
        <f aca="false">'City Data'!M58</f>
        <v>180</v>
      </c>
      <c r="AA58" s="4" t="n">
        <f aca="false">U58-X58</f>
        <v>10.39</v>
      </c>
      <c r="AB58" s="4" t="n">
        <f aca="false">V58-Y58</f>
        <v>25</v>
      </c>
      <c r="AC58" s="4" t="n">
        <f aca="false">W58-Z58</f>
        <v>1.14000000000001</v>
      </c>
      <c r="AD58" s="4" t="str">
        <f aca="false">IF(OR(AND(X58&lt;&gt;0,ABS(AA58)&gt;Assumptions!$B$18*X58),AND(Y58&lt;&gt;0,ABS(AB58)&gt;Assumptions!$B$18*Y58),AND(Z58&lt;&gt;0,ABS(AC58)&gt;Assumptions!$B$18*Z58)),"REVIEW","")</f>
        <v>REVIEW</v>
      </c>
    </row>
    <row r="59" customFormat="false" ht="15" hidden="false" customHeight="false" outlineLevel="0" collapsed="false">
      <c r="A59" s="0" t="str">
        <f aca="false">'City Data'!A59</f>
        <v>Chișinău</v>
      </c>
      <c r="B59" s="4" t="n">
        <f aca="false">'City Data'!B59/Assumptions!$B$2</f>
        <v>10</v>
      </c>
      <c r="C59" s="4" t="n">
        <f aca="false">'City Data'!C59/Assumptions!$B$2</f>
        <v>30</v>
      </c>
      <c r="D59" s="4" t="n">
        <f aca="false">'City Data'!D59/Assumptions!$B$2</f>
        <v>75</v>
      </c>
      <c r="E59" s="4" t="n">
        <f aca="false">Assumptions!$B$3*Assumptions!$B$4*'City Data'!E59</f>
        <v>36</v>
      </c>
      <c r="F59" s="4" t="n">
        <f aca="false">Assumptions!$B$3*Assumptions!$B$5*'City Data'!E59</f>
        <v>64.8</v>
      </c>
      <c r="G59" s="4" t="n">
        <f aca="false">Assumptions!$B$3*Assumptions!$B$6*'City Data'!E59</f>
        <v>126</v>
      </c>
      <c r="H59" s="4" t="n">
        <f aca="false">Assumptions!$B$7*'City Data'!F59</f>
        <v>4</v>
      </c>
      <c r="I59" s="4" t="n">
        <f aca="false">Assumptions!$B$8*'City Data'!F59</f>
        <v>8</v>
      </c>
      <c r="J59" s="4" t="n">
        <f aca="false">Assumptions!$B$9*'City Data'!F59</f>
        <v>16</v>
      </c>
      <c r="K59" s="4" t="n">
        <f aca="false">'City Data'!G59+'City Data'!H59</f>
        <v>2.6</v>
      </c>
      <c r="L59" s="4" t="n">
        <f aca="false">IF(AND(Assumptions!$B$13,ISNUMBER('City Data'!I59)),Assumptions!$B$10*'City Data'!I59,0)</f>
        <v>2</v>
      </c>
      <c r="M59" s="4" t="n">
        <f aca="false">IF(AND(Assumptions!$B$13,ISNUMBER('City Data'!I59)),Assumptions!$B$11*'City Data'!I59,0)</f>
        <v>4</v>
      </c>
      <c r="N59" s="4" t="n">
        <f aca="false">IF(AND(Assumptions!$B$13,ISNUMBER('City Data'!I59)),Assumptions!$B$12*'City Data'!I59,0)</f>
        <v>6</v>
      </c>
      <c r="O59" s="4" t="n">
        <f aca="false">B59+E59+H59+K59</f>
        <v>52.6</v>
      </c>
      <c r="P59" s="4" t="n">
        <f aca="false">C59+F59+I59+K59</f>
        <v>105.4</v>
      </c>
      <c r="Q59" s="4" t="n">
        <f aca="false">D59+G59+J59+K59</f>
        <v>219.6</v>
      </c>
      <c r="R59" s="4" t="n">
        <f aca="false">IF(Assumptions!$B$14,Assumptions!$B$15*O59,0)</f>
        <v>5.26</v>
      </c>
      <c r="S59" s="4" t="n">
        <f aca="false">IF(Assumptions!$B$14,Assumptions!$B$16*P59,0)</f>
        <v>21.08</v>
      </c>
      <c r="T59" s="4" t="n">
        <f aca="false">IF(Assumptions!$B$14,Assumptions!$B$17*Q59,0)</f>
        <v>76.86</v>
      </c>
      <c r="U59" s="4" t="n">
        <f aca="false">O59+L59+R59</f>
        <v>59.86</v>
      </c>
      <c r="V59" s="4" t="n">
        <f aca="false">P59+M59+S59</f>
        <v>130.48</v>
      </c>
      <c r="W59" s="4" t="n">
        <f aca="false">Q59+N59+T59</f>
        <v>302.46</v>
      </c>
      <c r="X59" s="4" t="n">
        <f aca="false">'City Data'!K59</f>
        <v>35</v>
      </c>
      <c r="Y59" s="4" t="n">
        <f aca="false">'City Data'!L59</f>
        <v>90</v>
      </c>
      <c r="Z59" s="4" t="n">
        <f aca="false">'City Data'!M59</f>
        <v>275</v>
      </c>
      <c r="AA59" s="4" t="n">
        <f aca="false">U59-X59</f>
        <v>24.86</v>
      </c>
      <c r="AB59" s="4" t="n">
        <f aca="false">V59-Y59</f>
        <v>40.48</v>
      </c>
      <c r="AC59" s="4" t="n">
        <f aca="false">W59-Z59</f>
        <v>27.46</v>
      </c>
      <c r="AD59" s="4" t="str">
        <f aca="false">IF(OR(AND(X59&lt;&gt;0,ABS(AA59)&gt;Assumptions!$B$18*X59),AND(Y59&lt;&gt;0,ABS(AB59)&gt;Assumptions!$B$18*Y59),AND(Z59&lt;&gt;0,ABS(AC59)&gt;Assumptions!$B$18*Z59)),"REVIEW","")</f>
        <v>REVIEW</v>
      </c>
    </row>
    <row r="60" customFormat="false" ht="15" hidden="false" customHeight="false" outlineLevel="0" collapsed="false">
      <c r="A60" s="0" t="str">
        <f aca="false">'City Data'!A60</f>
        <v>Chongqing</v>
      </c>
      <c r="B60" s="4" t="n">
        <f aca="false">'City Data'!B60/Assumptions!$B$2</f>
        <v>10</v>
      </c>
      <c r="C60" s="4" t="n">
        <f aca="false">'City Data'!C60/Assumptions!$B$2</f>
        <v>27.5</v>
      </c>
      <c r="D60" s="4" t="n">
        <f aca="false">'City Data'!D60/Assumptions!$B$2</f>
        <v>90</v>
      </c>
      <c r="E60" s="4" t="n">
        <f aca="false">Assumptions!$B$3*Assumptions!$B$4*'City Data'!E60</f>
        <v>24</v>
      </c>
      <c r="F60" s="4" t="n">
        <f aca="false">Assumptions!$B$3*Assumptions!$B$5*'City Data'!E60</f>
        <v>43.2</v>
      </c>
      <c r="G60" s="4" t="n">
        <f aca="false">Assumptions!$B$3*Assumptions!$B$6*'City Data'!E60</f>
        <v>84</v>
      </c>
      <c r="H60" s="4" t="n">
        <f aca="false">Assumptions!$B$7*'City Data'!F60</f>
        <v>4</v>
      </c>
      <c r="I60" s="4" t="n">
        <f aca="false">Assumptions!$B$8*'City Data'!F60</f>
        <v>8</v>
      </c>
      <c r="J60" s="4" t="n">
        <f aca="false">Assumptions!$B$9*'City Data'!F60</f>
        <v>16</v>
      </c>
      <c r="K60" s="4" t="n">
        <f aca="false">'City Data'!G60+'City Data'!H60</f>
        <v>4.4</v>
      </c>
      <c r="L60" s="4" t="n">
        <f aca="false">IF(AND(Assumptions!$B$13,ISNUMBER('City Data'!I60)),Assumptions!$B$10*'City Data'!I60,0)</f>
        <v>1.5</v>
      </c>
      <c r="M60" s="4" t="n">
        <f aca="false">IF(AND(Assumptions!$B$13,ISNUMBER('City Data'!I60)),Assumptions!$B$11*'City Data'!I60,0)</f>
        <v>3</v>
      </c>
      <c r="N60" s="4" t="n">
        <f aca="false">IF(AND(Assumptions!$B$13,ISNUMBER('City Data'!I60)),Assumptions!$B$12*'City Data'!I60,0)</f>
        <v>4.5</v>
      </c>
      <c r="O60" s="4" t="n">
        <f aca="false">B60+E60+H60+K60</f>
        <v>42.4</v>
      </c>
      <c r="P60" s="4" t="n">
        <f aca="false">C60+F60+I60+K60</f>
        <v>83.1</v>
      </c>
      <c r="Q60" s="4" t="n">
        <f aca="false">D60+G60+J60+K60</f>
        <v>194.4</v>
      </c>
      <c r="R60" s="4" t="n">
        <f aca="false">IF(Assumptions!$B$14,Assumptions!$B$15*O60,0)</f>
        <v>4.24</v>
      </c>
      <c r="S60" s="4" t="n">
        <f aca="false">IF(Assumptions!$B$14,Assumptions!$B$16*P60,0)</f>
        <v>16.62</v>
      </c>
      <c r="T60" s="4" t="n">
        <f aca="false">IF(Assumptions!$B$14,Assumptions!$B$17*Q60,0)</f>
        <v>68.04</v>
      </c>
      <c r="U60" s="4" t="n">
        <f aca="false">O60+L60+R60</f>
        <v>48.14</v>
      </c>
      <c r="V60" s="4" t="n">
        <f aca="false">P60+M60+S60</f>
        <v>102.72</v>
      </c>
      <c r="W60" s="4" t="n">
        <f aca="false">Q60+N60+T60</f>
        <v>266.94</v>
      </c>
      <c r="X60" s="4" t="n">
        <f aca="false">'City Data'!K60</f>
        <v>30</v>
      </c>
      <c r="Y60" s="4" t="n">
        <f aca="false">'City Data'!L60</f>
        <v>80</v>
      </c>
      <c r="Z60" s="4" t="n">
        <f aca="false">'City Data'!M60</f>
        <v>250</v>
      </c>
      <c r="AA60" s="4" t="n">
        <f aca="false">U60-X60</f>
        <v>18.14</v>
      </c>
      <c r="AB60" s="4" t="n">
        <f aca="false">V60-Y60</f>
        <v>22.72</v>
      </c>
      <c r="AC60" s="4" t="n">
        <f aca="false">W60-Z60</f>
        <v>16.94</v>
      </c>
      <c r="AD60" s="4" t="str">
        <f aca="false">IF(OR(AND(X60&lt;&gt;0,ABS(AA60)&gt;Assumptions!$B$18*X60),AND(Y60&lt;&gt;0,ABS(AB60)&gt;Assumptions!$B$18*Y60),AND(Z60&lt;&gt;0,ABS(AC60)&gt;Assumptions!$B$18*Z60)),"REVIEW","")</f>
        <v>REVIEW</v>
      </c>
    </row>
    <row r="61" customFormat="false" ht="15" hidden="false" customHeight="false" outlineLevel="0" collapsed="false">
      <c r="A61" s="0" t="str">
        <f aca="false">'City Data'!A61</f>
        <v>Colombo</v>
      </c>
      <c r="B61" s="4" t="n">
        <f aca="false">'City Data'!B61/Assumptions!$B$2</f>
        <v>7.5</v>
      </c>
      <c r="C61" s="4" t="n">
        <f aca="false">'City Data'!C61/Assumptions!$B$2</f>
        <v>35</v>
      </c>
      <c r="D61" s="4" t="n">
        <f aca="false">'City Data'!D61/Assumptions!$B$2</f>
        <v>150</v>
      </c>
      <c r="E61" s="4" t="n">
        <f aca="false">Assumptions!$B$3*Assumptions!$B$4*'City Data'!E61</f>
        <v>24</v>
      </c>
      <c r="F61" s="4" t="n">
        <f aca="false">Assumptions!$B$3*Assumptions!$B$5*'City Data'!E61</f>
        <v>43.2</v>
      </c>
      <c r="G61" s="4" t="n">
        <f aca="false">Assumptions!$B$3*Assumptions!$B$6*'City Data'!E61</f>
        <v>84</v>
      </c>
      <c r="H61" s="4" t="n">
        <f aca="false">Assumptions!$B$7*'City Data'!F61</f>
        <v>4</v>
      </c>
      <c r="I61" s="4" t="n">
        <f aca="false">Assumptions!$B$8*'City Data'!F61</f>
        <v>8</v>
      </c>
      <c r="J61" s="4" t="n">
        <f aca="false">Assumptions!$B$9*'City Data'!F61</f>
        <v>16</v>
      </c>
      <c r="K61" s="4" t="n">
        <f aca="false">'City Data'!G61+'City Data'!H61</f>
        <v>2.9</v>
      </c>
      <c r="L61" s="4" t="n">
        <f aca="false">IF(AND(Assumptions!$B$13,ISNUMBER('City Data'!I61)),Assumptions!$B$10*'City Data'!I61,0)</f>
        <v>3</v>
      </c>
      <c r="M61" s="4" t="n">
        <f aca="false">IF(AND(Assumptions!$B$13,ISNUMBER('City Data'!I61)),Assumptions!$B$11*'City Data'!I61,0)</f>
        <v>6</v>
      </c>
      <c r="N61" s="4" t="n">
        <f aca="false">IF(AND(Assumptions!$B$13,ISNUMBER('City Data'!I61)),Assumptions!$B$12*'City Data'!I61,0)</f>
        <v>9</v>
      </c>
      <c r="O61" s="4" t="n">
        <f aca="false">B61+E61+H61+K61</f>
        <v>38.4</v>
      </c>
      <c r="P61" s="4" t="n">
        <f aca="false">C61+F61+I61+K61</f>
        <v>89.1</v>
      </c>
      <c r="Q61" s="4" t="n">
        <f aca="false">D61+G61+J61+K61</f>
        <v>252.9</v>
      </c>
      <c r="R61" s="4" t="n">
        <f aca="false">IF(Assumptions!$B$14,Assumptions!$B$15*O61,0)</f>
        <v>3.84</v>
      </c>
      <c r="S61" s="4" t="n">
        <f aca="false">IF(Assumptions!$B$14,Assumptions!$B$16*P61,0)</f>
        <v>17.82</v>
      </c>
      <c r="T61" s="4" t="n">
        <f aca="false">IF(Assumptions!$B$14,Assumptions!$B$17*Q61,0)</f>
        <v>88.515</v>
      </c>
      <c r="U61" s="4" t="n">
        <f aca="false">O61+L61+R61</f>
        <v>45.24</v>
      </c>
      <c r="V61" s="4" t="n">
        <f aca="false">P61+M61+S61</f>
        <v>112.92</v>
      </c>
      <c r="W61" s="4" t="n">
        <f aca="false">Q61+N61+T61</f>
        <v>350.415</v>
      </c>
      <c r="X61" s="4" t="n">
        <f aca="false">'City Data'!K61</f>
        <v>35</v>
      </c>
      <c r="Y61" s="4" t="n">
        <f aca="false">'City Data'!L61</f>
        <v>95</v>
      </c>
      <c r="Z61" s="4" t="n">
        <f aca="false">'City Data'!M61</f>
        <v>305</v>
      </c>
      <c r="AA61" s="4" t="n">
        <f aca="false">U61-X61</f>
        <v>10.24</v>
      </c>
      <c r="AB61" s="4" t="n">
        <f aca="false">V61-Y61</f>
        <v>17.92</v>
      </c>
      <c r="AC61" s="4" t="n">
        <f aca="false">W61-Z61</f>
        <v>45.415</v>
      </c>
      <c r="AD61" s="4" t="str">
        <f aca="false">IF(OR(AND(X61&lt;&gt;0,ABS(AA61)&gt;Assumptions!$B$18*X61),AND(Y61&lt;&gt;0,ABS(AB61)&gt;Assumptions!$B$18*Y61),AND(Z61&lt;&gt;0,ABS(AC61)&gt;Assumptions!$B$18*Z61)),"REVIEW","")</f>
        <v>REVIEW</v>
      </c>
    </row>
    <row r="62" customFormat="false" ht="15" hidden="false" customHeight="false" outlineLevel="0" collapsed="false">
      <c r="A62" s="0" t="str">
        <f aca="false">'City Data'!A62</f>
        <v>Conakry</v>
      </c>
      <c r="B62" s="4" t="n">
        <f aca="false">'City Data'!B62/Assumptions!$B$2</f>
        <v>12.5</v>
      </c>
      <c r="C62" s="4" t="n">
        <f aca="false">'City Data'!C62/Assumptions!$B$2</f>
        <v>35</v>
      </c>
      <c r="D62" s="4" t="n">
        <f aca="false">'City Data'!D62/Assumptions!$B$2</f>
        <v>75</v>
      </c>
      <c r="E62" s="4" t="n">
        <f aca="false">Assumptions!$B$3*Assumptions!$B$4*'City Data'!E62</f>
        <v>36</v>
      </c>
      <c r="F62" s="4" t="n">
        <f aca="false">Assumptions!$B$3*Assumptions!$B$5*'City Data'!E62</f>
        <v>64.8</v>
      </c>
      <c r="G62" s="4" t="n">
        <f aca="false">Assumptions!$B$3*Assumptions!$B$6*'City Data'!E62</f>
        <v>126</v>
      </c>
      <c r="H62" s="4" t="n">
        <f aca="false">Assumptions!$B$7*'City Data'!F62</f>
        <v>4</v>
      </c>
      <c r="I62" s="4" t="n">
        <f aca="false">Assumptions!$B$8*'City Data'!F62</f>
        <v>8</v>
      </c>
      <c r="J62" s="4" t="n">
        <f aca="false">Assumptions!$B$9*'City Data'!F62</f>
        <v>16</v>
      </c>
      <c r="K62" s="4" t="n">
        <f aca="false">'City Data'!G62+'City Data'!H62</f>
        <v>3.1</v>
      </c>
      <c r="L62" s="4" t="n">
        <f aca="false">IF(AND(Assumptions!$B$13,ISNUMBER('City Data'!I62)),Assumptions!$B$10*'City Data'!I62,0)</f>
        <v>3</v>
      </c>
      <c r="M62" s="4" t="n">
        <f aca="false">IF(AND(Assumptions!$B$13,ISNUMBER('City Data'!I62)),Assumptions!$B$11*'City Data'!I62,0)</f>
        <v>6</v>
      </c>
      <c r="N62" s="4" t="n">
        <f aca="false">IF(AND(Assumptions!$B$13,ISNUMBER('City Data'!I62)),Assumptions!$B$12*'City Data'!I62,0)</f>
        <v>9</v>
      </c>
      <c r="O62" s="4" t="n">
        <f aca="false">B62+E62+H62+K62</f>
        <v>55.6</v>
      </c>
      <c r="P62" s="4" t="n">
        <f aca="false">C62+F62+I62+K62</f>
        <v>110.9</v>
      </c>
      <c r="Q62" s="4" t="n">
        <f aca="false">D62+G62+J62+K62</f>
        <v>220.1</v>
      </c>
      <c r="R62" s="4" t="n">
        <f aca="false">IF(Assumptions!$B$14,Assumptions!$B$15*O62,0)</f>
        <v>5.56</v>
      </c>
      <c r="S62" s="4" t="n">
        <f aca="false">IF(Assumptions!$B$14,Assumptions!$B$16*P62,0)</f>
        <v>22.18</v>
      </c>
      <c r="T62" s="4" t="n">
        <f aca="false">IF(Assumptions!$B$14,Assumptions!$B$17*Q62,0)</f>
        <v>77.035</v>
      </c>
      <c r="U62" s="4" t="n">
        <f aca="false">O62+L62+R62</f>
        <v>64.16</v>
      </c>
      <c r="V62" s="4" t="n">
        <f aca="false">P62+M62+S62</f>
        <v>139.08</v>
      </c>
      <c r="W62" s="4" t="n">
        <f aca="false">Q62+N62+T62</f>
        <v>306.135</v>
      </c>
      <c r="X62" s="4" t="n">
        <f aca="false">'City Data'!K62</f>
        <v>40</v>
      </c>
      <c r="Y62" s="4" t="n">
        <f aca="false">'City Data'!L62</f>
        <v>95</v>
      </c>
      <c r="Z62" s="4" t="n">
        <f aca="false">'City Data'!M62</f>
        <v>280</v>
      </c>
      <c r="AA62" s="4" t="n">
        <f aca="false">U62-X62</f>
        <v>24.16</v>
      </c>
      <c r="AB62" s="4" t="n">
        <f aca="false">V62-Y62</f>
        <v>44.08</v>
      </c>
      <c r="AC62" s="4" t="n">
        <f aca="false">W62-Z62</f>
        <v>26.135</v>
      </c>
      <c r="AD62" s="4" t="str">
        <f aca="false">IF(OR(AND(X62&lt;&gt;0,ABS(AA62)&gt;Assumptions!$B$18*X62),AND(Y62&lt;&gt;0,ABS(AB62)&gt;Assumptions!$B$18*Y62),AND(Z62&lt;&gt;0,ABS(AC62)&gt;Assumptions!$B$18*Z62)),"REVIEW","")</f>
        <v>REVIEW</v>
      </c>
    </row>
    <row r="63" customFormat="false" ht="15" hidden="false" customHeight="false" outlineLevel="0" collapsed="false">
      <c r="A63" s="0" t="str">
        <f aca="false">'City Data'!A63</f>
        <v>Copenhagen</v>
      </c>
      <c r="B63" s="4" t="n">
        <f aca="false">'City Data'!B63/Assumptions!$B$2</f>
        <v>50</v>
      </c>
      <c r="C63" s="4" t="n">
        <f aca="false">'City Data'!C63/Assumptions!$B$2</f>
        <v>90</v>
      </c>
      <c r="D63" s="4" t="n">
        <f aca="false">'City Data'!D63/Assumptions!$B$2</f>
        <v>200</v>
      </c>
      <c r="E63" s="4" t="n">
        <f aca="false">Assumptions!$B$3*Assumptions!$B$4*'City Data'!E63</f>
        <v>90</v>
      </c>
      <c r="F63" s="4" t="n">
        <f aca="false">Assumptions!$B$3*Assumptions!$B$5*'City Data'!E63</f>
        <v>162</v>
      </c>
      <c r="G63" s="4" t="n">
        <f aca="false">Assumptions!$B$3*Assumptions!$B$6*'City Data'!E63</f>
        <v>315</v>
      </c>
      <c r="H63" s="4" t="n">
        <f aca="false">Assumptions!$B$7*'City Data'!F63</f>
        <v>35</v>
      </c>
      <c r="I63" s="4" t="n">
        <f aca="false">Assumptions!$B$8*'City Data'!F63</f>
        <v>70</v>
      </c>
      <c r="J63" s="4" t="n">
        <f aca="false">Assumptions!$B$9*'City Data'!F63</f>
        <v>140</v>
      </c>
      <c r="K63" s="4" t="n">
        <f aca="false">'City Data'!G63+'City Data'!H63</f>
        <v>8.5</v>
      </c>
      <c r="L63" s="4" t="n">
        <f aca="false">IF(AND(Assumptions!$B$13,ISNUMBER('City Data'!I63)),Assumptions!$B$10*'City Data'!I63,0)</f>
        <v>7.5</v>
      </c>
      <c r="M63" s="4" t="n">
        <f aca="false">IF(AND(Assumptions!$B$13,ISNUMBER('City Data'!I63)),Assumptions!$B$11*'City Data'!I63,0)</f>
        <v>15</v>
      </c>
      <c r="N63" s="4" t="n">
        <f aca="false">IF(AND(Assumptions!$B$13,ISNUMBER('City Data'!I63)),Assumptions!$B$12*'City Data'!I63,0)</f>
        <v>22.5</v>
      </c>
      <c r="O63" s="4" t="n">
        <f aca="false">B63+E63+H63+K63</f>
        <v>183.5</v>
      </c>
      <c r="P63" s="4" t="n">
        <f aca="false">C63+F63+I63+K63</f>
        <v>330.5</v>
      </c>
      <c r="Q63" s="4" t="n">
        <f aca="false">D63+G63+J63+K63</f>
        <v>663.5</v>
      </c>
      <c r="R63" s="4" t="n">
        <f aca="false">IF(Assumptions!$B$14,Assumptions!$B$15*O63,0)</f>
        <v>18.35</v>
      </c>
      <c r="S63" s="4" t="n">
        <f aca="false">IF(Assumptions!$B$14,Assumptions!$B$16*P63,0)</f>
        <v>66.1</v>
      </c>
      <c r="T63" s="4" t="n">
        <f aca="false">IF(Assumptions!$B$14,Assumptions!$B$17*Q63,0)</f>
        <v>232.225</v>
      </c>
      <c r="U63" s="4" t="n">
        <f aca="false">O63+L63+R63</f>
        <v>209.35</v>
      </c>
      <c r="V63" s="4" t="n">
        <f aca="false">P63+M63+S63</f>
        <v>411.6</v>
      </c>
      <c r="W63" s="4" t="n">
        <f aca="false">Q63+N63+T63</f>
        <v>918.225</v>
      </c>
      <c r="X63" s="4" t="n">
        <f aca="false">'City Data'!K63</f>
        <v>100</v>
      </c>
      <c r="Y63" s="4" t="n">
        <f aca="false">'City Data'!L63</f>
        <v>240</v>
      </c>
      <c r="Z63" s="4" t="n">
        <f aca="false">'City Data'!M63</f>
        <v>650</v>
      </c>
      <c r="AA63" s="4" t="n">
        <f aca="false">U63-X63</f>
        <v>109.35</v>
      </c>
      <c r="AB63" s="4" t="n">
        <f aca="false">V63-Y63</f>
        <v>171.6</v>
      </c>
      <c r="AC63" s="4" t="n">
        <f aca="false">W63-Z63</f>
        <v>268.225</v>
      </c>
      <c r="AD63" s="4" t="str">
        <f aca="false">IF(OR(AND(X63&lt;&gt;0,ABS(AA63)&gt;Assumptions!$B$18*X63),AND(Y63&lt;&gt;0,ABS(AB63)&gt;Assumptions!$B$18*Y63),AND(Z63&lt;&gt;0,ABS(AC63)&gt;Assumptions!$B$18*Z63)),"REVIEW","")</f>
        <v>REVIEW</v>
      </c>
    </row>
    <row r="64" customFormat="false" ht="15" hidden="false" customHeight="false" outlineLevel="0" collapsed="false">
      <c r="A64" s="0" t="str">
        <f aca="false">'City Data'!A64</f>
        <v>Cotonou</v>
      </c>
      <c r="B64" s="4" t="n">
        <f aca="false">'City Data'!B64/Assumptions!$B$2</f>
        <v>12.5</v>
      </c>
      <c r="C64" s="4" t="n">
        <f aca="false">'City Data'!C64/Assumptions!$B$2</f>
        <v>37.5</v>
      </c>
      <c r="D64" s="4" t="n">
        <f aca="false">'City Data'!D64/Assumptions!$B$2</f>
        <v>150</v>
      </c>
      <c r="E64" s="4" t="n">
        <f aca="false">Assumptions!$B$3*Assumptions!$B$4*'City Data'!E64</f>
        <v>30</v>
      </c>
      <c r="F64" s="4" t="n">
        <f aca="false">Assumptions!$B$3*Assumptions!$B$5*'City Data'!E64</f>
        <v>54</v>
      </c>
      <c r="G64" s="4" t="n">
        <f aca="false">Assumptions!$B$3*Assumptions!$B$6*'City Data'!E64</f>
        <v>105</v>
      </c>
      <c r="H64" s="4" t="n">
        <f aca="false">Assumptions!$B$7*'City Data'!F64</f>
        <v>5</v>
      </c>
      <c r="I64" s="4" t="n">
        <f aca="false">Assumptions!$B$8*'City Data'!F64</f>
        <v>10</v>
      </c>
      <c r="J64" s="4" t="n">
        <f aca="false">Assumptions!$B$9*'City Data'!F64</f>
        <v>20</v>
      </c>
      <c r="K64" s="4" t="n">
        <f aca="false">'City Data'!G64+'City Data'!H64</f>
        <v>3.2</v>
      </c>
      <c r="L64" s="4" t="n">
        <f aca="false">IF(AND(Assumptions!$B$13,ISNUMBER('City Data'!I64)),Assumptions!$B$10*'City Data'!I64,0)</f>
        <v>2</v>
      </c>
      <c r="M64" s="4" t="n">
        <f aca="false">IF(AND(Assumptions!$B$13,ISNUMBER('City Data'!I64)),Assumptions!$B$11*'City Data'!I64,0)</f>
        <v>4</v>
      </c>
      <c r="N64" s="4" t="n">
        <f aca="false">IF(AND(Assumptions!$B$13,ISNUMBER('City Data'!I64)),Assumptions!$B$12*'City Data'!I64,0)</f>
        <v>6</v>
      </c>
      <c r="O64" s="4" t="n">
        <f aca="false">B64+E64+H64+K64</f>
        <v>50.7</v>
      </c>
      <c r="P64" s="4" t="n">
        <f aca="false">C64+F64+I64+K64</f>
        <v>104.7</v>
      </c>
      <c r="Q64" s="4" t="n">
        <f aca="false">D64+G64+J64+K64</f>
        <v>278.2</v>
      </c>
      <c r="R64" s="4" t="n">
        <f aca="false">IF(Assumptions!$B$14,Assumptions!$B$15*O64,0)</f>
        <v>5.07</v>
      </c>
      <c r="S64" s="4" t="n">
        <f aca="false">IF(Assumptions!$B$14,Assumptions!$B$16*P64,0)</f>
        <v>20.94</v>
      </c>
      <c r="T64" s="4" t="n">
        <f aca="false">IF(Assumptions!$B$14,Assumptions!$B$17*Q64,0)</f>
        <v>97.37</v>
      </c>
      <c r="U64" s="4" t="n">
        <f aca="false">O64+L64+R64</f>
        <v>57.77</v>
      </c>
      <c r="V64" s="4" t="n">
        <f aca="false">P64+M64+S64</f>
        <v>129.64</v>
      </c>
      <c r="W64" s="4" t="n">
        <f aca="false">Q64+N64+T64</f>
        <v>381.57</v>
      </c>
      <c r="X64" s="4" t="n">
        <f aca="false">'City Data'!K64</f>
        <v>40</v>
      </c>
      <c r="Y64" s="4" t="n">
        <f aca="false">'City Data'!L64</f>
        <v>105</v>
      </c>
      <c r="Z64" s="4" t="n">
        <f aca="false">'City Data'!M64</f>
        <v>335</v>
      </c>
      <c r="AA64" s="4" t="n">
        <f aca="false">U64-X64</f>
        <v>17.77</v>
      </c>
      <c r="AB64" s="4" t="n">
        <f aca="false">V64-Y64</f>
        <v>24.64</v>
      </c>
      <c r="AC64" s="4" t="n">
        <f aca="false">W64-Z64</f>
        <v>46.57</v>
      </c>
      <c r="AD64" s="4" t="str">
        <f aca="false">IF(OR(AND(X64&lt;&gt;0,ABS(AA64)&gt;Assumptions!$B$18*X64),AND(Y64&lt;&gt;0,ABS(AB64)&gt;Assumptions!$B$18*Y64),AND(Z64&lt;&gt;0,ABS(AC64)&gt;Assumptions!$B$18*Z64)),"REVIEW","")</f>
        <v>REVIEW</v>
      </c>
    </row>
    <row r="65" customFormat="false" ht="15" hidden="false" customHeight="false" outlineLevel="0" collapsed="false">
      <c r="A65" s="0" t="str">
        <f aca="false">'City Data'!A65</f>
        <v>Dakar</v>
      </c>
      <c r="B65" s="4" t="n">
        <f aca="false">'City Data'!B65/Assumptions!$B$2</f>
        <v>15</v>
      </c>
      <c r="C65" s="4" t="n">
        <f aca="false">'City Data'!C65/Assumptions!$B$2</f>
        <v>45</v>
      </c>
      <c r="D65" s="4" t="n">
        <f aca="false">'City Data'!D65/Assumptions!$B$2</f>
        <v>110</v>
      </c>
      <c r="E65" s="4" t="n">
        <f aca="false">Assumptions!$B$3*Assumptions!$B$4*'City Data'!E65</f>
        <v>36</v>
      </c>
      <c r="F65" s="4" t="n">
        <f aca="false">Assumptions!$B$3*Assumptions!$B$5*'City Data'!E65</f>
        <v>64.8</v>
      </c>
      <c r="G65" s="4" t="n">
        <f aca="false">Assumptions!$B$3*Assumptions!$B$6*'City Data'!E65</f>
        <v>126</v>
      </c>
      <c r="H65" s="4" t="n">
        <f aca="false">Assumptions!$B$7*'City Data'!F65</f>
        <v>6</v>
      </c>
      <c r="I65" s="4" t="n">
        <f aca="false">Assumptions!$B$8*'City Data'!F65</f>
        <v>12</v>
      </c>
      <c r="J65" s="4" t="n">
        <f aca="false">Assumptions!$B$9*'City Data'!F65</f>
        <v>24</v>
      </c>
      <c r="K65" s="4" t="n">
        <f aca="false">'City Data'!G65+'City Data'!H65</f>
        <v>3.3</v>
      </c>
      <c r="L65" s="4" t="n">
        <f aca="false">IF(AND(Assumptions!$B$13,ISNUMBER('City Data'!I65)),Assumptions!$B$10*'City Data'!I65,0)</f>
        <v>3</v>
      </c>
      <c r="M65" s="4" t="n">
        <f aca="false">IF(AND(Assumptions!$B$13,ISNUMBER('City Data'!I65)),Assumptions!$B$11*'City Data'!I65,0)</f>
        <v>6</v>
      </c>
      <c r="N65" s="4" t="n">
        <f aca="false">IF(AND(Assumptions!$B$13,ISNUMBER('City Data'!I65)),Assumptions!$B$12*'City Data'!I65,0)</f>
        <v>9</v>
      </c>
      <c r="O65" s="4" t="n">
        <f aca="false">B65+E65+H65+K65</f>
        <v>60.3</v>
      </c>
      <c r="P65" s="4" t="n">
        <f aca="false">C65+F65+I65+K65</f>
        <v>125.1</v>
      </c>
      <c r="Q65" s="4" t="n">
        <f aca="false">D65+G65+J65+K65</f>
        <v>263.3</v>
      </c>
      <c r="R65" s="4" t="n">
        <f aca="false">IF(Assumptions!$B$14,Assumptions!$B$15*O65,0)</f>
        <v>6.03</v>
      </c>
      <c r="S65" s="4" t="n">
        <f aca="false">IF(Assumptions!$B$14,Assumptions!$B$16*P65,0)</f>
        <v>25.02</v>
      </c>
      <c r="T65" s="4" t="n">
        <f aca="false">IF(Assumptions!$B$14,Assumptions!$B$17*Q65,0)</f>
        <v>92.155</v>
      </c>
      <c r="U65" s="4" t="n">
        <f aca="false">O65+L65+R65</f>
        <v>69.33</v>
      </c>
      <c r="V65" s="4" t="n">
        <f aca="false">P65+M65+S65</f>
        <v>156.12</v>
      </c>
      <c r="W65" s="4" t="n">
        <f aca="false">Q65+N65+T65</f>
        <v>364.455</v>
      </c>
      <c r="X65" s="4" t="n">
        <f aca="false">'City Data'!K65</f>
        <v>45</v>
      </c>
      <c r="Y65" s="4" t="n">
        <f aca="false">'City Data'!L65</f>
        <v>110</v>
      </c>
      <c r="Z65" s="4" t="n">
        <f aca="false">'City Data'!M65</f>
        <v>320</v>
      </c>
      <c r="AA65" s="4" t="n">
        <f aca="false">U65-X65</f>
        <v>24.33</v>
      </c>
      <c r="AB65" s="4" t="n">
        <f aca="false">V65-Y65</f>
        <v>46.12</v>
      </c>
      <c r="AC65" s="4" t="n">
        <f aca="false">W65-Z65</f>
        <v>44.455</v>
      </c>
      <c r="AD65" s="4" t="str">
        <f aca="false">IF(OR(AND(X65&lt;&gt;0,ABS(AA65)&gt;Assumptions!$B$18*X65),AND(Y65&lt;&gt;0,ABS(AB65)&gt;Assumptions!$B$18*Y65),AND(Z65&lt;&gt;0,ABS(AC65)&gt;Assumptions!$B$18*Z65)),"REVIEW","")</f>
        <v>REVIEW</v>
      </c>
    </row>
    <row r="66" customFormat="false" ht="15" hidden="false" customHeight="false" outlineLevel="0" collapsed="false">
      <c r="A66" s="0" t="str">
        <f aca="false">'City Data'!A66</f>
        <v>Dalian</v>
      </c>
      <c r="B66" s="4" t="n">
        <f aca="false">'City Data'!B66/Assumptions!$B$2</f>
        <v>11</v>
      </c>
      <c r="C66" s="4" t="n">
        <f aca="false">'City Data'!C66/Assumptions!$B$2</f>
        <v>30</v>
      </c>
      <c r="D66" s="4" t="n">
        <f aca="false">'City Data'!D66/Assumptions!$B$2</f>
        <v>65</v>
      </c>
      <c r="E66" s="4" t="n">
        <f aca="false">Assumptions!$B$3*Assumptions!$B$4*'City Data'!E66</f>
        <v>24</v>
      </c>
      <c r="F66" s="4" t="n">
        <f aca="false">Assumptions!$B$3*Assumptions!$B$5*'City Data'!E66</f>
        <v>43.2</v>
      </c>
      <c r="G66" s="4" t="n">
        <f aca="false">Assumptions!$B$3*Assumptions!$B$6*'City Data'!E66</f>
        <v>84</v>
      </c>
      <c r="H66" s="4" t="n">
        <f aca="false">Assumptions!$B$7*'City Data'!F66</f>
        <v>4</v>
      </c>
      <c r="I66" s="4" t="n">
        <f aca="false">Assumptions!$B$8*'City Data'!F66</f>
        <v>8</v>
      </c>
      <c r="J66" s="4" t="n">
        <f aca="false">Assumptions!$B$9*'City Data'!F66</f>
        <v>16</v>
      </c>
      <c r="K66" s="4" t="n">
        <f aca="false">'City Data'!G66+'City Data'!H66</f>
        <v>4</v>
      </c>
      <c r="L66" s="4" t="n">
        <f aca="false">IF(AND(Assumptions!$B$13,ISNUMBER('City Data'!I66)),Assumptions!$B$10*'City Data'!I66,0)</f>
        <v>1.5</v>
      </c>
      <c r="M66" s="4" t="n">
        <f aca="false">IF(AND(Assumptions!$B$13,ISNUMBER('City Data'!I66)),Assumptions!$B$11*'City Data'!I66,0)</f>
        <v>3</v>
      </c>
      <c r="N66" s="4" t="n">
        <f aca="false">IF(AND(Assumptions!$B$13,ISNUMBER('City Data'!I66)),Assumptions!$B$12*'City Data'!I66,0)</f>
        <v>4.5</v>
      </c>
      <c r="O66" s="4" t="n">
        <f aca="false">B66+E66+H66+K66</f>
        <v>43</v>
      </c>
      <c r="P66" s="4" t="n">
        <f aca="false">C66+F66+I66+K66</f>
        <v>85.2</v>
      </c>
      <c r="Q66" s="4" t="n">
        <f aca="false">D66+G66+J66+K66</f>
        <v>169</v>
      </c>
      <c r="R66" s="4" t="n">
        <f aca="false">IF(Assumptions!$B$14,Assumptions!$B$15*O66,0)</f>
        <v>4.3</v>
      </c>
      <c r="S66" s="4" t="n">
        <f aca="false">IF(Assumptions!$B$14,Assumptions!$B$16*P66,0)</f>
        <v>17.04</v>
      </c>
      <c r="T66" s="4" t="n">
        <f aca="false">IF(Assumptions!$B$14,Assumptions!$B$17*Q66,0)</f>
        <v>59.15</v>
      </c>
      <c r="U66" s="4" t="n">
        <f aca="false">O66+L66+R66</f>
        <v>48.8</v>
      </c>
      <c r="V66" s="4" t="n">
        <f aca="false">P66+M66+S66</f>
        <v>105.24</v>
      </c>
      <c r="W66" s="4" t="n">
        <f aca="false">Q66+N66+T66</f>
        <v>232.65</v>
      </c>
      <c r="X66" s="4" t="n">
        <f aca="false">'City Data'!K66</f>
        <v>40</v>
      </c>
      <c r="Y66" s="4" t="n">
        <f aca="false">'City Data'!L66</f>
        <v>90</v>
      </c>
      <c r="Z66" s="4" t="n">
        <f aca="false">'City Data'!M66</f>
        <v>260</v>
      </c>
      <c r="AA66" s="4" t="n">
        <f aca="false">U66-X66</f>
        <v>8.8</v>
      </c>
      <c r="AB66" s="4" t="n">
        <f aca="false">V66-Y66</f>
        <v>15.24</v>
      </c>
      <c r="AC66" s="4" t="n">
        <f aca="false">W66-Z66</f>
        <v>-27.35</v>
      </c>
      <c r="AD66" s="4" t="str">
        <f aca="false">IF(OR(AND(X66&lt;&gt;0,ABS(AA66)&gt;Assumptions!$B$18*X66),AND(Y66&lt;&gt;0,ABS(AB66)&gt;Assumptions!$B$18*Y66),AND(Z66&lt;&gt;0,ABS(AC66)&gt;Assumptions!$B$18*Z66)),"REVIEW","")</f>
        <v/>
      </c>
    </row>
    <row r="67" customFormat="false" ht="15" hidden="false" customHeight="false" outlineLevel="0" collapsed="false">
      <c r="A67" s="0" t="str">
        <f aca="false">'City Data'!A67</f>
        <v>Damascus</v>
      </c>
      <c r="B67" s="4" t="n">
        <f aca="false">'City Data'!B67/Assumptions!$B$2</f>
        <v>12.5</v>
      </c>
      <c r="C67" s="4" t="n">
        <f aca="false">'City Data'!C67/Assumptions!$B$2</f>
        <v>37.5</v>
      </c>
      <c r="D67" s="4" t="n">
        <f aca="false">'City Data'!D67/Assumptions!$B$2</f>
        <v>110</v>
      </c>
      <c r="E67" s="4" t="n">
        <f aca="false">Assumptions!$B$3*Assumptions!$B$4*'City Data'!E67</f>
        <v>30</v>
      </c>
      <c r="F67" s="4" t="n">
        <f aca="false">Assumptions!$B$3*Assumptions!$B$5*'City Data'!E67</f>
        <v>54</v>
      </c>
      <c r="G67" s="4" t="n">
        <f aca="false">Assumptions!$B$3*Assumptions!$B$6*'City Data'!E67</f>
        <v>105</v>
      </c>
      <c r="H67" s="4" t="n">
        <f aca="false">Assumptions!$B$7*'City Data'!F67</f>
        <v>4</v>
      </c>
      <c r="I67" s="4" t="n">
        <f aca="false">Assumptions!$B$8*'City Data'!F67</f>
        <v>8</v>
      </c>
      <c r="J67" s="4" t="n">
        <f aca="false">Assumptions!$B$9*'City Data'!F67</f>
        <v>16</v>
      </c>
      <c r="K67" s="4" t="n">
        <f aca="false">'City Data'!G67+'City Data'!H67</f>
        <v>2.5</v>
      </c>
      <c r="L67" s="4" t="n">
        <f aca="false">IF(AND(Assumptions!$B$13,ISNUMBER('City Data'!I67)),Assumptions!$B$10*'City Data'!I67,0)</f>
        <v>4</v>
      </c>
      <c r="M67" s="4" t="n">
        <f aca="false">IF(AND(Assumptions!$B$13,ISNUMBER('City Data'!I67)),Assumptions!$B$11*'City Data'!I67,0)</f>
        <v>8</v>
      </c>
      <c r="N67" s="4" t="n">
        <f aca="false">IF(AND(Assumptions!$B$13,ISNUMBER('City Data'!I67)),Assumptions!$B$12*'City Data'!I67,0)</f>
        <v>12</v>
      </c>
      <c r="O67" s="4" t="n">
        <f aca="false">B67+E67+H67+K67</f>
        <v>49</v>
      </c>
      <c r="P67" s="4" t="n">
        <f aca="false">C67+F67+I67+K67</f>
        <v>102</v>
      </c>
      <c r="Q67" s="4" t="n">
        <f aca="false">D67+G67+J67+K67</f>
        <v>233.5</v>
      </c>
      <c r="R67" s="4" t="n">
        <f aca="false">IF(Assumptions!$B$14,Assumptions!$B$15*O67,0)</f>
        <v>4.9</v>
      </c>
      <c r="S67" s="4" t="n">
        <f aca="false">IF(Assumptions!$B$14,Assumptions!$B$16*P67,0)</f>
        <v>20.4</v>
      </c>
      <c r="T67" s="4" t="n">
        <f aca="false">IF(Assumptions!$B$14,Assumptions!$B$17*Q67,0)</f>
        <v>81.725</v>
      </c>
      <c r="U67" s="4" t="n">
        <f aca="false">O67+L67+R67</f>
        <v>57.9</v>
      </c>
      <c r="V67" s="4" t="n">
        <f aca="false">P67+M67+S67</f>
        <v>130.4</v>
      </c>
      <c r="W67" s="4" t="n">
        <f aca="false">Q67+N67+T67</f>
        <v>327.225</v>
      </c>
      <c r="X67" s="4" t="n">
        <f aca="false">'City Data'!K67</f>
        <v>40</v>
      </c>
      <c r="Y67" s="4" t="n">
        <f aca="false">'City Data'!L67</f>
        <v>100</v>
      </c>
      <c r="Z67" s="4" t="n">
        <f aca="false">'City Data'!M67</f>
        <v>300</v>
      </c>
      <c r="AA67" s="4" t="n">
        <f aca="false">U67-X67</f>
        <v>17.9</v>
      </c>
      <c r="AB67" s="4" t="n">
        <f aca="false">V67-Y67</f>
        <v>30.4</v>
      </c>
      <c r="AC67" s="4" t="n">
        <f aca="false">W67-Z67</f>
        <v>27.225</v>
      </c>
      <c r="AD67" s="4" t="str">
        <f aca="false">IF(OR(AND(X67&lt;&gt;0,ABS(AA67)&gt;Assumptions!$B$18*X67),AND(Y67&lt;&gt;0,ABS(AB67)&gt;Assumptions!$B$18*Y67),AND(Z67&lt;&gt;0,ABS(AC67)&gt;Assumptions!$B$18*Z67)),"REVIEW","")</f>
        <v>REVIEW</v>
      </c>
    </row>
    <row r="68" customFormat="false" ht="15" hidden="false" customHeight="false" outlineLevel="0" collapsed="false">
      <c r="A68" s="0" t="str">
        <f aca="false">'City Data'!A68</f>
        <v>Delhi</v>
      </c>
      <c r="B68" s="4" t="n">
        <f aca="false">'City Data'!B68/Assumptions!$B$2</f>
        <v>12.5</v>
      </c>
      <c r="C68" s="4" t="n">
        <f aca="false">'City Data'!C68/Assumptions!$B$2</f>
        <v>35</v>
      </c>
      <c r="D68" s="4" t="n">
        <f aca="false">'City Data'!D68/Assumptions!$B$2</f>
        <v>125</v>
      </c>
      <c r="E68" s="4" t="n">
        <f aca="false">Assumptions!$B$3*Assumptions!$B$4*'City Data'!E68</f>
        <v>36</v>
      </c>
      <c r="F68" s="4" t="n">
        <f aca="false">Assumptions!$B$3*Assumptions!$B$5*'City Data'!E68</f>
        <v>64.8</v>
      </c>
      <c r="G68" s="4" t="n">
        <f aca="false">Assumptions!$B$3*Assumptions!$B$6*'City Data'!E68</f>
        <v>126</v>
      </c>
      <c r="H68" s="4" t="n">
        <f aca="false">Assumptions!$B$7*'City Data'!F68</f>
        <v>8</v>
      </c>
      <c r="I68" s="4" t="n">
        <f aca="false">Assumptions!$B$8*'City Data'!F68</f>
        <v>16</v>
      </c>
      <c r="J68" s="4" t="n">
        <f aca="false">Assumptions!$B$9*'City Data'!F68</f>
        <v>32</v>
      </c>
      <c r="K68" s="4" t="n">
        <f aca="false">'City Data'!G68+'City Data'!H68</f>
        <v>2.8</v>
      </c>
      <c r="L68" s="4" t="n">
        <f aca="false">IF(AND(Assumptions!$B$13,ISNUMBER('City Data'!I68)),Assumptions!$B$10*'City Data'!I68,0)</f>
        <v>3.5</v>
      </c>
      <c r="M68" s="4" t="n">
        <f aca="false">IF(AND(Assumptions!$B$13,ISNUMBER('City Data'!I68)),Assumptions!$B$11*'City Data'!I68,0)</f>
        <v>7</v>
      </c>
      <c r="N68" s="4" t="n">
        <f aca="false">IF(AND(Assumptions!$B$13,ISNUMBER('City Data'!I68)),Assumptions!$B$12*'City Data'!I68,0)</f>
        <v>10.5</v>
      </c>
      <c r="O68" s="4" t="n">
        <f aca="false">B68+E68+H68+K68</f>
        <v>59.3</v>
      </c>
      <c r="P68" s="4" t="n">
        <f aca="false">C68+F68+I68+K68</f>
        <v>118.6</v>
      </c>
      <c r="Q68" s="4" t="n">
        <f aca="false">D68+G68+J68+K68</f>
        <v>285.8</v>
      </c>
      <c r="R68" s="4" t="n">
        <f aca="false">IF(Assumptions!$B$14,Assumptions!$B$15*O68,0)</f>
        <v>5.93</v>
      </c>
      <c r="S68" s="4" t="n">
        <f aca="false">IF(Assumptions!$B$14,Assumptions!$B$16*P68,0)</f>
        <v>23.72</v>
      </c>
      <c r="T68" s="4" t="n">
        <f aca="false">IF(Assumptions!$B$14,Assumptions!$B$17*Q68,0)</f>
        <v>100.03</v>
      </c>
      <c r="U68" s="4" t="n">
        <f aca="false">O68+L68+R68</f>
        <v>68.73</v>
      </c>
      <c r="V68" s="4" t="n">
        <f aca="false">P68+M68+S68</f>
        <v>149.32</v>
      </c>
      <c r="W68" s="4" t="n">
        <f aca="false">Q68+N68+T68</f>
        <v>396.33</v>
      </c>
      <c r="X68" s="4" t="n">
        <f aca="false">'City Data'!K68</f>
        <v>30</v>
      </c>
      <c r="Y68" s="4" t="n">
        <f aca="false">'City Data'!L68</f>
        <v>75</v>
      </c>
      <c r="Z68" s="4" t="n">
        <f aca="false">'City Data'!M68</f>
        <v>250</v>
      </c>
      <c r="AA68" s="4" t="n">
        <f aca="false">U68-X68</f>
        <v>38.73</v>
      </c>
      <c r="AB68" s="4" t="n">
        <f aca="false">V68-Y68</f>
        <v>74.32</v>
      </c>
      <c r="AC68" s="4" t="n">
        <f aca="false">W68-Z68</f>
        <v>146.33</v>
      </c>
      <c r="AD68" s="4" t="str">
        <f aca="false">IF(OR(AND(X68&lt;&gt;0,ABS(AA68)&gt;Assumptions!$B$18*X68),AND(Y68&lt;&gt;0,ABS(AB68)&gt;Assumptions!$B$18*Y68),AND(Z68&lt;&gt;0,ABS(AC68)&gt;Assumptions!$B$18*Z68)),"REVIEW","")</f>
        <v>REVIEW</v>
      </c>
    </row>
    <row r="69" customFormat="false" ht="15" hidden="false" customHeight="false" outlineLevel="0" collapsed="false">
      <c r="A69" s="0" t="str">
        <f aca="false">'City Data'!A69</f>
        <v>Denpasar</v>
      </c>
      <c r="B69" s="4" t="n">
        <f aca="false">'City Data'!B69/Assumptions!$B$2</f>
        <v>12.5</v>
      </c>
      <c r="C69" s="4" t="n">
        <f aca="false">'City Data'!C69/Assumptions!$B$2</f>
        <v>30</v>
      </c>
      <c r="D69" s="4" t="n">
        <f aca="false">'City Data'!D69/Assumptions!$B$2</f>
        <v>90</v>
      </c>
      <c r="E69" s="4" t="n">
        <f aca="false">Assumptions!$B$3*Assumptions!$B$4*'City Data'!E69</f>
        <v>36</v>
      </c>
      <c r="F69" s="4" t="n">
        <f aca="false">Assumptions!$B$3*Assumptions!$B$5*'City Data'!E69</f>
        <v>64.8</v>
      </c>
      <c r="G69" s="4" t="n">
        <f aca="false">Assumptions!$B$3*Assumptions!$B$6*'City Data'!E69</f>
        <v>126</v>
      </c>
      <c r="H69" s="4" t="n">
        <f aca="false">Assumptions!$B$7*'City Data'!F69</f>
        <v>12</v>
      </c>
      <c r="I69" s="4" t="n">
        <f aca="false">Assumptions!$B$8*'City Data'!F69</f>
        <v>24</v>
      </c>
      <c r="J69" s="4" t="n">
        <f aca="false">Assumptions!$B$9*'City Data'!F69</f>
        <v>48</v>
      </c>
      <c r="K69" s="4" t="n">
        <f aca="false">'City Data'!G69+'City Data'!H69</f>
        <v>2.5</v>
      </c>
      <c r="L69" s="4" t="n">
        <f aca="false">IF(AND(Assumptions!$B$13,ISNUMBER('City Data'!I69)),Assumptions!$B$10*'City Data'!I69,0)</f>
        <v>2.5</v>
      </c>
      <c r="M69" s="4" t="n">
        <f aca="false">IF(AND(Assumptions!$B$13,ISNUMBER('City Data'!I69)),Assumptions!$B$11*'City Data'!I69,0)</f>
        <v>5</v>
      </c>
      <c r="N69" s="4" t="n">
        <f aca="false">IF(AND(Assumptions!$B$13,ISNUMBER('City Data'!I69)),Assumptions!$B$12*'City Data'!I69,0)</f>
        <v>7.5</v>
      </c>
      <c r="O69" s="4" t="n">
        <f aca="false">B69+E69+H69+K69</f>
        <v>63</v>
      </c>
      <c r="P69" s="4" t="n">
        <f aca="false">C69+F69+I69+K69</f>
        <v>121.3</v>
      </c>
      <c r="Q69" s="4" t="n">
        <f aca="false">D69+G69+J69+K69</f>
        <v>266.5</v>
      </c>
      <c r="R69" s="4" t="n">
        <f aca="false">IF(Assumptions!$B$14,Assumptions!$B$15*O69,0)</f>
        <v>6.3</v>
      </c>
      <c r="S69" s="4" t="n">
        <f aca="false">IF(Assumptions!$B$14,Assumptions!$B$16*P69,0)</f>
        <v>24.26</v>
      </c>
      <c r="T69" s="4" t="n">
        <f aca="false">IF(Assumptions!$B$14,Assumptions!$B$17*Q69,0)</f>
        <v>93.275</v>
      </c>
      <c r="U69" s="4" t="n">
        <f aca="false">O69+L69+R69</f>
        <v>71.8</v>
      </c>
      <c r="V69" s="4" t="n">
        <f aca="false">P69+M69+S69</f>
        <v>150.56</v>
      </c>
      <c r="W69" s="4" t="n">
        <f aca="false">Q69+N69+T69</f>
        <v>367.275</v>
      </c>
      <c r="X69" s="4" t="n">
        <f aca="false">'City Data'!K69</f>
        <v>35</v>
      </c>
      <c r="Y69" s="4" t="n">
        <f aca="false">'City Data'!L69</f>
        <v>85</v>
      </c>
      <c r="Z69" s="4" t="n">
        <f aca="false">'City Data'!M69</f>
        <v>280</v>
      </c>
      <c r="AA69" s="4" t="n">
        <f aca="false">U69-X69</f>
        <v>36.8</v>
      </c>
      <c r="AB69" s="4" t="n">
        <f aca="false">V69-Y69</f>
        <v>65.56</v>
      </c>
      <c r="AC69" s="4" t="n">
        <f aca="false">W69-Z69</f>
        <v>87.275</v>
      </c>
      <c r="AD69" s="4" t="str">
        <f aca="false">IF(OR(AND(X69&lt;&gt;0,ABS(AA69)&gt;Assumptions!$B$18*X69),AND(Y69&lt;&gt;0,ABS(AB69)&gt;Assumptions!$B$18*Y69),AND(Z69&lt;&gt;0,ABS(AC69)&gt;Assumptions!$B$18*Z69)),"REVIEW","")</f>
        <v>REVIEW</v>
      </c>
    </row>
    <row r="70" customFormat="false" ht="15" hidden="false" customHeight="false" outlineLevel="0" collapsed="false">
      <c r="A70" s="0" t="str">
        <f aca="false">'City Data'!A70</f>
        <v>Dhaka</v>
      </c>
      <c r="B70" s="4" t="n">
        <f aca="false">'City Data'!B70/Assumptions!$B$2</f>
        <v>10</v>
      </c>
      <c r="C70" s="4" t="n">
        <f aca="false">'City Data'!C70/Assumptions!$B$2</f>
        <v>35</v>
      </c>
      <c r="D70" s="4" t="n">
        <f aca="false">'City Data'!D70/Assumptions!$B$2</f>
        <v>90</v>
      </c>
      <c r="E70" s="4" t="n">
        <f aca="false">Assumptions!$B$3*Assumptions!$B$4*'City Data'!E70</f>
        <v>18</v>
      </c>
      <c r="F70" s="4" t="n">
        <f aca="false">Assumptions!$B$3*Assumptions!$B$5*'City Data'!E70</f>
        <v>32.4</v>
      </c>
      <c r="G70" s="4" t="n">
        <f aca="false">Assumptions!$B$3*Assumptions!$B$6*'City Data'!E70</f>
        <v>63</v>
      </c>
      <c r="H70" s="4" t="n">
        <f aca="false">Assumptions!$B$7*'City Data'!F70</f>
        <v>4</v>
      </c>
      <c r="I70" s="4" t="n">
        <f aca="false">Assumptions!$B$8*'City Data'!F70</f>
        <v>8</v>
      </c>
      <c r="J70" s="4" t="n">
        <f aca="false">Assumptions!$B$9*'City Data'!F70</f>
        <v>16</v>
      </c>
      <c r="K70" s="4" t="n">
        <f aca="false">'City Data'!G70+'City Data'!H70</f>
        <v>2.8</v>
      </c>
      <c r="L70" s="4" t="n">
        <f aca="false">IF(AND(Assumptions!$B$13,ISNUMBER('City Data'!I70)),Assumptions!$B$10*'City Data'!I70,0)</f>
        <v>0</v>
      </c>
      <c r="M70" s="4" t="n">
        <f aca="false">IF(AND(Assumptions!$B$13,ISNUMBER('City Data'!I70)),Assumptions!$B$11*'City Data'!I70,0)</f>
        <v>0</v>
      </c>
      <c r="N70" s="4" t="n">
        <f aca="false">IF(AND(Assumptions!$B$13,ISNUMBER('City Data'!I70)),Assumptions!$B$12*'City Data'!I70,0)</f>
        <v>0</v>
      </c>
      <c r="O70" s="4" t="n">
        <f aca="false">B70+E70+H70+K70</f>
        <v>34.8</v>
      </c>
      <c r="P70" s="4" t="n">
        <f aca="false">C70+F70+I70+K70</f>
        <v>78.2</v>
      </c>
      <c r="Q70" s="4" t="n">
        <f aca="false">D70+G70+J70+K70</f>
        <v>171.8</v>
      </c>
      <c r="R70" s="4" t="n">
        <f aca="false">IF(Assumptions!$B$14,Assumptions!$B$15*O70,0)</f>
        <v>3.48</v>
      </c>
      <c r="S70" s="4" t="n">
        <f aca="false">IF(Assumptions!$B$14,Assumptions!$B$16*P70,0)</f>
        <v>15.64</v>
      </c>
      <c r="T70" s="4" t="n">
        <f aca="false">IF(Assumptions!$B$14,Assumptions!$B$17*Q70,0)</f>
        <v>60.13</v>
      </c>
      <c r="U70" s="4" t="n">
        <f aca="false">O70+L70+R70</f>
        <v>38.28</v>
      </c>
      <c r="V70" s="4" t="n">
        <f aca="false">P70+M70+S70</f>
        <v>93.84</v>
      </c>
      <c r="W70" s="4" t="n">
        <f aca="false">Q70+N70+T70</f>
        <v>231.93</v>
      </c>
      <c r="X70" s="4" t="n">
        <f aca="false">'City Data'!K70</f>
        <v>30</v>
      </c>
      <c r="Y70" s="4" t="n">
        <f aca="false">'City Data'!L70</f>
        <v>80</v>
      </c>
      <c r="Z70" s="4" t="n">
        <f aca="false">'City Data'!M70</f>
        <v>240</v>
      </c>
      <c r="AA70" s="4" t="n">
        <f aca="false">U70-X70</f>
        <v>8.27999999999999</v>
      </c>
      <c r="AB70" s="4" t="n">
        <f aca="false">V70-Y70</f>
        <v>13.84</v>
      </c>
      <c r="AC70" s="4" t="n">
        <f aca="false">W70-Z70</f>
        <v>-8.06999999999999</v>
      </c>
      <c r="AD70" s="4" t="str">
        <f aca="false">IF(OR(AND(X70&lt;&gt;0,ABS(AA70)&gt;Assumptions!$B$18*X70),AND(Y70&lt;&gt;0,ABS(AB70)&gt;Assumptions!$B$18*Y70),AND(Z70&lt;&gt;0,ABS(AC70)&gt;Assumptions!$B$18*Z70)),"REVIEW","")</f>
        <v>REVIEW</v>
      </c>
    </row>
    <row r="71" customFormat="false" ht="15" hidden="false" customHeight="false" outlineLevel="0" collapsed="false">
      <c r="A71" s="0" t="str">
        <f aca="false">'City Data'!A71</f>
        <v>Dili</v>
      </c>
      <c r="B71" s="4" t="n">
        <f aca="false">'City Data'!B71/Assumptions!$B$2</f>
        <v>10</v>
      </c>
      <c r="C71" s="4" t="n">
        <f aca="false">'City Data'!C71/Assumptions!$B$2</f>
        <v>35</v>
      </c>
      <c r="D71" s="4" t="n">
        <f aca="false">'City Data'!D71/Assumptions!$B$2</f>
        <v>75</v>
      </c>
      <c r="E71" s="4" t="n">
        <f aca="false">Assumptions!$B$3*Assumptions!$B$4*'City Data'!E71</f>
        <v>30</v>
      </c>
      <c r="F71" s="4" t="n">
        <f aca="false">Assumptions!$B$3*Assumptions!$B$5*'City Data'!E71</f>
        <v>54</v>
      </c>
      <c r="G71" s="4" t="n">
        <f aca="false">Assumptions!$B$3*Assumptions!$B$6*'City Data'!E71</f>
        <v>105</v>
      </c>
      <c r="H71" s="4" t="n">
        <f aca="false">Assumptions!$B$7*'City Data'!F71</f>
        <v>4</v>
      </c>
      <c r="I71" s="4" t="n">
        <f aca="false">Assumptions!$B$8*'City Data'!F71</f>
        <v>8</v>
      </c>
      <c r="J71" s="4" t="n">
        <f aca="false">Assumptions!$B$9*'City Data'!F71</f>
        <v>16</v>
      </c>
      <c r="K71" s="4" t="n">
        <f aca="false">'City Data'!G71+'City Data'!H71</f>
        <v>3</v>
      </c>
      <c r="L71" s="4" t="n">
        <f aca="false">IF(AND(Assumptions!$B$13,ISNUMBER('City Data'!I71)),Assumptions!$B$10*'City Data'!I71,0)</f>
        <v>3.5</v>
      </c>
      <c r="M71" s="4" t="n">
        <f aca="false">IF(AND(Assumptions!$B$13,ISNUMBER('City Data'!I71)),Assumptions!$B$11*'City Data'!I71,0)</f>
        <v>7</v>
      </c>
      <c r="N71" s="4" t="n">
        <f aca="false">IF(AND(Assumptions!$B$13,ISNUMBER('City Data'!I71)),Assumptions!$B$12*'City Data'!I71,0)</f>
        <v>10.5</v>
      </c>
      <c r="O71" s="4" t="n">
        <f aca="false">B71+E71+H71+K71</f>
        <v>47</v>
      </c>
      <c r="P71" s="4" t="n">
        <f aca="false">C71+F71+I71+K71</f>
        <v>100</v>
      </c>
      <c r="Q71" s="4" t="n">
        <f aca="false">D71+G71+J71+K71</f>
        <v>199</v>
      </c>
      <c r="R71" s="4" t="n">
        <f aca="false">IF(Assumptions!$B$14,Assumptions!$B$15*O71,0)</f>
        <v>4.7</v>
      </c>
      <c r="S71" s="4" t="n">
        <f aca="false">IF(Assumptions!$B$14,Assumptions!$B$16*P71,0)</f>
        <v>20</v>
      </c>
      <c r="T71" s="4" t="n">
        <f aca="false">IF(Assumptions!$B$14,Assumptions!$B$17*Q71,0)</f>
        <v>69.65</v>
      </c>
      <c r="U71" s="4" t="n">
        <f aca="false">O71+L71+R71</f>
        <v>55.2</v>
      </c>
      <c r="V71" s="4" t="n">
        <f aca="false">P71+M71+S71</f>
        <v>127</v>
      </c>
      <c r="W71" s="4" t="n">
        <f aca="false">Q71+N71+T71</f>
        <v>279.15</v>
      </c>
      <c r="X71" s="4" t="n">
        <f aca="false">'City Data'!K71</f>
        <v>35</v>
      </c>
      <c r="Y71" s="4" t="n">
        <f aca="false">'City Data'!L71</f>
        <v>85</v>
      </c>
      <c r="Z71" s="4" t="n">
        <f aca="false">'City Data'!M71</f>
        <v>260</v>
      </c>
      <c r="AA71" s="4" t="n">
        <f aca="false">U71-X71</f>
        <v>20.2</v>
      </c>
      <c r="AB71" s="4" t="n">
        <f aca="false">V71-Y71</f>
        <v>42</v>
      </c>
      <c r="AC71" s="4" t="n">
        <f aca="false">W71-Z71</f>
        <v>19.15</v>
      </c>
      <c r="AD71" s="4" t="str">
        <f aca="false">IF(OR(AND(X71&lt;&gt;0,ABS(AA71)&gt;Assumptions!$B$18*X71),AND(Y71&lt;&gt;0,ABS(AB71)&gt;Assumptions!$B$18*Y71),AND(Z71&lt;&gt;0,ABS(AC71)&gt;Assumptions!$B$18*Z71)),"REVIEW","")</f>
        <v>REVIEW</v>
      </c>
    </row>
    <row r="72" customFormat="false" ht="15" hidden="false" customHeight="false" outlineLevel="0" collapsed="false">
      <c r="A72" s="0" t="str">
        <f aca="false">'City Data'!A72</f>
        <v>Djibouti City</v>
      </c>
      <c r="B72" s="4" t="n">
        <f aca="false">'City Data'!B72/Assumptions!$B$2</f>
        <v>15</v>
      </c>
      <c r="C72" s="4" t="n">
        <f aca="false">'City Data'!C72/Assumptions!$B$2</f>
        <v>45</v>
      </c>
      <c r="D72" s="4" t="n">
        <f aca="false">'City Data'!D72/Assumptions!$B$2</f>
        <v>130</v>
      </c>
      <c r="E72" s="4" t="n">
        <f aca="false">Assumptions!$B$3*Assumptions!$B$4*'City Data'!E72</f>
        <v>36</v>
      </c>
      <c r="F72" s="4" t="n">
        <f aca="false">Assumptions!$B$3*Assumptions!$B$5*'City Data'!E72</f>
        <v>64.8</v>
      </c>
      <c r="G72" s="4" t="n">
        <f aca="false">Assumptions!$B$3*Assumptions!$B$6*'City Data'!E72</f>
        <v>126</v>
      </c>
      <c r="H72" s="4" t="n">
        <f aca="false">Assumptions!$B$7*'City Data'!F72</f>
        <v>5</v>
      </c>
      <c r="I72" s="4" t="n">
        <f aca="false">Assumptions!$B$8*'City Data'!F72</f>
        <v>10</v>
      </c>
      <c r="J72" s="4" t="n">
        <f aca="false">Assumptions!$B$9*'City Data'!F72</f>
        <v>20</v>
      </c>
      <c r="K72" s="4" t="n">
        <f aca="false">'City Data'!G72+'City Data'!H72</f>
        <v>3.5</v>
      </c>
      <c r="L72" s="4" t="n">
        <f aca="false">IF(AND(Assumptions!$B$13,ISNUMBER('City Data'!I72)),Assumptions!$B$10*'City Data'!I72,0)</f>
        <v>5</v>
      </c>
      <c r="M72" s="4" t="n">
        <f aca="false">IF(AND(Assumptions!$B$13,ISNUMBER('City Data'!I72)),Assumptions!$B$11*'City Data'!I72,0)</f>
        <v>10</v>
      </c>
      <c r="N72" s="4" t="n">
        <f aca="false">IF(AND(Assumptions!$B$13,ISNUMBER('City Data'!I72)),Assumptions!$B$12*'City Data'!I72,0)</f>
        <v>15</v>
      </c>
      <c r="O72" s="4" t="n">
        <f aca="false">B72+E72+H72+K72</f>
        <v>59.5</v>
      </c>
      <c r="P72" s="4" t="n">
        <f aca="false">C72+F72+I72+K72</f>
        <v>123.3</v>
      </c>
      <c r="Q72" s="4" t="n">
        <f aca="false">D72+G72+J72+K72</f>
        <v>279.5</v>
      </c>
      <c r="R72" s="4" t="n">
        <f aca="false">IF(Assumptions!$B$14,Assumptions!$B$15*O72,0)</f>
        <v>5.95</v>
      </c>
      <c r="S72" s="4" t="n">
        <f aca="false">IF(Assumptions!$B$14,Assumptions!$B$16*P72,0)</f>
        <v>24.66</v>
      </c>
      <c r="T72" s="4" t="n">
        <f aca="false">IF(Assumptions!$B$14,Assumptions!$B$17*Q72,0)</f>
        <v>97.825</v>
      </c>
      <c r="U72" s="4" t="n">
        <f aca="false">O72+L72+R72</f>
        <v>70.45</v>
      </c>
      <c r="V72" s="4" t="n">
        <f aca="false">P72+M72+S72</f>
        <v>157.96</v>
      </c>
      <c r="W72" s="4" t="n">
        <f aca="false">Q72+N72+T72</f>
        <v>392.325</v>
      </c>
      <c r="X72" s="4" t="n">
        <f aca="false">'City Data'!K72</f>
        <v>45</v>
      </c>
      <c r="Y72" s="4" t="n">
        <f aca="false">'City Data'!L72</f>
        <v>110</v>
      </c>
      <c r="Z72" s="4" t="n">
        <f aca="false">'City Data'!M72</f>
        <v>340</v>
      </c>
      <c r="AA72" s="4" t="n">
        <f aca="false">U72-X72</f>
        <v>25.45</v>
      </c>
      <c r="AB72" s="4" t="n">
        <f aca="false">V72-Y72</f>
        <v>47.96</v>
      </c>
      <c r="AC72" s="4" t="n">
        <f aca="false">W72-Z72</f>
        <v>52.325</v>
      </c>
      <c r="AD72" s="4" t="str">
        <f aca="false">IF(OR(AND(X72&lt;&gt;0,ABS(AA72)&gt;Assumptions!$B$18*X72),AND(Y72&lt;&gt;0,ABS(AB72)&gt;Assumptions!$B$18*Y72),AND(Z72&lt;&gt;0,ABS(AC72)&gt;Assumptions!$B$18*Z72)),"REVIEW","")</f>
        <v>REVIEW</v>
      </c>
    </row>
    <row r="73" customFormat="false" ht="15" hidden="false" customHeight="false" outlineLevel="0" collapsed="false">
      <c r="A73" s="0" t="str">
        <f aca="false">'City Data'!A73</f>
        <v>Doha</v>
      </c>
      <c r="B73" s="4" t="n">
        <f aca="false">'City Data'!B73/Assumptions!$B$2</f>
        <v>40</v>
      </c>
      <c r="C73" s="4" t="n">
        <f aca="false">'City Data'!C73/Assumptions!$B$2</f>
        <v>75</v>
      </c>
      <c r="D73" s="4" t="n">
        <f aca="false">'City Data'!D73/Assumptions!$B$2</f>
        <v>200</v>
      </c>
      <c r="E73" s="4" t="n">
        <f aca="false">Assumptions!$B$3*Assumptions!$B$4*'City Data'!E73</f>
        <v>90</v>
      </c>
      <c r="F73" s="4" t="n">
        <f aca="false">Assumptions!$B$3*Assumptions!$B$5*'City Data'!E73</f>
        <v>162</v>
      </c>
      <c r="G73" s="4" t="n">
        <f aca="false">Assumptions!$B$3*Assumptions!$B$6*'City Data'!E73</f>
        <v>315</v>
      </c>
      <c r="H73" s="4" t="n">
        <f aca="false">Assumptions!$B$7*'City Data'!F73</f>
        <v>15</v>
      </c>
      <c r="I73" s="4" t="n">
        <f aca="false">Assumptions!$B$8*'City Data'!F73</f>
        <v>30</v>
      </c>
      <c r="J73" s="4" t="n">
        <f aca="false">Assumptions!$B$9*'City Data'!F73</f>
        <v>60</v>
      </c>
      <c r="K73" s="4" t="n">
        <f aca="false">'City Data'!G73+'City Data'!H73</f>
        <v>6</v>
      </c>
      <c r="L73" s="4" t="n">
        <f aca="false">IF(AND(Assumptions!$B$13,ISNUMBER('City Data'!I73)),Assumptions!$B$10*'City Data'!I73,0)</f>
        <v>0</v>
      </c>
      <c r="M73" s="4" t="n">
        <f aca="false">IF(AND(Assumptions!$B$13,ISNUMBER('City Data'!I73)),Assumptions!$B$11*'City Data'!I73,0)</f>
        <v>0</v>
      </c>
      <c r="N73" s="4" t="n">
        <f aca="false">IF(AND(Assumptions!$B$13,ISNUMBER('City Data'!I73)),Assumptions!$B$12*'City Data'!I73,0)</f>
        <v>0</v>
      </c>
      <c r="O73" s="4" t="n">
        <f aca="false">B73+E73+H73+K73</f>
        <v>151</v>
      </c>
      <c r="P73" s="4" t="n">
        <f aca="false">C73+F73+I73+K73</f>
        <v>273</v>
      </c>
      <c r="Q73" s="4" t="n">
        <f aca="false">D73+G73+J73+K73</f>
        <v>581</v>
      </c>
      <c r="R73" s="4" t="n">
        <f aca="false">IF(Assumptions!$B$14,Assumptions!$B$15*O73,0)</f>
        <v>15.1</v>
      </c>
      <c r="S73" s="4" t="n">
        <f aca="false">IF(Assumptions!$B$14,Assumptions!$B$16*P73,0)</f>
        <v>54.6</v>
      </c>
      <c r="T73" s="4" t="n">
        <f aca="false">IF(Assumptions!$B$14,Assumptions!$B$17*Q73,0)</f>
        <v>203.35</v>
      </c>
      <c r="U73" s="4" t="n">
        <f aca="false">O73+L73+R73</f>
        <v>166.1</v>
      </c>
      <c r="V73" s="4" t="n">
        <f aca="false">P73+M73+S73</f>
        <v>327.6</v>
      </c>
      <c r="W73" s="4" t="n">
        <f aca="false">Q73+N73+T73</f>
        <v>784.35</v>
      </c>
      <c r="X73" s="4" t="n">
        <f aca="false">'City Data'!K73</f>
        <v>70</v>
      </c>
      <c r="Y73" s="4" t="n">
        <f aca="false">'City Data'!L73</f>
        <v>180</v>
      </c>
      <c r="Z73" s="4" t="n">
        <f aca="false">'City Data'!M73</f>
        <v>550</v>
      </c>
      <c r="AA73" s="4" t="n">
        <f aca="false">U73-X73</f>
        <v>96.1</v>
      </c>
      <c r="AB73" s="4" t="n">
        <f aca="false">V73-Y73</f>
        <v>147.6</v>
      </c>
      <c r="AC73" s="4" t="n">
        <f aca="false">W73-Z73</f>
        <v>234.35</v>
      </c>
      <c r="AD73" s="4" t="str">
        <f aca="false">IF(OR(AND(X73&lt;&gt;0,ABS(AA73)&gt;Assumptions!$B$18*X73),AND(Y73&lt;&gt;0,ABS(AB73)&gt;Assumptions!$B$18*Y73),AND(Z73&lt;&gt;0,ABS(AC73)&gt;Assumptions!$B$18*Z73)),"REVIEW","")</f>
        <v>REVIEW</v>
      </c>
    </row>
    <row r="74" customFormat="false" ht="15" hidden="false" customHeight="false" outlineLevel="0" collapsed="false">
      <c r="A74" s="0" t="str">
        <f aca="false">'City Data'!A74</f>
        <v>Dongguan</v>
      </c>
      <c r="B74" s="4" t="n">
        <f aca="false">'City Data'!B74/Assumptions!$B$2</f>
        <v>10</v>
      </c>
      <c r="C74" s="4" t="n">
        <f aca="false">'City Data'!C74/Assumptions!$B$2</f>
        <v>27.5</v>
      </c>
      <c r="D74" s="4" t="n">
        <f aca="false">'City Data'!D74/Assumptions!$B$2</f>
        <v>65</v>
      </c>
      <c r="E74" s="4" t="n">
        <f aca="false">Assumptions!$B$3*Assumptions!$B$4*'City Data'!E74</f>
        <v>18</v>
      </c>
      <c r="F74" s="4" t="n">
        <f aca="false">Assumptions!$B$3*Assumptions!$B$5*'City Data'!E74</f>
        <v>32.4</v>
      </c>
      <c r="G74" s="4" t="n">
        <f aca="false">Assumptions!$B$3*Assumptions!$B$6*'City Data'!E74</f>
        <v>63</v>
      </c>
      <c r="H74" s="4" t="n">
        <f aca="false">Assumptions!$B$7*'City Data'!F74</f>
        <v>4</v>
      </c>
      <c r="I74" s="4" t="n">
        <f aca="false">Assumptions!$B$8*'City Data'!F74</f>
        <v>8</v>
      </c>
      <c r="J74" s="4" t="n">
        <f aca="false">Assumptions!$B$9*'City Data'!F74</f>
        <v>16</v>
      </c>
      <c r="K74" s="4" t="n">
        <f aca="false">'City Data'!G74+'City Data'!H74</f>
        <v>3.9</v>
      </c>
      <c r="L74" s="4" t="n">
        <f aca="false">IF(AND(Assumptions!$B$13,ISNUMBER('City Data'!I74)),Assumptions!$B$10*'City Data'!I74,0)</f>
        <v>1.5</v>
      </c>
      <c r="M74" s="4" t="n">
        <f aca="false">IF(AND(Assumptions!$B$13,ISNUMBER('City Data'!I74)),Assumptions!$B$11*'City Data'!I74,0)</f>
        <v>3</v>
      </c>
      <c r="N74" s="4" t="n">
        <f aca="false">IF(AND(Assumptions!$B$13,ISNUMBER('City Data'!I74)),Assumptions!$B$12*'City Data'!I74,0)</f>
        <v>4.5</v>
      </c>
      <c r="O74" s="4" t="n">
        <f aca="false">B74+E74+H74+K74</f>
        <v>35.9</v>
      </c>
      <c r="P74" s="4" t="n">
        <f aca="false">C74+F74+I74+K74</f>
        <v>71.8</v>
      </c>
      <c r="Q74" s="4" t="n">
        <f aca="false">D74+G74+J74+K74</f>
        <v>147.9</v>
      </c>
      <c r="R74" s="4" t="n">
        <f aca="false">IF(Assumptions!$B$14,Assumptions!$B$15*O74,0)</f>
        <v>3.59</v>
      </c>
      <c r="S74" s="4" t="n">
        <f aca="false">IF(Assumptions!$B$14,Assumptions!$B$16*P74,0)</f>
        <v>14.36</v>
      </c>
      <c r="T74" s="4" t="n">
        <f aca="false">IF(Assumptions!$B$14,Assumptions!$B$17*Q74,0)</f>
        <v>51.765</v>
      </c>
      <c r="U74" s="4" t="n">
        <f aca="false">O74+L74+R74</f>
        <v>40.99</v>
      </c>
      <c r="V74" s="4" t="n">
        <f aca="false">P74+M74+S74</f>
        <v>89.16</v>
      </c>
      <c r="W74" s="4" t="n">
        <f aca="false">Q74+N74+T74</f>
        <v>204.165</v>
      </c>
      <c r="X74" s="4" t="n">
        <f aca="false">'City Data'!K74</f>
        <v>30</v>
      </c>
      <c r="Y74" s="4" t="n">
        <f aca="false">'City Data'!L74</f>
        <v>75</v>
      </c>
      <c r="Z74" s="4" t="n">
        <f aca="false">'City Data'!M74</f>
        <v>200</v>
      </c>
      <c r="AA74" s="4" t="n">
        <f aca="false">U74-X74</f>
        <v>10.99</v>
      </c>
      <c r="AB74" s="4" t="n">
        <f aca="false">V74-Y74</f>
        <v>14.16</v>
      </c>
      <c r="AC74" s="4" t="n">
        <f aca="false">W74-Z74</f>
        <v>4.16500000000002</v>
      </c>
      <c r="AD74" s="4" t="str">
        <f aca="false">IF(OR(AND(X74&lt;&gt;0,ABS(AA74)&gt;Assumptions!$B$18*X74),AND(Y74&lt;&gt;0,ABS(AB74)&gt;Assumptions!$B$18*Y74),AND(Z74&lt;&gt;0,ABS(AC74)&gt;Assumptions!$B$18*Z74)),"REVIEW","")</f>
        <v>REVIEW</v>
      </c>
    </row>
    <row r="75" customFormat="false" ht="15" hidden="false" customHeight="false" outlineLevel="0" collapsed="false">
      <c r="A75" s="0" t="str">
        <f aca="false">'City Data'!A75</f>
        <v>Douala</v>
      </c>
      <c r="B75" s="4" t="n">
        <f aca="false">'City Data'!B75/Assumptions!$B$2</f>
        <v>15</v>
      </c>
      <c r="C75" s="4" t="n">
        <f aca="false">'City Data'!C75/Assumptions!$B$2</f>
        <v>37.5</v>
      </c>
      <c r="D75" s="4" t="n">
        <f aca="false">'City Data'!D75/Assumptions!$B$2</f>
        <v>125</v>
      </c>
      <c r="E75" s="4" t="n">
        <f aca="false">Assumptions!$B$3*Assumptions!$B$4*'City Data'!E75</f>
        <v>30</v>
      </c>
      <c r="F75" s="4" t="n">
        <f aca="false">Assumptions!$B$3*Assumptions!$B$5*'City Data'!E75</f>
        <v>54</v>
      </c>
      <c r="G75" s="4" t="n">
        <f aca="false">Assumptions!$B$3*Assumptions!$B$6*'City Data'!E75</f>
        <v>105</v>
      </c>
      <c r="H75" s="4" t="n">
        <f aca="false">Assumptions!$B$7*'City Data'!F75</f>
        <v>5</v>
      </c>
      <c r="I75" s="4" t="n">
        <f aca="false">Assumptions!$B$8*'City Data'!F75</f>
        <v>10</v>
      </c>
      <c r="J75" s="4" t="n">
        <f aca="false">Assumptions!$B$9*'City Data'!F75</f>
        <v>20</v>
      </c>
      <c r="K75" s="4" t="n">
        <f aca="false">'City Data'!G75+'City Data'!H75</f>
        <v>3.1</v>
      </c>
      <c r="L75" s="4" t="n">
        <f aca="false">IF(AND(Assumptions!$B$13,ISNUMBER('City Data'!I75)),Assumptions!$B$10*'City Data'!I75,0)</f>
        <v>2</v>
      </c>
      <c r="M75" s="4" t="n">
        <f aca="false">IF(AND(Assumptions!$B$13,ISNUMBER('City Data'!I75)),Assumptions!$B$11*'City Data'!I75,0)</f>
        <v>4</v>
      </c>
      <c r="N75" s="4" t="n">
        <f aca="false">IF(AND(Assumptions!$B$13,ISNUMBER('City Data'!I75)),Assumptions!$B$12*'City Data'!I75,0)</f>
        <v>6</v>
      </c>
      <c r="O75" s="4" t="n">
        <f aca="false">B75+E75+H75+K75</f>
        <v>53.1</v>
      </c>
      <c r="P75" s="4" t="n">
        <f aca="false">C75+F75+I75+K75</f>
        <v>104.6</v>
      </c>
      <c r="Q75" s="4" t="n">
        <f aca="false">D75+G75+J75+K75</f>
        <v>253.1</v>
      </c>
      <c r="R75" s="4" t="n">
        <f aca="false">IF(Assumptions!$B$14,Assumptions!$B$15*O75,0)</f>
        <v>5.31</v>
      </c>
      <c r="S75" s="4" t="n">
        <f aca="false">IF(Assumptions!$B$14,Assumptions!$B$16*P75,0)</f>
        <v>20.92</v>
      </c>
      <c r="T75" s="4" t="n">
        <f aca="false">IF(Assumptions!$B$14,Assumptions!$B$17*Q75,0)</f>
        <v>88.585</v>
      </c>
      <c r="U75" s="4" t="n">
        <f aca="false">O75+L75+R75</f>
        <v>60.41</v>
      </c>
      <c r="V75" s="4" t="n">
        <f aca="false">P75+M75+S75</f>
        <v>129.52</v>
      </c>
      <c r="W75" s="4" t="n">
        <f aca="false">Q75+N75+T75</f>
        <v>347.685</v>
      </c>
      <c r="X75" s="4" t="n">
        <f aca="false">'City Data'!K75</f>
        <v>40</v>
      </c>
      <c r="Y75" s="4" t="n">
        <f aca="false">'City Data'!L75</f>
        <v>105</v>
      </c>
      <c r="Z75" s="4" t="n">
        <f aca="false">'City Data'!M75</f>
        <v>320</v>
      </c>
      <c r="AA75" s="4" t="n">
        <f aca="false">U75-X75</f>
        <v>20.41</v>
      </c>
      <c r="AB75" s="4" t="n">
        <f aca="false">V75-Y75</f>
        <v>24.52</v>
      </c>
      <c r="AC75" s="4" t="n">
        <f aca="false">W75-Z75</f>
        <v>27.685</v>
      </c>
      <c r="AD75" s="4" t="str">
        <f aca="false">IF(OR(AND(X75&lt;&gt;0,ABS(AA75)&gt;Assumptions!$B$18*X75),AND(Y75&lt;&gt;0,ABS(AB75)&gt;Assumptions!$B$18*Y75),AND(Z75&lt;&gt;0,ABS(AC75)&gt;Assumptions!$B$18*Z75)),"REVIEW","")</f>
        <v>REVIEW</v>
      </c>
    </row>
    <row r="76" customFormat="false" ht="15" hidden="false" customHeight="false" outlineLevel="0" collapsed="false">
      <c r="A76" s="0" t="str">
        <f aca="false">'City Data'!A76</f>
        <v>Dubai</v>
      </c>
      <c r="B76" s="4" t="n">
        <f aca="false">'City Data'!B76/Assumptions!$B$2</f>
        <v>25</v>
      </c>
      <c r="C76" s="4" t="n">
        <f aca="false">'City Data'!C76/Assumptions!$B$2</f>
        <v>60</v>
      </c>
      <c r="D76" s="4" t="n">
        <f aca="false">'City Data'!D76/Assumptions!$B$2</f>
        <v>175</v>
      </c>
      <c r="E76" s="4" t="n">
        <f aca="false">Assumptions!$B$3*Assumptions!$B$4*'City Data'!E76</f>
        <v>75</v>
      </c>
      <c r="F76" s="4" t="n">
        <f aca="false">Assumptions!$B$3*Assumptions!$B$5*'City Data'!E76</f>
        <v>135</v>
      </c>
      <c r="G76" s="4" t="n">
        <f aca="false">Assumptions!$B$3*Assumptions!$B$6*'City Data'!E76</f>
        <v>262.5</v>
      </c>
      <c r="H76" s="4" t="n">
        <f aca="false">Assumptions!$B$7*'City Data'!F76</f>
        <v>8</v>
      </c>
      <c r="I76" s="4" t="n">
        <f aca="false">Assumptions!$B$8*'City Data'!F76</f>
        <v>16</v>
      </c>
      <c r="J76" s="4" t="n">
        <f aca="false">Assumptions!$B$9*'City Data'!F76</f>
        <v>32</v>
      </c>
      <c r="K76" s="4" t="n">
        <f aca="false">'City Data'!G76+'City Data'!H76</f>
        <v>5</v>
      </c>
      <c r="L76" s="4" t="n">
        <f aca="false">IF(AND(Assumptions!$B$13,ISNUMBER('City Data'!I76)),Assumptions!$B$10*'City Data'!I76,0)</f>
        <v>0</v>
      </c>
      <c r="M76" s="4" t="n">
        <f aca="false">IF(AND(Assumptions!$B$13,ISNUMBER('City Data'!I76)),Assumptions!$B$11*'City Data'!I76,0)</f>
        <v>0</v>
      </c>
      <c r="N76" s="4" t="n">
        <f aca="false">IF(AND(Assumptions!$B$13,ISNUMBER('City Data'!I76)),Assumptions!$B$12*'City Data'!I76,0)</f>
        <v>0</v>
      </c>
      <c r="O76" s="4" t="n">
        <f aca="false">B76+E76+H76+K76</f>
        <v>113</v>
      </c>
      <c r="P76" s="4" t="n">
        <f aca="false">C76+F76+I76+K76</f>
        <v>216</v>
      </c>
      <c r="Q76" s="4" t="n">
        <f aca="false">D76+G76+J76+K76</f>
        <v>474.5</v>
      </c>
      <c r="R76" s="4" t="n">
        <f aca="false">IF(Assumptions!$B$14,Assumptions!$B$15*O76,0)</f>
        <v>11.3</v>
      </c>
      <c r="S76" s="4" t="n">
        <f aca="false">IF(Assumptions!$B$14,Assumptions!$B$16*P76,0)</f>
        <v>43.2</v>
      </c>
      <c r="T76" s="4" t="n">
        <f aca="false">IF(Assumptions!$B$14,Assumptions!$B$17*Q76,0)</f>
        <v>166.075</v>
      </c>
      <c r="U76" s="4" t="n">
        <f aca="false">O76+L76+R76</f>
        <v>124.3</v>
      </c>
      <c r="V76" s="4" t="n">
        <f aca="false">P76+M76+S76</f>
        <v>259.2</v>
      </c>
      <c r="W76" s="4" t="n">
        <f aca="false">Q76+N76+T76</f>
        <v>640.575</v>
      </c>
      <c r="X76" s="4" t="n">
        <f aca="false">'City Data'!K76</f>
        <v>75</v>
      </c>
      <c r="Y76" s="4" t="n">
        <f aca="false">'City Data'!L76</f>
        <v>200</v>
      </c>
      <c r="Z76" s="4" t="n">
        <f aca="false">'City Data'!M76</f>
        <v>650</v>
      </c>
      <c r="AA76" s="4" t="n">
        <f aca="false">U76-X76</f>
        <v>49.3</v>
      </c>
      <c r="AB76" s="4" t="n">
        <f aca="false">V76-Y76</f>
        <v>59.2</v>
      </c>
      <c r="AC76" s="4" t="n">
        <f aca="false">W76-Z76</f>
        <v>-9.42499999999996</v>
      </c>
      <c r="AD76" s="4" t="str">
        <f aca="false">IF(OR(AND(X76&lt;&gt;0,ABS(AA76)&gt;Assumptions!$B$18*X76),AND(Y76&lt;&gt;0,ABS(AB76)&gt;Assumptions!$B$18*Y76),AND(Z76&lt;&gt;0,ABS(AC76)&gt;Assumptions!$B$18*Z76)),"REVIEW","")</f>
        <v>REVIEW</v>
      </c>
    </row>
    <row r="77" customFormat="false" ht="15" hidden="false" customHeight="false" outlineLevel="0" collapsed="false">
      <c r="A77" s="0" t="str">
        <f aca="false">'City Data'!A77</f>
        <v>Dublin</v>
      </c>
      <c r="B77" s="4" t="n">
        <f aca="false">'City Data'!B77/Assumptions!$B$2</f>
        <v>45</v>
      </c>
      <c r="C77" s="4" t="n">
        <f aca="false">'City Data'!C77/Assumptions!$B$2</f>
        <v>80</v>
      </c>
      <c r="D77" s="4" t="n">
        <f aca="false">'City Data'!D77/Assumptions!$B$2</f>
        <v>175</v>
      </c>
      <c r="E77" s="4" t="n">
        <f aca="false">Assumptions!$B$3*Assumptions!$B$4*'City Data'!E77</f>
        <v>75</v>
      </c>
      <c r="F77" s="4" t="n">
        <f aca="false">Assumptions!$B$3*Assumptions!$B$5*'City Data'!E77</f>
        <v>135</v>
      </c>
      <c r="G77" s="4" t="n">
        <f aca="false">Assumptions!$B$3*Assumptions!$B$6*'City Data'!E77</f>
        <v>262.5</v>
      </c>
      <c r="H77" s="4" t="n">
        <f aca="false">Assumptions!$B$7*'City Data'!F77</f>
        <v>30</v>
      </c>
      <c r="I77" s="4" t="n">
        <f aca="false">Assumptions!$B$8*'City Data'!F77</f>
        <v>60</v>
      </c>
      <c r="J77" s="4" t="n">
        <f aca="false">Assumptions!$B$9*'City Data'!F77</f>
        <v>120</v>
      </c>
      <c r="K77" s="4" t="n">
        <f aca="false">'City Data'!G77+'City Data'!H77</f>
        <v>5.5</v>
      </c>
      <c r="L77" s="4" t="n">
        <f aca="false">IF(AND(Assumptions!$B$13,ISNUMBER('City Data'!I77)),Assumptions!$B$10*'City Data'!I77,0)</f>
        <v>6.5</v>
      </c>
      <c r="M77" s="4" t="n">
        <f aca="false">IF(AND(Assumptions!$B$13,ISNUMBER('City Data'!I77)),Assumptions!$B$11*'City Data'!I77,0)</f>
        <v>13</v>
      </c>
      <c r="N77" s="4" t="n">
        <f aca="false">IF(AND(Assumptions!$B$13,ISNUMBER('City Data'!I77)),Assumptions!$B$12*'City Data'!I77,0)</f>
        <v>19.5</v>
      </c>
      <c r="O77" s="4" t="n">
        <f aca="false">B77+E77+H77+K77</f>
        <v>155.5</v>
      </c>
      <c r="P77" s="4" t="n">
        <f aca="false">C77+F77+I77+K77</f>
        <v>280.5</v>
      </c>
      <c r="Q77" s="4" t="n">
        <f aca="false">D77+G77+J77+K77</f>
        <v>563</v>
      </c>
      <c r="R77" s="4" t="n">
        <f aca="false">IF(Assumptions!$B$14,Assumptions!$B$15*O77,0)</f>
        <v>15.55</v>
      </c>
      <c r="S77" s="4" t="n">
        <f aca="false">IF(Assumptions!$B$14,Assumptions!$B$16*P77,0)</f>
        <v>56.1</v>
      </c>
      <c r="T77" s="4" t="n">
        <f aca="false">IF(Assumptions!$B$14,Assumptions!$B$17*Q77,0)</f>
        <v>197.05</v>
      </c>
      <c r="U77" s="4" t="n">
        <f aca="false">O77+L77+R77</f>
        <v>177.55</v>
      </c>
      <c r="V77" s="4" t="n">
        <f aca="false">P77+M77+S77</f>
        <v>349.6</v>
      </c>
      <c r="W77" s="4" t="n">
        <f aca="false">Q77+N77+T77</f>
        <v>779.55</v>
      </c>
      <c r="X77" s="4" t="n">
        <f aca="false">'City Data'!K77</f>
        <v>85</v>
      </c>
      <c r="Y77" s="4" t="n">
        <f aca="false">'City Data'!L77</f>
        <v>210</v>
      </c>
      <c r="Z77" s="4" t="n">
        <f aca="false">'City Data'!M77</f>
        <v>580</v>
      </c>
      <c r="AA77" s="4" t="n">
        <f aca="false">U77-X77</f>
        <v>92.55</v>
      </c>
      <c r="AB77" s="4" t="n">
        <f aca="false">V77-Y77</f>
        <v>139.6</v>
      </c>
      <c r="AC77" s="4" t="n">
        <f aca="false">W77-Z77</f>
        <v>199.55</v>
      </c>
      <c r="AD77" s="4" t="str">
        <f aca="false">IF(OR(AND(X77&lt;&gt;0,ABS(AA77)&gt;Assumptions!$B$18*X77),AND(Y77&lt;&gt;0,ABS(AB77)&gt;Assumptions!$B$18*Y77),AND(Z77&lt;&gt;0,ABS(AC77)&gt;Assumptions!$B$18*Z77)),"REVIEW","")</f>
        <v>REVIEW</v>
      </c>
    </row>
    <row r="78" customFormat="false" ht="15" hidden="false" customHeight="false" outlineLevel="0" collapsed="false">
      <c r="A78" s="0" t="str">
        <f aca="false">'City Data'!A78</f>
        <v>Dubrovnik</v>
      </c>
      <c r="B78" s="4" t="n">
        <f aca="false">'City Data'!B78/Assumptions!$B$2</f>
        <v>25</v>
      </c>
      <c r="C78" s="4" t="n">
        <f aca="false">'City Data'!C78/Assumptions!$B$2</f>
        <v>80</v>
      </c>
      <c r="D78" s="4" t="n">
        <f aca="false">'City Data'!D78/Assumptions!$B$2</f>
        <v>210</v>
      </c>
      <c r="E78" s="4" t="n">
        <f aca="false">Assumptions!$B$3*Assumptions!$B$4*'City Data'!E78</f>
        <v>75</v>
      </c>
      <c r="F78" s="4" t="n">
        <f aca="false">Assumptions!$B$3*Assumptions!$B$5*'City Data'!E78</f>
        <v>135</v>
      </c>
      <c r="G78" s="4" t="n">
        <f aca="false">Assumptions!$B$3*Assumptions!$B$6*'City Data'!E78</f>
        <v>262.5</v>
      </c>
      <c r="H78" s="4" t="n">
        <f aca="false">Assumptions!$B$7*'City Data'!F78</f>
        <v>15</v>
      </c>
      <c r="I78" s="4" t="n">
        <f aca="false">Assumptions!$B$8*'City Data'!F78</f>
        <v>30</v>
      </c>
      <c r="J78" s="4" t="n">
        <f aca="false">Assumptions!$B$9*'City Data'!F78</f>
        <v>60</v>
      </c>
      <c r="K78" s="4" t="n">
        <f aca="false">'City Data'!G78+'City Data'!H78</f>
        <v>5</v>
      </c>
      <c r="L78" s="4" t="n">
        <f aca="false">IF(AND(Assumptions!$B$13,ISNUMBER('City Data'!I78)),Assumptions!$B$10*'City Data'!I78,0)</f>
        <v>4.5</v>
      </c>
      <c r="M78" s="4" t="n">
        <f aca="false">IF(AND(Assumptions!$B$13,ISNUMBER('City Data'!I78)),Assumptions!$B$11*'City Data'!I78,0)</f>
        <v>9</v>
      </c>
      <c r="N78" s="4" t="n">
        <f aca="false">IF(AND(Assumptions!$B$13,ISNUMBER('City Data'!I78)),Assumptions!$B$12*'City Data'!I78,0)</f>
        <v>13.5</v>
      </c>
      <c r="O78" s="4" t="n">
        <f aca="false">B78+E78+H78+K78</f>
        <v>120</v>
      </c>
      <c r="P78" s="4" t="n">
        <f aca="false">C78+F78+I78+K78</f>
        <v>250</v>
      </c>
      <c r="Q78" s="4" t="n">
        <f aca="false">D78+G78+J78+K78</f>
        <v>537.5</v>
      </c>
      <c r="R78" s="4" t="n">
        <f aca="false">IF(Assumptions!$B$14,Assumptions!$B$15*O78,0)</f>
        <v>12</v>
      </c>
      <c r="S78" s="4" t="n">
        <f aca="false">IF(Assumptions!$B$14,Assumptions!$B$16*P78,0)</f>
        <v>50</v>
      </c>
      <c r="T78" s="4" t="n">
        <f aca="false">IF(Assumptions!$B$14,Assumptions!$B$17*Q78,0)</f>
        <v>188.125</v>
      </c>
      <c r="U78" s="4" t="n">
        <f aca="false">O78+L78+R78</f>
        <v>136.5</v>
      </c>
      <c r="V78" s="4" t="n">
        <f aca="false">P78+M78+S78</f>
        <v>309</v>
      </c>
      <c r="W78" s="4" t="n">
        <f aca="false">Q78+N78+T78</f>
        <v>739.125</v>
      </c>
      <c r="X78" s="4" t="n">
        <f aca="false">'City Data'!K78</f>
        <v>70</v>
      </c>
      <c r="Y78" s="4" t="n">
        <f aca="false">'City Data'!L78</f>
        <v>180</v>
      </c>
      <c r="Z78" s="4" t="n">
        <f aca="false">'City Data'!M78</f>
        <v>545</v>
      </c>
      <c r="AA78" s="4" t="n">
        <f aca="false">U78-X78</f>
        <v>66.5</v>
      </c>
      <c r="AB78" s="4" t="n">
        <f aca="false">V78-Y78</f>
        <v>129</v>
      </c>
      <c r="AC78" s="4" t="n">
        <f aca="false">W78-Z78</f>
        <v>194.125</v>
      </c>
      <c r="AD78" s="4" t="str">
        <f aca="false">IF(OR(AND(X78&lt;&gt;0,ABS(AA78)&gt;Assumptions!$B$18*X78),AND(Y78&lt;&gt;0,ABS(AB78)&gt;Assumptions!$B$18*Y78),AND(Z78&lt;&gt;0,ABS(AC78)&gt;Assumptions!$B$18*Z78)),"REVIEW","")</f>
        <v>REVIEW</v>
      </c>
    </row>
    <row r="79" customFormat="false" ht="15" hidden="false" customHeight="false" outlineLevel="0" collapsed="false">
      <c r="A79" s="0" t="str">
        <f aca="false">'City Data'!A79</f>
        <v>Dushanbe</v>
      </c>
      <c r="B79" s="4" t="n">
        <f aca="false">'City Data'!B79/Assumptions!$B$2</f>
        <v>7.5</v>
      </c>
      <c r="C79" s="4" t="n">
        <f aca="false">'City Data'!C79/Assumptions!$B$2</f>
        <v>27.5</v>
      </c>
      <c r="D79" s="4" t="n">
        <f aca="false">'City Data'!D79/Assumptions!$B$2</f>
        <v>90</v>
      </c>
      <c r="E79" s="4" t="n">
        <f aca="false">Assumptions!$B$3*Assumptions!$B$4*'City Data'!E79</f>
        <v>30</v>
      </c>
      <c r="F79" s="4" t="n">
        <f aca="false">Assumptions!$B$3*Assumptions!$B$5*'City Data'!E79</f>
        <v>54</v>
      </c>
      <c r="G79" s="4" t="n">
        <f aca="false">Assumptions!$B$3*Assumptions!$B$6*'City Data'!E79</f>
        <v>105</v>
      </c>
      <c r="H79" s="4" t="n">
        <f aca="false">Assumptions!$B$7*'City Data'!F79</f>
        <v>3</v>
      </c>
      <c r="I79" s="4" t="n">
        <f aca="false">Assumptions!$B$8*'City Data'!F79</f>
        <v>6</v>
      </c>
      <c r="J79" s="4" t="n">
        <f aca="false">Assumptions!$B$9*'City Data'!F79</f>
        <v>12</v>
      </c>
      <c r="K79" s="4" t="n">
        <f aca="false">'City Data'!G79+'City Data'!H79</f>
        <v>2.5</v>
      </c>
      <c r="L79" s="4" t="n">
        <f aca="false">IF(AND(Assumptions!$B$13,ISNUMBER('City Data'!I79)),Assumptions!$B$10*'City Data'!I79,0)</f>
        <v>1.5</v>
      </c>
      <c r="M79" s="4" t="n">
        <f aca="false">IF(AND(Assumptions!$B$13,ISNUMBER('City Data'!I79)),Assumptions!$B$11*'City Data'!I79,0)</f>
        <v>3</v>
      </c>
      <c r="N79" s="4" t="n">
        <f aca="false">IF(AND(Assumptions!$B$13,ISNUMBER('City Data'!I79)),Assumptions!$B$12*'City Data'!I79,0)</f>
        <v>4.5</v>
      </c>
      <c r="O79" s="4" t="n">
        <f aca="false">B79+E79+H79+K79</f>
        <v>43</v>
      </c>
      <c r="P79" s="4" t="n">
        <f aca="false">C79+F79+I79+K79</f>
        <v>90</v>
      </c>
      <c r="Q79" s="4" t="n">
        <f aca="false">D79+G79+J79+K79</f>
        <v>209.5</v>
      </c>
      <c r="R79" s="4" t="n">
        <f aca="false">IF(Assumptions!$B$14,Assumptions!$B$15*O79,0)</f>
        <v>4.3</v>
      </c>
      <c r="S79" s="4" t="n">
        <f aca="false">IF(Assumptions!$B$14,Assumptions!$B$16*P79,0)</f>
        <v>18</v>
      </c>
      <c r="T79" s="4" t="n">
        <f aca="false">IF(Assumptions!$B$14,Assumptions!$B$17*Q79,0)</f>
        <v>73.325</v>
      </c>
      <c r="U79" s="4" t="n">
        <f aca="false">O79+L79+R79</f>
        <v>48.8</v>
      </c>
      <c r="V79" s="4" t="n">
        <f aca="false">P79+M79+S79</f>
        <v>111</v>
      </c>
      <c r="W79" s="4" t="n">
        <f aca="false">Q79+N79+T79</f>
        <v>287.325</v>
      </c>
      <c r="X79" s="4" t="n">
        <f aca="false">'City Data'!K79</f>
        <v>35</v>
      </c>
      <c r="Y79" s="4" t="n">
        <f aca="false">'City Data'!L79</f>
        <v>85</v>
      </c>
      <c r="Z79" s="4" t="n">
        <f aca="false">'City Data'!M79</f>
        <v>265</v>
      </c>
      <c r="AA79" s="4" t="n">
        <f aca="false">U79-X79</f>
        <v>13.8</v>
      </c>
      <c r="AB79" s="4" t="n">
        <f aca="false">V79-Y79</f>
        <v>26</v>
      </c>
      <c r="AC79" s="4" t="n">
        <f aca="false">W79-Z79</f>
        <v>22.325</v>
      </c>
      <c r="AD79" s="4" t="str">
        <f aca="false">IF(OR(AND(X79&lt;&gt;0,ABS(AA79)&gt;Assumptions!$B$18*X79),AND(Y79&lt;&gt;0,ABS(AB79)&gt;Assumptions!$B$18*Y79),AND(Z79&lt;&gt;0,ABS(AC79)&gt;Assumptions!$B$18*Z79)),"REVIEW","")</f>
        <v>REVIEW</v>
      </c>
    </row>
    <row r="80" customFormat="false" ht="15" hidden="false" customHeight="false" outlineLevel="0" collapsed="false">
      <c r="A80" s="0" t="str">
        <f aca="false">'City Data'!A80</f>
        <v>Edinburgh</v>
      </c>
      <c r="B80" s="4" t="n">
        <f aca="false">'City Data'!B80/Assumptions!$B$2</f>
        <v>40</v>
      </c>
      <c r="C80" s="4" t="n">
        <f aca="false">'City Data'!C80/Assumptions!$B$2</f>
        <v>80</v>
      </c>
      <c r="D80" s="4" t="n">
        <f aca="false">'City Data'!D80/Assumptions!$B$2</f>
        <v>200</v>
      </c>
      <c r="E80" s="4" t="n">
        <f aca="false">Assumptions!$B$3*Assumptions!$B$4*'City Data'!E80</f>
        <v>75</v>
      </c>
      <c r="F80" s="4" t="n">
        <f aca="false">Assumptions!$B$3*Assumptions!$B$5*'City Data'!E80</f>
        <v>135</v>
      </c>
      <c r="G80" s="4" t="n">
        <f aca="false">Assumptions!$B$3*Assumptions!$B$6*'City Data'!E80</f>
        <v>262.5</v>
      </c>
      <c r="H80" s="4" t="n">
        <f aca="false">Assumptions!$B$7*'City Data'!F80</f>
        <v>20</v>
      </c>
      <c r="I80" s="4" t="n">
        <f aca="false">Assumptions!$B$8*'City Data'!F80</f>
        <v>40</v>
      </c>
      <c r="J80" s="4" t="n">
        <f aca="false">Assumptions!$B$9*'City Data'!F80</f>
        <v>80</v>
      </c>
      <c r="K80" s="4" t="n">
        <f aca="false">'City Data'!G80+'City Data'!H80</f>
        <v>5.5</v>
      </c>
      <c r="L80" s="4" t="n">
        <f aca="false">IF(AND(Assumptions!$B$13,ISNUMBER('City Data'!I80)),Assumptions!$B$10*'City Data'!I80,0)</f>
        <v>6</v>
      </c>
      <c r="M80" s="4" t="n">
        <f aca="false">IF(AND(Assumptions!$B$13,ISNUMBER('City Data'!I80)),Assumptions!$B$11*'City Data'!I80,0)</f>
        <v>12</v>
      </c>
      <c r="N80" s="4" t="n">
        <f aca="false">IF(AND(Assumptions!$B$13,ISNUMBER('City Data'!I80)),Assumptions!$B$12*'City Data'!I80,0)</f>
        <v>18</v>
      </c>
      <c r="O80" s="4" t="n">
        <f aca="false">B80+E80+H80+K80</f>
        <v>140.5</v>
      </c>
      <c r="P80" s="4" t="n">
        <f aca="false">C80+F80+I80+K80</f>
        <v>260.5</v>
      </c>
      <c r="Q80" s="4" t="n">
        <f aca="false">D80+G80+J80+K80</f>
        <v>548</v>
      </c>
      <c r="R80" s="4" t="n">
        <f aca="false">IF(Assumptions!$B$14,Assumptions!$B$15*O80,0)</f>
        <v>14.05</v>
      </c>
      <c r="S80" s="4" t="n">
        <f aca="false">IF(Assumptions!$B$14,Assumptions!$B$16*P80,0)</f>
        <v>52.1</v>
      </c>
      <c r="T80" s="4" t="n">
        <f aca="false">IF(Assumptions!$B$14,Assumptions!$B$17*Q80,0)</f>
        <v>191.8</v>
      </c>
      <c r="U80" s="4" t="n">
        <f aca="false">O80+L80+R80</f>
        <v>160.55</v>
      </c>
      <c r="V80" s="4" t="n">
        <f aca="false">P80+M80+S80</f>
        <v>324.6</v>
      </c>
      <c r="W80" s="4" t="n">
        <f aca="false">Q80+N80+T80</f>
        <v>757.8</v>
      </c>
      <c r="X80" s="4" t="n">
        <f aca="false">'City Data'!K80</f>
        <v>90</v>
      </c>
      <c r="Y80" s="4" t="n">
        <f aca="false">'City Data'!L80</f>
        <v>220</v>
      </c>
      <c r="Z80" s="4" t="n">
        <f aca="false">'City Data'!M80</f>
        <v>620</v>
      </c>
      <c r="AA80" s="4" t="n">
        <f aca="false">U80-X80</f>
        <v>70.55</v>
      </c>
      <c r="AB80" s="4" t="n">
        <f aca="false">V80-Y80</f>
        <v>104.6</v>
      </c>
      <c r="AC80" s="4" t="n">
        <f aca="false">W80-Z80</f>
        <v>137.8</v>
      </c>
      <c r="AD80" s="4" t="str">
        <f aca="false">IF(OR(AND(X80&lt;&gt;0,ABS(AA80)&gt;Assumptions!$B$18*X80),AND(Y80&lt;&gt;0,ABS(AB80)&gt;Assumptions!$B$18*Y80),AND(Z80&lt;&gt;0,ABS(AC80)&gt;Assumptions!$B$18*Z80)),"REVIEW","")</f>
        <v>REVIEW</v>
      </c>
    </row>
    <row r="81" customFormat="false" ht="15" hidden="false" customHeight="false" outlineLevel="0" collapsed="false">
      <c r="A81" s="0" t="str">
        <f aca="false">'City Data'!A81</f>
        <v>Florence</v>
      </c>
      <c r="B81" s="4" t="n">
        <f aca="false">'City Data'!B81/Assumptions!$B$2</f>
        <v>35</v>
      </c>
      <c r="C81" s="4" t="n">
        <f aca="false">'City Data'!C81/Assumptions!$B$2</f>
        <v>65</v>
      </c>
      <c r="D81" s="4" t="n">
        <f aca="false">'City Data'!D81/Assumptions!$B$2</f>
        <v>160</v>
      </c>
      <c r="E81" s="4" t="n">
        <f aca="false">Assumptions!$B$3*Assumptions!$B$4*'City Data'!E81</f>
        <v>75</v>
      </c>
      <c r="F81" s="4" t="n">
        <f aca="false">Assumptions!$B$3*Assumptions!$B$5*'City Data'!E81</f>
        <v>135</v>
      </c>
      <c r="G81" s="4" t="n">
        <f aca="false">Assumptions!$B$3*Assumptions!$B$6*'City Data'!E81</f>
        <v>262.5</v>
      </c>
      <c r="H81" s="4" t="n">
        <f aca="false">Assumptions!$B$7*'City Data'!F81</f>
        <v>25</v>
      </c>
      <c r="I81" s="4" t="n">
        <f aca="false">Assumptions!$B$8*'City Data'!F81</f>
        <v>50</v>
      </c>
      <c r="J81" s="4" t="n">
        <f aca="false">Assumptions!$B$9*'City Data'!F81</f>
        <v>100</v>
      </c>
      <c r="K81" s="4" t="n">
        <f aca="false">'City Data'!G81+'City Data'!H81</f>
        <v>2.3</v>
      </c>
      <c r="L81" s="4" t="n">
        <f aca="false">IF(AND(Assumptions!$B$13,ISNUMBER('City Data'!I81)),Assumptions!$B$10*'City Data'!I81,0)</f>
        <v>5</v>
      </c>
      <c r="M81" s="4" t="n">
        <f aca="false">IF(AND(Assumptions!$B$13,ISNUMBER('City Data'!I81)),Assumptions!$B$11*'City Data'!I81,0)</f>
        <v>10</v>
      </c>
      <c r="N81" s="4" t="n">
        <f aca="false">IF(AND(Assumptions!$B$13,ISNUMBER('City Data'!I81)),Assumptions!$B$12*'City Data'!I81,0)</f>
        <v>15</v>
      </c>
      <c r="O81" s="4" t="n">
        <f aca="false">B81+E81+H81+K81</f>
        <v>137.3</v>
      </c>
      <c r="P81" s="4" t="n">
        <f aca="false">C81+F81+I81+K81</f>
        <v>252.3</v>
      </c>
      <c r="Q81" s="4" t="n">
        <f aca="false">D81+G81+J81+K81</f>
        <v>524.8</v>
      </c>
      <c r="R81" s="4" t="n">
        <f aca="false">IF(Assumptions!$B$14,Assumptions!$B$15*O81,0)</f>
        <v>13.73</v>
      </c>
      <c r="S81" s="4" t="n">
        <f aca="false">IF(Assumptions!$B$14,Assumptions!$B$16*P81,0)</f>
        <v>50.46</v>
      </c>
      <c r="T81" s="4" t="n">
        <f aca="false">IF(Assumptions!$B$14,Assumptions!$B$17*Q81,0)</f>
        <v>183.68</v>
      </c>
      <c r="U81" s="4" t="n">
        <f aca="false">O81+L81+R81</f>
        <v>156.03</v>
      </c>
      <c r="V81" s="4" t="n">
        <f aca="false">P81+M81+S81</f>
        <v>312.76</v>
      </c>
      <c r="W81" s="4" t="n">
        <f aca="false">Q81+N81+T81</f>
        <v>723.48</v>
      </c>
      <c r="X81" s="4" t="n">
        <f aca="false">'City Data'!K81</f>
        <v>75</v>
      </c>
      <c r="Y81" s="4" t="n">
        <f aca="false">'City Data'!L81</f>
        <v>180</v>
      </c>
      <c r="Z81" s="4" t="n">
        <f aca="false">'City Data'!M81</f>
        <v>500</v>
      </c>
      <c r="AA81" s="4" t="n">
        <f aca="false">U81-X81</f>
        <v>81.03</v>
      </c>
      <c r="AB81" s="4" t="n">
        <f aca="false">V81-Y81</f>
        <v>132.76</v>
      </c>
      <c r="AC81" s="4" t="n">
        <f aca="false">W81-Z81</f>
        <v>223.48</v>
      </c>
      <c r="AD81" s="4" t="str">
        <f aca="false">IF(OR(AND(X81&lt;&gt;0,ABS(AA81)&gt;Assumptions!$B$18*X81),AND(Y81&lt;&gt;0,ABS(AB81)&gt;Assumptions!$B$18*Y81),AND(Z81&lt;&gt;0,ABS(AC81)&gt;Assumptions!$B$18*Z81)),"REVIEW","")</f>
        <v>REVIEW</v>
      </c>
    </row>
    <row r="82" customFormat="false" ht="15" hidden="false" customHeight="false" outlineLevel="0" collapsed="false">
      <c r="A82" s="0" t="str">
        <f aca="false">'City Data'!A82</f>
        <v>Foshan</v>
      </c>
      <c r="B82" s="4" t="n">
        <f aca="false">'City Data'!B82/Assumptions!$B$2</f>
        <v>11</v>
      </c>
      <c r="C82" s="4" t="n">
        <f aca="false">'City Data'!C82/Assumptions!$B$2</f>
        <v>27.5</v>
      </c>
      <c r="D82" s="4" t="n">
        <f aca="false">'City Data'!D82/Assumptions!$B$2</f>
        <v>65</v>
      </c>
      <c r="E82" s="4" t="n">
        <f aca="false">Assumptions!$B$3*Assumptions!$B$4*'City Data'!E82</f>
        <v>18</v>
      </c>
      <c r="F82" s="4" t="n">
        <f aca="false">Assumptions!$B$3*Assumptions!$B$5*'City Data'!E82</f>
        <v>32.4</v>
      </c>
      <c r="G82" s="4" t="n">
        <f aca="false">Assumptions!$B$3*Assumptions!$B$6*'City Data'!E82</f>
        <v>63</v>
      </c>
      <c r="H82" s="4" t="n">
        <f aca="false">Assumptions!$B$7*'City Data'!F82</f>
        <v>3</v>
      </c>
      <c r="I82" s="4" t="n">
        <f aca="false">Assumptions!$B$8*'City Data'!F82</f>
        <v>6</v>
      </c>
      <c r="J82" s="4" t="n">
        <f aca="false">Assumptions!$B$9*'City Data'!F82</f>
        <v>12</v>
      </c>
      <c r="K82" s="4" t="n">
        <f aca="false">'City Data'!G82+'City Data'!H82</f>
        <v>3.9</v>
      </c>
      <c r="L82" s="4" t="n">
        <f aca="false">IF(AND(Assumptions!$B$13,ISNUMBER('City Data'!I82)),Assumptions!$B$10*'City Data'!I82,0)</f>
        <v>1.5</v>
      </c>
      <c r="M82" s="4" t="n">
        <f aca="false">IF(AND(Assumptions!$B$13,ISNUMBER('City Data'!I82)),Assumptions!$B$11*'City Data'!I82,0)</f>
        <v>3</v>
      </c>
      <c r="N82" s="4" t="n">
        <f aca="false">IF(AND(Assumptions!$B$13,ISNUMBER('City Data'!I82)),Assumptions!$B$12*'City Data'!I82,0)</f>
        <v>4.5</v>
      </c>
      <c r="O82" s="4" t="n">
        <f aca="false">B82+E82+H82+K82</f>
        <v>35.9</v>
      </c>
      <c r="P82" s="4" t="n">
        <f aca="false">C82+F82+I82+K82</f>
        <v>69.8</v>
      </c>
      <c r="Q82" s="4" t="n">
        <f aca="false">D82+G82+J82+K82</f>
        <v>143.9</v>
      </c>
      <c r="R82" s="4" t="n">
        <f aca="false">IF(Assumptions!$B$14,Assumptions!$B$15*O82,0)</f>
        <v>3.59</v>
      </c>
      <c r="S82" s="4" t="n">
        <f aca="false">IF(Assumptions!$B$14,Assumptions!$B$16*P82,0)</f>
        <v>13.96</v>
      </c>
      <c r="T82" s="4" t="n">
        <f aca="false">IF(Assumptions!$B$14,Assumptions!$B$17*Q82,0)</f>
        <v>50.365</v>
      </c>
      <c r="U82" s="4" t="n">
        <f aca="false">O82+L82+R82</f>
        <v>40.99</v>
      </c>
      <c r="V82" s="4" t="n">
        <f aca="false">P82+M82+S82</f>
        <v>86.76</v>
      </c>
      <c r="W82" s="4" t="n">
        <f aca="false">Q82+N82+T82</f>
        <v>198.765</v>
      </c>
      <c r="X82" s="4" t="n">
        <f aca="false">'City Data'!K82</f>
        <v>30</v>
      </c>
      <c r="Y82" s="4" t="n">
        <f aca="false">'City Data'!L82</f>
        <v>75</v>
      </c>
      <c r="Z82" s="4" t="n">
        <f aca="false">'City Data'!M82</f>
        <v>220</v>
      </c>
      <c r="AA82" s="4" t="n">
        <f aca="false">U82-X82</f>
        <v>10.99</v>
      </c>
      <c r="AB82" s="4" t="n">
        <f aca="false">V82-Y82</f>
        <v>11.76</v>
      </c>
      <c r="AC82" s="4" t="n">
        <f aca="false">W82-Z82</f>
        <v>-21.235</v>
      </c>
      <c r="AD82" s="4" t="str">
        <f aca="false">IF(OR(AND(X82&lt;&gt;0,ABS(AA82)&gt;Assumptions!$B$18*X82),AND(Y82&lt;&gt;0,ABS(AB82)&gt;Assumptions!$B$18*Y82),AND(Z82&lt;&gt;0,ABS(AC82)&gt;Assumptions!$B$18*Z82)),"REVIEW","")</f>
        <v>REVIEW</v>
      </c>
    </row>
    <row r="83" customFormat="false" ht="15" hidden="false" customHeight="false" outlineLevel="0" collapsed="false">
      <c r="A83" s="0" t="str">
        <f aca="false">'City Data'!A83</f>
        <v>Frankfurt am Main</v>
      </c>
      <c r="B83" s="4" t="n">
        <f aca="false">'City Data'!B83/Assumptions!$B$2</f>
        <v>40</v>
      </c>
      <c r="C83" s="4" t="n">
        <f aca="false">'City Data'!C83/Assumptions!$B$2</f>
        <v>70</v>
      </c>
      <c r="D83" s="4" t="n">
        <f aca="false">'City Data'!D83/Assumptions!$B$2</f>
        <v>175</v>
      </c>
      <c r="E83" s="4" t="n">
        <f aca="false">Assumptions!$B$3*Assumptions!$B$4*'City Data'!E83</f>
        <v>66</v>
      </c>
      <c r="F83" s="4" t="n">
        <f aca="false">Assumptions!$B$3*Assumptions!$B$5*'City Data'!E83</f>
        <v>118.8</v>
      </c>
      <c r="G83" s="4" t="n">
        <f aca="false">Assumptions!$B$3*Assumptions!$B$6*'City Data'!E83</f>
        <v>231</v>
      </c>
      <c r="H83" s="4" t="n">
        <f aca="false">Assumptions!$B$7*'City Data'!F83</f>
        <v>30</v>
      </c>
      <c r="I83" s="4" t="n">
        <f aca="false">Assumptions!$B$8*'City Data'!F83</f>
        <v>60</v>
      </c>
      <c r="J83" s="4" t="n">
        <f aca="false">Assumptions!$B$9*'City Data'!F83</f>
        <v>120</v>
      </c>
      <c r="K83" s="4" t="n">
        <f aca="false">'City Data'!G83+'City Data'!H83</f>
        <v>6.5</v>
      </c>
      <c r="L83" s="4" t="n">
        <f aca="false">IF(AND(Assumptions!$B$13,ISNUMBER('City Data'!I83)),Assumptions!$B$10*'City Data'!I83,0)</f>
        <v>4.5</v>
      </c>
      <c r="M83" s="4" t="n">
        <f aca="false">IF(AND(Assumptions!$B$13,ISNUMBER('City Data'!I83)),Assumptions!$B$11*'City Data'!I83,0)</f>
        <v>9</v>
      </c>
      <c r="N83" s="4" t="n">
        <f aca="false">IF(AND(Assumptions!$B$13,ISNUMBER('City Data'!I83)),Assumptions!$B$12*'City Data'!I83,0)</f>
        <v>13.5</v>
      </c>
      <c r="O83" s="4" t="n">
        <f aca="false">B83+E83+H83+K83</f>
        <v>142.5</v>
      </c>
      <c r="P83" s="4" t="n">
        <f aca="false">C83+F83+I83+K83</f>
        <v>255.3</v>
      </c>
      <c r="Q83" s="4" t="n">
        <f aca="false">D83+G83+J83+K83</f>
        <v>532.5</v>
      </c>
      <c r="R83" s="4" t="n">
        <f aca="false">IF(Assumptions!$B$14,Assumptions!$B$15*O83,0)</f>
        <v>14.25</v>
      </c>
      <c r="S83" s="4" t="n">
        <f aca="false">IF(Assumptions!$B$14,Assumptions!$B$16*P83,0)</f>
        <v>51.06</v>
      </c>
      <c r="T83" s="4" t="n">
        <f aca="false">IF(Assumptions!$B$14,Assumptions!$B$17*Q83,0)</f>
        <v>186.375</v>
      </c>
      <c r="U83" s="4" t="n">
        <f aca="false">O83+L83+R83</f>
        <v>161.25</v>
      </c>
      <c r="V83" s="4" t="n">
        <f aca="false">P83+M83+S83</f>
        <v>315.36</v>
      </c>
      <c r="W83" s="4" t="n">
        <f aca="false">Q83+N83+T83</f>
        <v>732.375</v>
      </c>
      <c r="X83" s="4" t="n">
        <f aca="false">'City Data'!K83</f>
        <v>80</v>
      </c>
      <c r="Y83" s="4" t="n">
        <f aca="false">'City Data'!L83</f>
        <v>195</v>
      </c>
      <c r="Z83" s="4" t="n">
        <f aca="false">'City Data'!M83</f>
        <v>540</v>
      </c>
      <c r="AA83" s="4" t="n">
        <f aca="false">U83-X83</f>
        <v>81.25</v>
      </c>
      <c r="AB83" s="4" t="n">
        <f aca="false">V83-Y83</f>
        <v>120.36</v>
      </c>
      <c r="AC83" s="4" t="n">
        <f aca="false">W83-Z83</f>
        <v>192.375</v>
      </c>
      <c r="AD83" s="4" t="str">
        <f aca="false">IF(OR(AND(X83&lt;&gt;0,ABS(AA83)&gt;Assumptions!$B$18*X83),AND(Y83&lt;&gt;0,ABS(AB83)&gt;Assumptions!$B$18*Y83),AND(Z83&lt;&gt;0,ABS(AC83)&gt;Assumptions!$B$18*Z83)),"REVIEW","")</f>
        <v>REVIEW</v>
      </c>
    </row>
    <row r="84" customFormat="false" ht="15" hidden="false" customHeight="false" outlineLevel="0" collapsed="false">
      <c r="A84" s="0" t="str">
        <f aca="false">'City Data'!A84</f>
        <v>Freetown</v>
      </c>
      <c r="B84" s="4" t="n">
        <f aca="false">'City Data'!B84/Assumptions!$B$2</f>
        <v>12.5</v>
      </c>
      <c r="C84" s="4" t="n">
        <f aca="false">'City Data'!C84/Assumptions!$B$2</f>
        <v>45</v>
      </c>
      <c r="D84" s="4" t="n">
        <f aca="false">'City Data'!D84/Assumptions!$B$2</f>
        <v>90</v>
      </c>
      <c r="E84" s="4" t="n">
        <f aca="false">Assumptions!$B$3*Assumptions!$B$4*'City Data'!E84</f>
        <v>36</v>
      </c>
      <c r="F84" s="4" t="n">
        <f aca="false">Assumptions!$B$3*Assumptions!$B$5*'City Data'!E84</f>
        <v>64.8</v>
      </c>
      <c r="G84" s="4" t="n">
        <f aca="false">Assumptions!$B$3*Assumptions!$B$6*'City Data'!E84</f>
        <v>126</v>
      </c>
      <c r="H84" s="4" t="n">
        <f aca="false">Assumptions!$B$7*'City Data'!F84</f>
        <v>4</v>
      </c>
      <c r="I84" s="4" t="n">
        <f aca="false">Assumptions!$B$8*'City Data'!F84</f>
        <v>8</v>
      </c>
      <c r="J84" s="4" t="n">
        <f aca="false">Assumptions!$B$9*'City Data'!F84</f>
        <v>16</v>
      </c>
      <c r="K84" s="4" t="n">
        <f aca="false">'City Data'!G84+'City Data'!H84</f>
        <v>4</v>
      </c>
      <c r="L84" s="4" t="n">
        <f aca="false">IF(AND(Assumptions!$B$13,ISNUMBER('City Data'!I84)),Assumptions!$B$10*'City Data'!I84,0)</f>
        <v>3</v>
      </c>
      <c r="M84" s="4" t="n">
        <f aca="false">IF(AND(Assumptions!$B$13,ISNUMBER('City Data'!I84)),Assumptions!$B$11*'City Data'!I84,0)</f>
        <v>6</v>
      </c>
      <c r="N84" s="4" t="n">
        <f aca="false">IF(AND(Assumptions!$B$13,ISNUMBER('City Data'!I84)),Assumptions!$B$12*'City Data'!I84,0)</f>
        <v>9</v>
      </c>
      <c r="O84" s="4" t="n">
        <f aca="false">B84+E84+H84+K84</f>
        <v>56.5</v>
      </c>
      <c r="P84" s="4" t="n">
        <f aca="false">C84+F84+I84+K84</f>
        <v>121.8</v>
      </c>
      <c r="Q84" s="4" t="n">
        <f aca="false">D84+G84+J84+K84</f>
        <v>236</v>
      </c>
      <c r="R84" s="4" t="n">
        <f aca="false">IF(Assumptions!$B$14,Assumptions!$B$15*O84,0)</f>
        <v>5.65</v>
      </c>
      <c r="S84" s="4" t="n">
        <f aca="false">IF(Assumptions!$B$14,Assumptions!$B$16*P84,0)</f>
        <v>24.36</v>
      </c>
      <c r="T84" s="4" t="n">
        <f aca="false">IF(Assumptions!$B$14,Assumptions!$B$17*Q84,0)</f>
        <v>82.6</v>
      </c>
      <c r="U84" s="4" t="n">
        <f aca="false">O84+L84+R84</f>
        <v>65.15</v>
      </c>
      <c r="V84" s="4" t="n">
        <f aca="false">P84+M84+S84</f>
        <v>152.16</v>
      </c>
      <c r="W84" s="4" t="n">
        <f aca="false">Q84+N84+T84</f>
        <v>327.6</v>
      </c>
      <c r="X84" s="4" t="n">
        <f aca="false">'City Data'!K84</f>
        <v>40</v>
      </c>
      <c r="Y84" s="4" t="n">
        <f aca="false">'City Data'!L84</f>
        <v>100</v>
      </c>
      <c r="Z84" s="4" t="n">
        <f aca="false">'City Data'!M84</f>
        <v>295</v>
      </c>
      <c r="AA84" s="4" t="n">
        <f aca="false">U84-X84</f>
        <v>25.15</v>
      </c>
      <c r="AB84" s="4" t="n">
        <f aca="false">V84-Y84</f>
        <v>52.16</v>
      </c>
      <c r="AC84" s="4" t="n">
        <f aca="false">W84-Z84</f>
        <v>32.6</v>
      </c>
      <c r="AD84" s="4" t="str">
        <f aca="false">IF(OR(AND(X84&lt;&gt;0,ABS(AA84)&gt;Assumptions!$B$18*X84),AND(Y84&lt;&gt;0,ABS(AB84)&gt;Assumptions!$B$18*Y84),AND(Z84&lt;&gt;0,ABS(AC84)&gt;Assumptions!$B$18*Z84)),"REVIEW","")</f>
        <v>REVIEW</v>
      </c>
    </row>
    <row r="85" customFormat="false" ht="15" hidden="false" customHeight="false" outlineLevel="0" collapsed="false">
      <c r="A85" s="0" t="str">
        <f aca="false">'City Data'!A85</f>
        <v>Fukuoka</v>
      </c>
      <c r="B85" s="4" t="n">
        <f aca="false">'City Data'!B85/Assumptions!$B$2</f>
        <v>22.5</v>
      </c>
      <c r="C85" s="4" t="n">
        <f aca="false">'City Data'!C85/Assumptions!$B$2</f>
        <v>45</v>
      </c>
      <c r="D85" s="4" t="n">
        <f aca="false">'City Data'!D85/Assumptions!$B$2</f>
        <v>125</v>
      </c>
      <c r="E85" s="4" t="n">
        <f aca="false">Assumptions!$B$3*Assumptions!$B$4*'City Data'!E85</f>
        <v>45</v>
      </c>
      <c r="F85" s="4" t="n">
        <f aca="false">Assumptions!$B$3*Assumptions!$B$5*'City Data'!E85</f>
        <v>81</v>
      </c>
      <c r="G85" s="4" t="n">
        <f aca="false">Assumptions!$B$3*Assumptions!$B$6*'City Data'!E85</f>
        <v>157.5</v>
      </c>
      <c r="H85" s="4" t="n">
        <f aca="false">Assumptions!$B$7*'City Data'!F85</f>
        <v>20</v>
      </c>
      <c r="I85" s="4" t="n">
        <f aca="false">Assumptions!$B$8*'City Data'!F85</f>
        <v>40</v>
      </c>
      <c r="J85" s="4" t="n">
        <f aca="false">Assumptions!$B$9*'City Data'!F85</f>
        <v>80</v>
      </c>
      <c r="K85" s="4" t="n">
        <f aca="false">'City Data'!G85+'City Data'!H85</f>
        <v>5.5</v>
      </c>
      <c r="L85" s="4" t="n">
        <f aca="false">IF(AND(Assumptions!$B$13,ISNUMBER('City Data'!I85)),Assumptions!$B$10*'City Data'!I85,0)</f>
        <v>5</v>
      </c>
      <c r="M85" s="4" t="n">
        <f aca="false">IF(AND(Assumptions!$B$13,ISNUMBER('City Data'!I85)),Assumptions!$B$11*'City Data'!I85,0)</f>
        <v>10</v>
      </c>
      <c r="N85" s="4" t="n">
        <f aca="false">IF(AND(Assumptions!$B$13,ISNUMBER('City Data'!I85)),Assumptions!$B$12*'City Data'!I85,0)</f>
        <v>15</v>
      </c>
      <c r="O85" s="4" t="n">
        <f aca="false">B85+E85+H85+K85</f>
        <v>93</v>
      </c>
      <c r="P85" s="4" t="n">
        <f aca="false">C85+F85+I85+K85</f>
        <v>171.5</v>
      </c>
      <c r="Q85" s="4" t="n">
        <f aca="false">D85+G85+J85+K85</f>
        <v>368</v>
      </c>
      <c r="R85" s="4" t="n">
        <f aca="false">IF(Assumptions!$B$14,Assumptions!$B$15*O85,0)</f>
        <v>9.3</v>
      </c>
      <c r="S85" s="4" t="n">
        <f aca="false">IF(Assumptions!$B$14,Assumptions!$B$16*P85,0)</f>
        <v>34.3</v>
      </c>
      <c r="T85" s="4" t="n">
        <f aca="false">IF(Assumptions!$B$14,Assumptions!$B$17*Q85,0)</f>
        <v>128.8</v>
      </c>
      <c r="U85" s="4" t="n">
        <f aca="false">O85+L85+R85</f>
        <v>107.3</v>
      </c>
      <c r="V85" s="4" t="n">
        <f aca="false">P85+M85+S85</f>
        <v>215.8</v>
      </c>
      <c r="W85" s="4" t="n">
        <f aca="false">Q85+N85+T85</f>
        <v>511.8</v>
      </c>
      <c r="X85" s="4" t="n">
        <f aca="false">'City Data'!K85</f>
        <v>60</v>
      </c>
      <c r="Y85" s="4" t="n">
        <f aca="false">'City Data'!L85</f>
        <v>140</v>
      </c>
      <c r="Z85" s="4" t="n">
        <f aca="false">'City Data'!M85</f>
        <v>380</v>
      </c>
      <c r="AA85" s="4" t="n">
        <f aca="false">U85-X85</f>
        <v>47.3</v>
      </c>
      <c r="AB85" s="4" t="n">
        <f aca="false">V85-Y85</f>
        <v>75.8</v>
      </c>
      <c r="AC85" s="4" t="n">
        <f aca="false">W85-Z85</f>
        <v>131.8</v>
      </c>
      <c r="AD85" s="4" t="str">
        <f aca="false">IF(OR(AND(X85&lt;&gt;0,ABS(AA85)&gt;Assumptions!$B$18*X85),AND(Y85&lt;&gt;0,ABS(AB85)&gt;Assumptions!$B$18*Y85),AND(Z85&lt;&gt;0,ABS(AC85)&gt;Assumptions!$B$18*Z85)),"REVIEW","")</f>
        <v>REVIEW</v>
      </c>
    </row>
    <row r="86" customFormat="false" ht="15" hidden="false" customHeight="false" outlineLevel="0" collapsed="false">
      <c r="A86" s="0" t="str">
        <f aca="false">'City Data'!A86</f>
        <v>Funafuti</v>
      </c>
      <c r="B86" s="4" t="n">
        <f aca="false">'City Data'!B86/Assumptions!$B$2</f>
        <v>22.5</v>
      </c>
      <c r="C86" s="4" t="n">
        <f aca="false">'City Data'!C86/Assumptions!$B$2</f>
        <v>40</v>
      </c>
      <c r="D86" s="4" t="n">
        <f aca="false">'City Data'!D86/Assumptions!$B$2</f>
        <v>90</v>
      </c>
      <c r="E86" s="4" t="n">
        <f aca="false">Assumptions!$B$3*Assumptions!$B$4*'City Data'!E86</f>
        <v>45</v>
      </c>
      <c r="F86" s="4" t="n">
        <f aca="false">Assumptions!$B$3*Assumptions!$B$5*'City Data'!E86</f>
        <v>81</v>
      </c>
      <c r="G86" s="4" t="n">
        <f aca="false">Assumptions!$B$3*Assumptions!$B$6*'City Data'!E86</f>
        <v>157.5</v>
      </c>
      <c r="H86" s="4" t="n">
        <f aca="false">Assumptions!$B$7*'City Data'!F86</f>
        <v>5</v>
      </c>
      <c r="I86" s="4" t="n">
        <f aca="false">Assumptions!$B$8*'City Data'!F86</f>
        <v>10</v>
      </c>
      <c r="J86" s="4" t="n">
        <f aca="false">Assumptions!$B$9*'City Data'!F86</f>
        <v>20</v>
      </c>
      <c r="K86" s="4" t="n">
        <f aca="false">'City Data'!G86+'City Data'!H86</f>
        <v>5</v>
      </c>
      <c r="L86" s="4" t="n">
        <f aca="false">IF(AND(Assumptions!$B$13,ISNUMBER('City Data'!I86)),Assumptions!$B$10*'City Data'!I86,0)</f>
        <v>5</v>
      </c>
      <c r="M86" s="4" t="n">
        <f aca="false">IF(AND(Assumptions!$B$13,ISNUMBER('City Data'!I86)),Assumptions!$B$11*'City Data'!I86,0)</f>
        <v>10</v>
      </c>
      <c r="N86" s="4" t="n">
        <f aca="false">IF(AND(Assumptions!$B$13,ISNUMBER('City Data'!I86)),Assumptions!$B$12*'City Data'!I86,0)</f>
        <v>15</v>
      </c>
      <c r="O86" s="4" t="n">
        <f aca="false">B86+E86+H86+K86</f>
        <v>77.5</v>
      </c>
      <c r="P86" s="4" t="n">
        <f aca="false">C86+F86+I86+K86</f>
        <v>136</v>
      </c>
      <c r="Q86" s="4" t="n">
        <f aca="false">D86+G86+J86+K86</f>
        <v>272.5</v>
      </c>
      <c r="R86" s="4" t="n">
        <f aca="false">IF(Assumptions!$B$14,Assumptions!$B$15*O86,0)</f>
        <v>7.75</v>
      </c>
      <c r="S86" s="4" t="n">
        <f aca="false">IF(Assumptions!$B$14,Assumptions!$B$16*P86,0)</f>
        <v>27.2</v>
      </c>
      <c r="T86" s="4" t="n">
        <f aca="false">IF(Assumptions!$B$14,Assumptions!$B$17*Q86,0)</f>
        <v>95.375</v>
      </c>
      <c r="U86" s="4" t="n">
        <f aca="false">O86+L86+R86</f>
        <v>90.25</v>
      </c>
      <c r="V86" s="4" t="n">
        <f aca="false">P86+M86+S86</f>
        <v>173.2</v>
      </c>
      <c r="W86" s="4" t="n">
        <f aca="false">Q86+N86+T86</f>
        <v>382.875</v>
      </c>
      <c r="X86" s="4" t="n">
        <f aca="false">'City Data'!K86</f>
        <v>50</v>
      </c>
      <c r="Y86" s="4" t="n">
        <f aca="false">'City Data'!L86</f>
        <v>120</v>
      </c>
      <c r="Z86" s="4" t="n">
        <f aca="false">'City Data'!M86</f>
        <v>350</v>
      </c>
      <c r="AA86" s="4" t="n">
        <f aca="false">U86-X86</f>
        <v>40.25</v>
      </c>
      <c r="AB86" s="4" t="n">
        <f aca="false">V86-Y86</f>
        <v>53.2</v>
      </c>
      <c r="AC86" s="4" t="n">
        <f aca="false">W86-Z86</f>
        <v>32.875</v>
      </c>
      <c r="AD86" s="4" t="str">
        <f aca="false">IF(OR(AND(X86&lt;&gt;0,ABS(AA86)&gt;Assumptions!$B$18*X86),AND(Y86&lt;&gt;0,ABS(AB86)&gt;Assumptions!$B$18*Y86),AND(Z86&lt;&gt;0,ABS(AC86)&gt;Assumptions!$B$18*Z86)),"REVIEW","")</f>
        <v>REVIEW</v>
      </c>
    </row>
    <row r="87" customFormat="false" ht="15" hidden="false" customHeight="false" outlineLevel="0" collapsed="false">
      <c r="A87" s="0" t="str">
        <f aca="false">'City Data'!A87</f>
        <v>Gaborone</v>
      </c>
      <c r="B87" s="4" t="n">
        <f aca="false">'City Data'!B87/Assumptions!$B$2</f>
        <v>12.5</v>
      </c>
      <c r="C87" s="4" t="n">
        <f aca="false">'City Data'!C87/Assumptions!$B$2</f>
        <v>47.5</v>
      </c>
      <c r="D87" s="4" t="n">
        <f aca="false">'City Data'!D87/Assumptions!$B$2</f>
        <v>90</v>
      </c>
      <c r="E87" s="4" t="n">
        <f aca="false">Assumptions!$B$3*Assumptions!$B$4*'City Data'!E87</f>
        <v>45</v>
      </c>
      <c r="F87" s="4" t="n">
        <f aca="false">Assumptions!$B$3*Assumptions!$B$5*'City Data'!E87</f>
        <v>81</v>
      </c>
      <c r="G87" s="4" t="n">
        <f aca="false">Assumptions!$B$3*Assumptions!$B$6*'City Data'!E87</f>
        <v>157.5</v>
      </c>
      <c r="H87" s="4" t="n">
        <f aca="false">Assumptions!$B$7*'City Data'!F87</f>
        <v>8</v>
      </c>
      <c r="I87" s="4" t="n">
        <f aca="false">Assumptions!$B$8*'City Data'!F87</f>
        <v>16</v>
      </c>
      <c r="J87" s="4" t="n">
        <f aca="false">Assumptions!$B$9*'City Data'!F87</f>
        <v>32</v>
      </c>
      <c r="K87" s="4" t="n">
        <f aca="false">'City Data'!G87+'City Data'!H87</f>
        <v>3.5</v>
      </c>
      <c r="L87" s="4" t="n">
        <f aca="false">IF(AND(Assumptions!$B$13,ISNUMBER('City Data'!I87)),Assumptions!$B$10*'City Data'!I87,0)</f>
        <v>2.5</v>
      </c>
      <c r="M87" s="4" t="n">
        <f aca="false">IF(AND(Assumptions!$B$13,ISNUMBER('City Data'!I87)),Assumptions!$B$11*'City Data'!I87,0)</f>
        <v>5</v>
      </c>
      <c r="N87" s="4" t="n">
        <f aca="false">IF(AND(Assumptions!$B$13,ISNUMBER('City Data'!I87)),Assumptions!$B$12*'City Data'!I87,0)</f>
        <v>7.5</v>
      </c>
      <c r="O87" s="4" t="n">
        <f aca="false">B87+E87+H87+K87</f>
        <v>69</v>
      </c>
      <c r="P87" s="4" t="n">
        <f aca="false">C87+F87+I87+K87</f>
        <v>148</v>
      </c>
      <c r="Q87" s="4" t="n">
        <f aca="false">D87+G87+J87+K87</f>
        <v>283</v>
      </c>
      <c r="R87" s="4" t="n">
        <f aca="false">IF(Assumptions!$B$14,Assumptions!$B$15*O87,0)</f>
        <v>6.9</v>
      </c>
      <c r="S87" s="4" t="n">
        <f aca="false">IF(Assumptions!$B$14,Assumptions!$B$16*P87,0)</f>
        <v>29.6</v>
      </c>
      <c r="T87" s="4" t="n">
        <f aca="false">IF(Assumptions!$B$14,Assumptions!$B$17*Q87,0)</f>
        <v>99.05</v>
      </c>
      <c r="U87" s="4" t="n">
        <f aca="false">O87+L87+R87</f>
        <v>78.4</v>
      </c>
      <c r="V87" s="4" t="n">
        <f aca="false">P87+M87+S87</f>
        <v>182.6</v>
      </c>
      <c r="W87" s="4" t="n">
        <f aca="false">Q87+N87+T87</f>
        <v>389.55</v>
      </c>
      <c r="X87" s="4" t="n">
        <f aca="false">'City Data'!K87</f>
        <v>45</v>
      </c>
      <c r="Y87" s="4" t="n">
        <f aca="false">'City Data'!L87</f>
        <v>110</v>
      </c>
      <c r="Z87" s="4" t="n">
        <f aca="false">'City Data'!M87</f>
        <v>320</v>
      </c>
      <c r="AA87" s="4" t="n">
        <f aca="false">U87-X87</f>
        <v>33.4</v>
      </c>
      <c r="AB87" s="4" t="n">
        <f aca="false">V87-Y87</f>
        <v>72.6</v>
      </c>
      <c r="AC87" s="4" t="n">
        <f aca="false">W87-Z87</f>
        <v>69.55</v>
      </c>
      <c r="AD87" s="4" t="str">
        <f aca="false">IF(OR(AND(X87&lt;&gt;0,ABS(AA87)&gt;Assumptions!$B$18*X87),AND(Y87&lt;&gt;0,ABS(AB87)&gt;Assumptions!$B$18*Y87),AND(Z87&lt;&gt;0,ABS(AC87)&gt;Assumptions!$B$18*Z87)),"REVIEW","")</f>
        <v>REVIEW</v>
      </c>
    </row>
    <row r="88" customFormat="false" ht="15" hidden="false" customHeight="false" outlineLevel="0" collapsed="false">
      <c r="A88" s="0" t="str">
        <f aca="false">'City Data'!A88</f>
        <v>Georgetown</v>
      </c>
      <c r="B88" s="4" t="n">
        <f aca="false">'City Data'!B88/Assumptions!$B$2</f>
        <v>22.5</v>
      </c>
      <c r="C88" s="4" t="n">
        <f aca="false">'City Data'!C88/Assumptions!$B$2</f>
        <v>45</v>
      </c>
      <c r="D88" s="4" t="n">
        <f aca="false">'City Data'!D88/Assumptions!$B$2</f>
        <v>110</v>
      </c>
      <c r="E88" s="4" t="n">
        <f aca="false">Assumptions!$B$3*Assumptions!$B$4*'City Data'!E88</f>
        <v>45</v>
      </c>
      <c r="F88" s="4" t="n">
        <f aca="false">Assumptions!$B$3*Assumptions!$B$5*'City Data'!E88</f>
        <v>81</v>
      </c>
      <c r="G88" s="4" t="n">
        <f aca="false">Assumptions!$B$3*Assumptions!$B$6*'City Data'!E88</f>
        <v>157.5</v>
      </c>
      <c r="H88" s="4" t="n">
        <f aca="false">Assumptions!$B$7*'City Data'!F88</f>
        <v>6</v>
      </c>
      <c r="I88" s="4" t="n">
        <f aca="false">Assumptions!$B$8*'City Data'!F88</f>
        <v>12</v>
      </c>
      <c r="J88" s="4" t="n">
        <f aca="false">Assumptions!$B$9*'City Data'!F88</f>
        <v>24</v>
      </c>
      <c r="K88" s="4" t="n">
        <f aca="false">'City Data'!G88+'City Data'!H88</f>
        <v>3.5</v>
      </c>
      <c r="L88" s="4" t="n">
        <f aca="false">IF(AND(Assumptions!$B$13,ISNUMBER('City Data'!I88)),Assumptions!$B$10*'City Data'!I88,0)</f>
        <v>2.5</v>
      </c>
      <c r="M88" s="4" t="n">
        <f aca="false">IF(AND(Assumptions!$B$13,ISNUMBER('City Data'!I88)),Assumptions!$B$11*'City Data'!I88,0)</f>
        <v>5</v>
      </c>
      <c r="N88" s="4" t="n">
        <f aca="false">IF(AND(Assumptions!$B$13,ISNUMBER('City Data'!I88)),Assumptions!$B$12*'City Data'!I88,0)</f>
        <v>7.5</v>
      </c>
      <c r="O88" s="4" t="n">
        <f aca="false">B88+E88+H88+K88</f>
        <v>77</v>
      </c>
      <c r="P88" s="4" t="n">
        <f aca="false">C88+F88+I88+K88</f>
        <v>141.5</v>
      </c>
      <c r="Q88" s="4" t="n">
        <f aca="false">D88+G88+J88+K88</f>
        <v>295</v>
      </c>
      <c r="R88" s="4" t="n">
        <f aca="false">IF(Assumptions!$B$14,Assumptions!$B$15*O88,0)</f>
        <v>7.7</v>
      </c>
      <c r="S88" s="4" t="n">
        <f aca="false">IF(Assumptions!$B$14,Assumptions!$B$16*P88,0)</f>
        <v>28.3</v>
      </c>
      <c r="T88" s="4" t="n">
        <f aca="false">IF(Assumptions!$B$14,Assumptions!$B$17*Q88,0)</f>
        <v>103.25</v>
      </c>
      <c r="U88" s="4" t="n">
        <f aca="false">O88+L88+R88</f>
        <v>87.2</v>
      </c>
      <c r="V88" s="4" t="n">
        <f aca="false">P88+M88+S88</f>
        <v>174.8</v>
      </c>
      <c r="W88" s="4" t="n">
        <f aca="false">Q88+N88+T88</f>
        <v>405.75</v>
      </c>
      <c r="X88" s="4" t="n">
        <f aca="false">'City Data'!K88</f>
        <v>50</v>
      </c>
      <c r="Y88" s="4" t="n">
        <f aca="false">'City Data'!L88</f>
        <v>125</v>
      </c>
      <c r="Z88" s="4" t="n">
        <f aca="false">'City Data'!M88</f>
        <v>365</v>
      </c>
      <c r="AA88" s="4" t="n">
        <f aca="false">U88-X88</f>
        <v>37.2</v>
      </c>
      <c r="AB88" s="4" t="n">
        <f aca="false">V88-Y88</f>
        <v>49.8</v>
      </c>
      <c r="AC88" s="4" t="n">
        <f aca="false">W88-Z88</f>
        <v>40.75</v>
      </c>
      <c r="AD88" s="4" t="str">
        <f aca="false">IF(OR(AND(X88&lt;&gt;0,ABS(AA88)&gt;Assumptions!$B$18*X88),AND(Y88&lt;&gt;0,ABS(AB88)&gt;Assumptions!$B$18*Y88),AND(Z88&lt;&gt;0,ABS(AC88)&gt;Assumptions!$B$18*Z88)),"REVIEW","")</f>
        <v>REVIEW</v>
      </c>
    </row>
    <row r="89" customFormat="false" ht="15" hidden="false" customHeight="false" outlineLevel="0" collapsed="false">
      <c r="A89" s="0" t="str">
        <f aca="false">'City Data'!A89</f>
        <v>Guangzhou</v>
      </c>
      <c r="B89" s="4" t="n">
        <f aca="false">'City Data'!B89/Assumptions!$B$2</f>
        <v>15</v>
      </c>
      <c r="C89" s="4" t="n">
        <f aca="false">'City Data'!C89/Assumptions!$B$2</f>
        <v>35</v>
      </c>
      <c r="D89" s="4" t="n">
        <f aca="false">'City Data'!D89/Assumptions!$B$2</f>
        <v>100</v>
      </c>
      <c r="E89" s="4" t="n">
        <f aca="false">Assumptions!$B$3*Assumptions!$B$4*'City Data'!E89</f>
        <v>36</v>
      </c>
      <c r="F89" s="4" t="n">
        <f aca="false">Assumptions!$B$3*Assumptions!$B$5*'City Data'!E89</f>
        <v>64.8</v>
      </c>
      <c r="G89" s="4" t="n">
        <f aca="false">Assumptions!$B$3*Assumptions!$B$6*'City Data'!E89</f>
        <v>126</v>
      </c>
      <c r="H89" s="4" t="n">
        <f aca="false">Assumptions!$B$7*'City Data'!F89</f>
        <v>8</v>
      </c>
      <c r="I89" s="4" t="n">
        <f aca="false">Assumptions!$B$8*'City Data'!F89</f>
        <v>16</v>
      </c>
      <c r="J89" s="4" t="n">
        <f aca="false">Assumptions!$B$9*'City Data'!F89</f>
        <v>32</v>
      </c>
      <c r="K89" s="4" t="n">
        <f aca="false">'City Data'!G89+'City Data'!H89</f>
        <v>4.5</v>
      </c>
      <c r="L89" s="4" t="n">
        <f aca="false">IF(AND(Assumptions!$B$13,ISNUMBER('City Data'!I89)),Assumptions!$B$10*'City Data'!I89,0)</f>
        <v>3</v>
      </c>
      <c r="M89" s="4" t="n">
        <f aca="false">IF(AND(Assumptions!$B$13,ISNUMBER('City Data'!I89)),Assumptions!$B$11*'City Data'!I89,0)</f>
        <v>6</v>
      </c>
      <c r="N89" s="4" t="n">
        <f aca="false">IF(AND(Assumptions!$B$13,ISNUMBER('City Data'!I89)),Assumptions!$B$12*'City Data'!I89,0)</f>
        <v>9</v>
      </c>
      <c r="O89" s="4" t="n">
        <f aca="false">B89+E89+H89+K89</f>
        <v>63.5</v>
      </c>
      <c r="P89" s="4" t="n">
        <f aca="false">C89+F89+I89+K89</f>
        <v>120.3</v>
      </c>
      <c r="Q89" s="4" t="n">
        <f aca="false">D89+G89+J89+K89</f>
        <v>262.5</v>
      </c>
      <c r="R89" s="4" t="n">
        <f aca="false">IF(Assumptions!$B$14,Assumptions!$B$15*O89,0)</f>
        <v>6.35</v>
      </c>
      <c r="S89" s="4" t="n">
        <f aca="false">IF(Assumptions!$B$14,Assumptions!$B$16*P89,0)</f>
        <v>24.06</v>
      </c>
      <c r="T89" s="4" t="n">
        <f aca="false">IF(Assumptions!$B$14,Assumptions!$B$17*Q89,0)</f>
        <v>91.875</v>
      </c>
      <c r="U89" s="4" t="n">
        <f aca="false">O89+L89+R89</f>
        <v>72.85</v>
      </c>
      <c r="V89" s="4" t="n">
        <f aca="false">P89+M89+S89</f>
        <v>150.36</v>
      </c>
      <c r="W89" s="4" t="n">
        <f aca="false">Q89+N89+T89</f>
        <v>363.375</v>
      </c>
      <c r="X89" s="4" t="n">
        <f aca="false">'City Data'!K89</f>
        <v>50</v>
      </c>
      <c r="Y89" s="4" t="n">
        <f aca="false">'City Data'!L89</f>
        <v>125</v>
      </c>
      <c r="Z89" s="4" t="n">
        <f aca="false">'City Data'!M89</f>
        <v>350</v>
      </c>
      <c r="AA89" s="4" t="n">
        <f aca="false">U89-X89</f>
        <v>22.85</v>
      </c>
      <c r="AB89" s="4" t="n">
        <f aca="false">V89-Y89</f>
        <v>25.36</v>
      </c>
      <c r="AC89" s="4" t="n">
        <f aca="false">W89-Z89</f>
        <v>13.375</v>
      </c>
      <c r="AD89" s="4" t="str">
        <f aca="false">IF(OR(AND(X89&lt;&gt;0,ABS(AA89)&gt;Assumptions!$B$18*X89),AND(Y89&lt;&gt;0,ABS(AB89)&gt;Assumptions!$B$18*Y89),AND(Z89&lt;&gt;0,ABS(AC89)&gt;Assumptions!$B$18*Z89)),"REVIEW","")</f>
        <v>REVIEW</v>
      </c>
    </row>
    <row r="90" customFormat="false" ht="15" hidden="false" customHeight="false" outlineLevel="0" collapsed="false">
      <c r="A90" s="0" t="str">
        <f aca="false">'City Data'!A90</f>
        <v>Guatemala City</v>
      </c>
      <c r="B90" s="4" t="n">
        <f aca="false">'City Data'!B90/Assumptions!$B$2</f>
        <v>10</v>
      </c>
      <c r="C90" s="4" t="n">
        <f aca="false">'City Data'!C90/Assumptions!$B$2</f>
        <v>35</v>
      </c>
      <c r="D90" s="4" t="n">
        <f aca="false">'City Data'!D90/Assumptions!$B$2</f>
        <v>100</v>
      </c>
      <c r="E90" s="4" t="n">
        <f aca="false">Assumptions!$B$3*Assumptions!$B$4*'City Data'!E90</f>
        <v>30</v>
      </c>
      <c r="F90" s="4" t="n">
        <f aca="false">Assumptions!$B$3*Assumptions!$B$5*'City Data'!E90</f>
        <v>54</v>
      </c>
      <c r="G90" s="4" t="n">
        <f aca="false">Assumptions!$B$3*Assumptions!$B$6*'City Data'!E90</f>
        <v>105</v>
      </c>
      <c r="H90" s="4" t="n">
        <f aca="false">Assumptions!$B$7*'City Data'!F90</f>
        <v>6</v>
      </c>
      <c r="I90" s="4" t="n">
        <f aca="false">Assumptions!$B$8*'City Data'!F90</f>
        <v>12</v>
      </c>
      <c r="J90" s="4" t="n">
        <f aca="false">Assumptions!$B$9*'City Data'!F90</f>
        <v>24</v>
      </c>
      <c r="K90" s="4" t="n">
        <f aca="false">'City Data'!G90+'City Data'!H90</f>
        <v>4.6</v>
      </c>
      <c r="L90" s="4" t="n">
        <f aca="false">IF(AND(Assumptions!$B$13,ISNUMBER('City Data'!I90)),Assumptions!$B$10*'City Data'!I90,0)</f>
        <v>1.8</v>
      </c>
      <c r="M90" s="4" t="n">
        <f aca="false">IF(AND(Assumptions!$B$13,ISNUMBER('City Data'!I90)),Assumptions!$B$11*'City Data'!I90,0)</f>
        <v>3.6</v>
      </c>
      <c r="N90" s="4" t="n">
        <f aca="false">IF(AND(Assumptions!$B$13,ISNUMBER('City Data'!I90)),Assumptions!$B$12*'City Data'!I90,0)</f>
        <v>5.4</v>
      </c>
      <c r="O90" s="4" t="n">
        <f aca="false">B90+E90+H90+K90</f>
        <v>50.6</v>
      </c>
      <c r="P90" s="4" t="n">
        <f aca="false">C90+F90+I90+K90</f>
        <v>105.6</v>
      </c>
      <c r="Q90" s="4" t="n">
        <f aca="false">D90+G90+J90+K90</f>
        <v>233.6</v>
      </c>
      <c r="R90" s="4" t="n">
        <f aca="false">IF(Assumptions!$B$14,Assumptions!$B$15*O90,0)</f>
        <v>5.06</v>
      </c>
      <c r="S90" s="4" t="n">
        <f aca="false">IF(Assumptions!$B$14,Assumptions!$B$16*P90,0)</f>
        <v>21.12</v>
      </c>
      <c r="T90" s="4" t="n">
        <f aca="false">IF(Assumptions!$B$14,Assumptions!$B$17*Q90,0)</f>
        <v>81.76</v>
      </c>
      <c r="U90" s="4" t="n">
        <f aca="false">O90+L90+R90</f>
        <v>57.46</v>
      </c>
      <c r="V90" s="4" t="n">
        <f aca="false">P90+M90+S90</f>
        <v>130.32</v>
      </c>
      <c r="W90" s="4" t="n">
        <f aca="false">Q90+N90+T90</f>
        <v>320.76</v>
      </c>
      <c r="X90" s="4" t="n">
        <f aca="false">'City Data'!K90</f>
        <v>35</v>
      </c>
      <c r="Y90" s="4" t="n">
        <f aca="false">'City Data'!L90</f>
        <v>95</v>
      </c>
      <c r="Z90" s="4" t="n">
        <f aca="false">'City Data'!M90</f>
        <v>280</v>
      </c>
      <c r="AA90" s="4" t="n">
        <f aca="false">U90-X90</f>
        <v>22.46</v>
      </c>
      <c r="AB90" s="4" t="n">
        <f aca="false">V90-Y90</f>
        <v>35.32</v>
      </c>
      <c r="AC90" s="4" t="n">
        <f aca="false">W90-Z90</f>
        <v>40.76</v>
      </c>
      <c r="AD90" s="4" t="str">
        <f aca="false">IF(OR(AND(X90&lt;&gt;0,ABS(AA90)&gt;Assumptions!$B$18*X90),AND(Y90&lt;&gt;0,ABS(AB90)&gt;Assumptions!$B$18*Y90),AND(Z90&lt;&gt;0,ABS(AC90)&gt;Assumptions!$B$18*Z90)),"REVIEW","")</f>
        <v>REVIEW</v>
      </c>
    </row>
    <row r="91" customFormat="false" ht="15" hidden="false" customHeight="false" outlineLevel="0" collapsed="false">
      <c r="A91" s="0" t="str">
        <f aca="false">'City Data'!A91</f>
        <v>Hangzhou</v>
      </c>
      <c r="B91" s="4" t="n">
        <f aca="false">'City Data'!B91/Assumptions!$B$2</f>
        <v>15</v>
      </c>
      <c r="C91" s="4" t="n">
        <f aca="false">'City Data'!C91/Assumptions!$B$2</f>
        <v>45</v>
      </c>
      <c r="D91" s="4" t="n">
        <f aca="false">'City Data'!D91/Assumptions!$B$2</f>
        <v>110</v>
      </c>
      <c r="E91" s="4" t="n">
        <f aca="false">Assumptions!$B$3*Assumptions!$B$4*'City Data'!E91</f>
        <v>30</v>
      </c>
      <c r="F91" s="4" t="n">
        <f aca="false">Assumptions!$B$3*Assumptions!$B$5*'City Data'!E91</f>
        <v>54</v>
      </c>
      <c r="G91" s="4" t="n">
        <f aca="false">Assumptions!$B$3*Assumptions!$B$6*'City Data'!E91</f>
        <v>105</v>
      </c>
      <c r="H91" s="4" t="n">
        <f aca="false">Assumptions!$B$7*'City Data'!F91</f>
        <v>5</v>
      </c>
      <c r="I91" s="4" t="n">
        <f aca="false">Assumptions!$B$8*'City Data'!F91</f>
        <v>10</v>
      </c>
      <c r="J91" s="4" t="n">
        <f aca="false">Assumptions!$B$9*'City Data'!F91</f>
        <v>20</v>
      </c>
      <c r="K91" s="4" t="n">
        <f aca="false">'City Data'!G91+'City Data'!H91</f>
        <v>4.5</v>
      </c>
      <c r="L91" s="4" t="n">
        <f aca="false">IF(AND(Assumptions!$B$13,ISNUMBER('City Data'!I91)),Assumptions!$B$10*'City Data'!I91,0)</f>
        <v>3</v>
      </c>
      <c r="M91" s="4" t="n">
        <f aca="false">IF(AND(Assumptions!$B$13,ISNUMBER('City Data'!I91)),Assumptions!$B$11*'City Data'!I91,0)</f>
        <v>6</v>
      </c>
      <c r="N91" s="4" t="n">
        <f aca="false">IF(AND(Assumptions!$B$13,ISNUMBER('City Data'!I91)),Assumptions!$B$12*'City Data'!I91,0)</f>
        <v>9</v>
      </c>
      <c r="O91" s="4" t="n">
        <f aca="false">B91+E91+H91+K91</f>
        <v>54.5</v>
      </c>
      <c r="P91" s="4" t="n">
        <f aca="false">C91+F91+I91+K91</f>
        <v>113.5</v>
      </c>
      <c r="Q91" s="4" t="n">
        <f aca="false">D91+G91+J91+K91</f>
        <v>239.5</v>
      </c>
      <c r="R91" s="4" t="n">
        <f aca="false">IF(Assumptions!$B$14,Assumptions!$B$15*O91,0)</f>
        <v>5.45</v>
      </c>
      <c r="S91" s="4" t="n">
        <f aca="false">IF(Assumptions!$B$14,Assumptions!$B$16*P91,0)</f>
        <v>22.7</v>
      </c>
      <c r="T91" s="4" t="n">
        <f aca="false">IF(Assumptions!$B$14,Assumptions!$B$17*Q91,0)</f>
        <v>83.825</v>
      </c>
      <c r="U91" s="4" t="n">
        <f aca="false">O91+L91+R91</f>
        <v>62.95</v>
      </c>
      <c r="V91" s="4" t="n">
        <f aca="false">P91+M91+S91</f>
        <v>142.2</v>
      </c>
      <c r="W91" s="4" t="n">
        <f aca="false">Q91+N91+T91</f>
        <v>332.325</v>
      </c>
      <c r="X91" s="4" t="n">
        <f aca="false">'City Data'!K91</f>
        <v>45</v>
      </c>
      <c r="Y91" s="4" t="n">
        <f aca="false">'City Data'!L91</f>
        <v>110</v>
      </c>
      <c r="Z91" s="4" t="n">
        <f aca="false">'City Data'!M91</f>
        <v>320</v>
      </c>
      <c r="AA91" s="4" t="n">
        <f aca="false">U91-X91</f>
        <v>17.95</v>
      </c>
      <c r="AB91" s="4" t="n">
        <f aca="false">V91-Y91</f>
        <v>32.2</v>
      </c>
      <c r="AC91" s="4" t="n">
        <f aca="false">W91-Z91</f>
        <v>12.325</v>
      </c>
      <c r="AD91" s="4" t="str">
        <f aca="false">IF(OR(AND(X91&lt;&gt;0,ABS(AA91)&gt;Assumptions!$B$18*X91),AND(Y91&lt;&gt;0,ABS(AB91)&gt;Assumptions!$B$18*Y91),AND(Z91&lt;&gt;0,ABS(AC91)&gt;Assumptions!$B$18*Z91)),"REVIEW","")</f>
        <v>REVIEW</v>
      </c>
    </row>
    <row r="92" customFormat="false" ht="15" hidden="false" customHeight="false" outlineLevel="0" collapsed="false">
      <c r="A92" s="0" t="str">
        <f aca="false">'City Data'!A92</f>
        <v>Hanoi</v>
      </c>
      <c r="B92" s="4" t="n">
        <f aca="false">'City Data'!B92/Assumptions!$B$2</f>
        <v>9</v>
      </c>
      <c r="C92" s="4" t="n">
        <f aca="false">'City Data'!C92/Assumptions!$B$2</f>
        <v>27.5</v>
      </c>
      <c r="D92" s="4" t="n">
        <f aca="false">'City Data'!D92/Assumptions!$B$2</f>
        <v>100</v>
      </c>
      <c r="E92" s="4" t="n">
        <f aca="false">Assumptions!$B$3*Assumptions!$B$4*'City Data'!E92</f>
        <v>24</v>
      </c>
      <c r="F92" s="4" t="n">
        <f aca="false">Assumptions!$B$3*Assumptions!$B$5*'City Data'!E92</f>
        <v>43.2</v>
      </c>
      <c r="G92" s="4" t="n">
        <f aca="false">Assumptions!$B$3*Assumptions!$B$6*'City Data'!E92</f>
        <v>84</v>
      </c>
      <c r="H92" s="4" t="n">
        <f aca="false">Assumptions!$B$7*'City Data'!F92</f>
        <v>8</v>
      </c>
      <c r="I92" s="4" t="n">
        <f aca="false">Assumptions!$B$8*'City Data'!F92</f>
        <v>16</v>
      </c>
      <c r="J92" s="4" t="n">
        <f aca="false">Assumptions!$B$9*'City Data'!F92</f>
        <v>32</v>
      </c>
      <c r="K92" s="4" t="n">
        <f aca="false">'City Data'!G92+'City Data'!H92</f>
        <v>1.6</v>
      </c>
      <c r="L92" s="4" t="n">
        <f aca="false">IF(AND(Assumptions!$B$13,ISNUMBER('City Data'!I92)),Assumptions!$B$10*'City Data'!I92,0)</f>
        <v>0.8</v>
      </c>
      <c r="M92" s="4" t="n">
        <f aca="false">IF(AND(Assumptions!$B$13,ISNUMBER('City Data'!I92)),Assumptions!$B$11*'City Data'!I92,0)</f>
        <v>1.6</v>
      </c>
      <c r="N92" s="4" t="n">
        <f aca="false">IF(AND(Assumptions!$B$13,ISNUMBER('City Data'!I92)),Assumptions!$B$12*'City Data'!I92,0)</f>
        <v>2.4</v>
      </c>
      <c r="O92" s="4" t="n">
        <f aca="false">B92+E92+H92+K92</f>
        <v>42.6</v>
      </c>
      <c r="P92" s="4" t="n">
        <f aca="false">C92+F92+I92+K92</f>
        <v>88.3</v>
      </c>
      <c r="Q92" s="4" t="n">
        <f aca="false">D92+G92+J92+K92</f>
        <v>217.6</v>
      </c>
      <c r="R92" s="4" t="n">
        <f aca="false">IF(Assumptions!$B$14,Assumptions!$B$15*O92,0)</f>
        <v>4.26</v>
      </c>
      <c r="S92" s="4" t="n">
        <f aca="false">IF(Assumptions!$B$14,Assumptions!$B$16*P92,0)</f>
        <v>17.66</v>
      </c>
      <c r="T92" s="4" t="n">
        <f aca="false">IF(Assumptions!$B$14,Assumptions!$B$17*Q92,0)</f>
        <v>76.16</v>
      </c>
      <c r="U92" s="4" t="n">
        <f aca="false">O92+L92+R92</f>
        <v>47.66</v>
      </c>
      <c r="V92" s="4" t="n">
        <f aca="false">P92+M92+S92</f>
        <v>107.56</v>
      </c>
      <c r="W92" s="4" t="n">
        <f aca="false">Q92+N92+T92</f>
        <v>296.16</v>
      </c>
      <c r="X92" s="4" t="n">
        <f aca="false">'City Data'!K92</f>
        <v>30</v>
      </c>
      <c r="Y92" s="4" t="n">
        <f aca="false">'City Data'!L92</f>
        <v>70</v>
      </c>
      <c r="Z92" s="4" t="n">
        <f aca="false">'City Data'!M92</f>
        <v>220</v>
      </c>
      <c r="AA92" s="4" t="n">
        <f aca="false">U92-X92</f>
        <v>17.66</v>
      </c>
      <c r="AB92" s="4" t="n">
        <f aca="false">V92-Y92</f>
        <v>37.56</v>
      </c>
      <c r="AC92" s="4" t="n">
        <f aca="false">W92-Z92</f>
        <v>76.16</v>
      </c>
      <c r="AD92" s="4" t="str">
        <f aca="false">IF(OR(AND(X92&lt;&gt;0,ABS(AA92)&gt;Assumptions!$B$18*X92),AND(Y92&lt;&gt;0,ABS(AB92)&gt;Assumptions!$B$18*Y92),AND(Z92&lt;&gt;0,ABS(AC92)&gt;Assumptions!$B$18*Z92)),"REVIEW","")</f>
        <v>REVIEW</v>
      </c>
    </row>
    <row r="93" customFormat="false" ht="15" hidden="false" customHeight="false" outlineLevel="0" collapsed="false">
      <c r="A93" s="0" t="str">
        <f aca="false">'City Data'!A93</f>
        <v>Harbin</v>
      </c>
      <c r="B93" s="4" t="n">
        <f aca="false">'City Data'!B93/Assumptions!$B$2</f>
        <v>10</v>
      </c>
      <c r="C93" s="4" t="n">
        <f aca="false">'City Data'!C93/Assumptions!$B$2</f>
        <v>27.5</v>
      </c>
      <c r="D93" s="4" t="n">
        <f aca="false">'City Data'!D93/Assumptions!$B$2</f>
        <v>70</v>
      </c>
      <c r="E93" s="4" t="n">
        <f aca="false">Assumptions!$B$3*Assumptions!$B$4*'City Data'!E93</f>
        <v>21</v>
      </c>
      <c r="F93" s="4" t="n">
        <f aca="false">Assumptions!$B$3*Assumptions!$B$5*'City Data'!E93</f>
        <v>37.8</v>
      </c>
      <c r="G93" s="4" t="n">
        <f aca="false">Assumptions!$B$3*Assumptions!$B$6*'City Data'!E93</f>
        <v>73.5</v>
      </c>
      <c r="H93" s="4" t="n">
        <f aca="false">Assumptions!$B$7*'City Data'!F93</f>
        <v>3</v>
      </c>
      <c r="I93" s="4" t="n">
        <f aca="false">Assumptions!$B$8*'City Data'!F93</f>
        <v>6</v>
      </c>
      <c r="J93" s="4" t="n">
        <f aca="false">Assumptions!$B$9*'City Data'!F93</f>
        <v>12</v>
      </c>
      <c r="K93" s="4" t="n">
        <f aca="false">'City Data'!G93+'City Data'!H93</f>
        <v>3.9</v>
      </c>
      <c r="L93" s="4" t="n">
        <f aca="false">IF(AND(Assumptions!$B$13,ISNUMBER('City Data'!I93)),Assumptions!$B$10*'City Data'!I93,0)</f>
        <v>1.5</v>
      </c>
      <c r="M93" s="4" t="n">
        <f aca="false">IF(AND(Assumptions!$B$13,ISNUMBER('City Data'!I93)),Assumptions!$B$11*'City Data'!I93,0)</f>
        <v>3</v>
      </c>
      <c r="N93" s="4" t="n">
        <f aca="false">IF(AND(Assumptions!$B$13,ISNUMBER('City Data'!I93)),Assumptions!$B$12*'City Data'!I93,0)</f>
        <v>4.5</v>
      </c>
      <c r="O93" s="4" t="n">
        <f aca="false">B93+E93+H93+K93</f>
        <v>37.9</v>
      </c>
      <c r="P93" s="4" t="n">
        <f aca="false">C93+F93+I93+K93</f>
        <v>75.2</v>
      </c>
      <c r="Q93" s="4" t="n">
        <f aca="false">D93+G93+J93+K93</f>
        <v>159.4</v>
      </c>
      <c r="R93" s="4" t="n">
        <f aca="false">IF(Assumptions!$B$14,Assumptions!$B$15*O93,0)</f>
        <v>3.79</v>
      </c>
      <c r="S93" s="4" t="n">
        <f aca="false">IF(Assumptions!$B$14,Assumptions!$B$16*P93,0)</f>
        <v>15.04</v>
      </c>
      <c r="T93" s="4" t="n">
        <f aca="false">IF(Assumptions!$B$14,Assumptions!$B$17*Q93,0)</f>
        <v>55.79</v>
      </c>
      <c r="U93" s="4" t="n">
        <f aca="false">O93+L93+R93</f>
        <v>43.19</v>
      </c>
      <c r="V93" s="4" t="n">
        <f aca="false">P93+M93+S93</f>
        <v>93.24</v>
      </c>
      <c r="W93" s="4" t="n">
        <f aca="false">Q93+N93+T93</f>
        <v>219.69</v>
      </c>
      <c r="X93" s="4" t="n">
        <f aca="false">'City Data'!K93</f>
        <v>30</v>
      </c>
      <c r="Y93" s="4" t="n">
        <f aca="false">'City Data'!L93</f>
        <v>75</v>
      </c>
      <c r="Z93" s="4" t="n">
        <f aca="false">'City Data'!M93</f>
        <v>220</v>
      </c>
      <c r="AA93" s="4" t="n">
        <f aca="false">U93-X93</f>
        <v>13.19</v>
      </c>
      <c r="AB93" s="4" t="n">
        <f aca="false">V93-Y93</f>
        <v>18.24</v>
      </c>
      <c r="AC93" s="4" t="n">
        <f aca="false">W93-Z93</f>
        <v>-0.310000000000002</v>
      </c>
      <c r="AD93" s="4" t="str">
        <f aca="false">IF(OR(AND(X93&lt;&gt;0,ABS(AA93)&gt;Assumptions!$B$18*X93),AND(Y93&lt;&gt;0,ABS(AB93)&gt;Assumptions!$B$18*Y93),AND(Z93&lt;&gt;0,ABS(AC93)&gt;Assumptions!$B$18*Z93)),"REVIEW","")</f>
        <v>REVIEW</v>
      </c>
    </row>
    <row r="94" customFormat="false" ht="15" hidden="false" customHeight="false" outlineLevel="0" collapsed="false">
      <c r="A94" s="0" t="str">
        <f aca="false">'City Data'!A94</f>
        <v>Havana</v>
      </c>
      <c r="B94" s="4" t="n">
        <f aca="false">'City Data'!B94/Assumptions!$B$2</f>
        <v>12.5</v>
      </c>
      <c r="C94" s="4" t="n">
        <f aca="false">'City Data'!C94/Assumptions!$B$2</f>
        <v>45</v>
      </c>
      <c r="D94" s="4" t="n">
        <f aca="false">'City Data'!D94/Assumptions!$B$2</f>
        <v>100</v>
      </c>
      <c r="E94" s="4" t="n">
        <f aca="false">Assumptions!$B$3*Assumptions!$B$4*'City Data'!E94</f>
        <v>45</v>
      </c>
      <c r="F94" s="4" t="n">
        <f aca="false">Assumptions!$B$3*Assumptions!$B$5*'City Data'!E94</f>
        <v>81</v>
      </c>
      <c r="G94" s="4" t="n">
        <f aca="false">Assumptions!$B$3*Assumptions!$B$6*'City Data'!E94</f>
        <v>157.5</v>
      </c>
      <c r="H94" s="4" t="n">
        <f aca="false">Assumptions!$B$7*'City Data'!F94</f>
        <v>6</v>
      </c>
      <c r="I94" s="4" t="n">
        <f aca="false">Assumptions!$B$8*'City Data'!F94</f>
        <v>12</v>
      </c>
      <c r="J94" s="4" t="n">
        <f aca="false">Assumptions!$B$9*'City Data'!F94</f>
        <v>24</v>
      </c>
      <c r="K94" s="4" t="n">
        <f aca="false">'City Data'!G94+'City Data'!H94</f>
        <v>3</v>
      </c>
      <c r="L94" s="4" t="n">
        <f aca="false">IF(AND(Assumptions!$B$13,ISNUMBER('City Data'!I94)),Assumptions!$B$10*'City Data'!I94,0)</f>
        <v>2.5</v>
      </c>
      <c r="M94" s="4" t="n">
        <f aca="false">IF(AND(Assumptions!$B$13,ISNUMBER('City Data'!I94)),Assumptions!$B$11*'City Data'!I94,0)</f>
        <v>5</v>
      </c>
      <c r="N94" s="4" t="n">
        <f aca="false">IF(AND(Assumptions!$B$13,ISNUMBER('City Data'!I94)),Assumptions!$B$12*'City Data'!I94,0)</f>
        <v>7.5</v>
      </c>
      <c r="O94" s="4" t="n">
        <f aca="false">B94+E94+H94+K94</f>
        <v>66.5</v>
      </c>
      <c r="P94" s="4" t="n">
        <f aca="false">C94+F94+I94+K94</f>
        <v>141</v>
      </c>
      <c r="Q94" s="4" t="n">
        <f aca="false">D94+G94+J94+K94</f>
        <v>284.5</v>
      </c>
      <c r="R94" s="4" t="n">
        <f aca="false">IF(Assumptions!$B$14,Assumptions!$B$15*O94,0)</f>
        <v>6.65</v>
      </c>
      <c r="S94" s="4" t="n">
        <f aca="false">IF(Assumptions!$B$14,Assumptions!$B$16*P94,0)</f>
        <v>28.2</v>
      </c>
      <c r="T94" s="4" t="n">
        <f aca="false">IF(Assumptions!$B$14,Assumptions!$B$17*Q94,0)</f>
        <v>99.575</v>
      </c>
      <c r="U94" s="4" t="n">
        <f aca="false">O94+L94+R94</f>
        <v>75.65</v>
      </c>
      <c r="V94" s="4" t="n">
        <f aca="false">P94+M94+S94</f>
        <v>174.2</v>
      </c>
      <c r="W94" s="4" t="n">
        <f aca="false">Q94+N94+T94</f>
        <v>391.575</v>
      </c>
      <c r="X94" s="4" t="n">
        <f aca="false">'City Data'!K94</f>
        <v>45</v>
      </c>
      <c r="Y94" s="4" t="n">
        <f aca="false">'City Data'!L94</f>
        <v>110</v>
      </c>
      <c r="Z94" s="4" t="n">
        <f aca="false">'City Data'!M94</f>
        <v>330</v>
      </c>
      <c r="AA94" s="4" t="n">
        <f aca="false">U94-X94</f>
        <v>30.65</v>
      </c>
      <c r="AB94" s="4" t="n">
        <f aca="false">V94-Y94</f>
        <v>64.2</v>
      </c>
      <c r="AC94" s="4" t="n">
        <f aca="false">W94-Z94</f>
        <v>61.575</v>
      </c>
      <c r="AD94" s="4" t="str">
        <f aca="false">IF(OR(AND(X94&lt;&gt;0,ABS(AA94)&gt;Assumptions!$B$18*X94),AND(Y94&lt;&gt;0,ABS(AB94)&gt;Assumptions!$B$18*Y94),AND(Z94&lt;&gt;0,ABS(AC94)&gt;Assumptions!$B$18*Z94)),"REVIEW","")</f>
        <v>REVIEW</v>
      </c>
    </row>
    <row r="95" customFormat="false" ht="15" hidden="false" customHeight="false" outlineLevel="0" collapsed="false">
      <c r="A95" s="0" t="str">
        <f aca="false">'City Data'!A95</f>
        <v>Helsinki</v>
      </c>
      <c r="B95" s="4" t="n">
        <f aca="false">'City Data'!B95/Assumptions!$B$2</f>
        <v>45</v>
      </c>
      <c r="C95" s="4" t="n">
        <f aca="false">'City Data'!C95/Assumptions!$B$2</f>
        <v>75</v>
      </c>
      <c r="D95" s="4" t="n">
        <f aca="false">'City Data'!D95/Assumptions!$B$2</f>
        <v>175</v>
      </c>
      <c r="E95" s="4" t="n">
        <f aca="false">Assumptions!$B$3*Assumptions!$B$4*'City Data'!E95</f>
        <v>84</v>
      </c>
      <c r="F95" s="4" t="n">
        <f aca="false">Assumptions!$B$3*Assumptions!$B$5*'City Data'!E95</f>
        <v>151.2</v>
      </c>
      <c r="G95" s="4" t="n">
        <f aca="false">Assumptions!$B$3*Assumptions!$B$6*'City Data'!E95</f>
        <v>294</v>
      </c>
      <c r="H95" s="4" t="n">
        <f aca="false">Assumptions!$B$7*'City Data'!F95</f>
        <v>35</v>
      </c>
      <c r="I95" s="4" t="n">
        <f aca="false">Assumptions!$B$8*'City Data'!F95</f>
        <v>70</v>
      </c>
      <c r="J95" s="4" t="n">
        <f aca="false">Assumptions!$B$9*'City Data'!F95</f>
        <v>140</v>
      </c>
      <c r="K95" s="4" t="n">
        <f aca="false">'City Data'!G95+'City Data'!H95</f>
        <v>7</v>
      </c>
      <c r="L95" s="4" t="n">
        <f aca="false">IF(AND(Assumptions!$B$13,ISNUMBER('City Data'!I95)),Assumptions!$B$10*'City Data'!I95,0)</f>
        <v>7.5</v>
      </c>
      <c r="M95" s="4" t="n">
        <f aca="false">IF(AND(Assumptions!$B$13,ISNUMBER('City Data'!I95)),Assumptions!$B$11*'City Data'!I95,0)</f>
        <v>15</v>
      </c>
      <c r="N95" s="4" t="n">
        <f aca="false">IF(AND(Assumptions!$B$13,ISNUMBER('City Data'!I95)),Assumptions!$B$12*'City Data'!I95,0)</f>
        <v>22.5</v>
      </c>
      <c r="O95" s="4" t="n">
        <f aca="false">B95+E95+H95+K95</f>
        <v>171</v>
      </c>
      <c r="P95" s="4" t="n">
        <f aca="false">C95+F95+I95+K95</f>
        <v>303.2</v>
      </c>
      <c r="Q95" s="4" t="n">
        <f aca="false">D95+G95+J95+K95</f>
        <v>616</v>
      </c>
      <c r="R95" s="4" t="n">
        <f aca="false">IF(Assumptions!$B$14,Assumptions!$B$15*O95,0)</f>
        <v>17.1</v>
      </c>
      <c r="S95" s="4" t="n">
        <f aca="false">IF(Assumptions!$B$14,Assumptions!$B$16*P95,0)</f>
        <v>60.64</v>
      </c>
      <c r="T95" s="4" t="n">
        <f aca="false">IF(Assumptions!$B$14,Assumptions!$B$17*Q95,0)</f>
        <v>215.6</v>
      </c>
      <c r="U95" s="4" t="n">
        <f aca="false">O95+L95+R95</f>
        <v>195.6</v>
      </c>
      <c r="V95" s="4" t="n">
        <f aca="false">P95+M95+S95</f>
        <v>378.84</v>
      </c>
      <c r="W95" s="4" t="n">
        <f aca="false">Q95+N95+T95</f>
        <v>854.1</v>
      </c>
      <c r="X95" s="4" t="n">
        <f aca="false">'City Data'!K95</f>
        <v>95</v>
      </c>
      <c r="Y95" s="4" t="n">
        <f aca="false">'City Data'!L95</f>
        <v>220</v>
      </c>
      <c r="Z95" s="4" t="n">
        <f aca="false">'City Data'!M95</f>
        <v>600</v>
      </c>
      <c r="AA95" s="4" t="n">
        <f aca="false">U95-X95</f>
        <v>100.6</v>
      </c>
      <c r="AB95" s="4" t="n">
        <f aca="false">V95-Y95</f>
        <v>158.84</v>
      </c>
      <c r="AC95" s="4" t="n">
        <f aca="false">W95-Z95</f>
        <v>254.1</v>
      </c>
      <c r="AD95" s="4" t="str">
        <f aca="false">IF(OR(AND(X95&lt;&gt;0,ABS(AA95)&gt;Assumptions!$B$18*X95),AND(Y95&lt;&gt;0,ABS(AB95)&gt;Assumptions!$B$18*Y95),AND(Z95&lt;&gt;0,ABS(AC95)&gt;Assumptions!$B$18*Z95)),"REVIEW","")</f>
        <v>REVIEW</v>
      </c>
    </row>
    <row r="96" customFormat="false" ht="15" hidden="false" customHeight="false" outlineLevel="0" collapsed="false">
      <c r="A96" s="0" t="str">
        <f aca="false">'City Data'!A96</f>
        <v>Heraklion</v>
      </c>
      <c r="B96" s="4" t="n">
        <f aca="false">'City Data'!B96/Assumptions!$B$2</f>
        <v>25</v>
      </c>
      <c r="C96" s="4" t="n">
        <f aca="false">'City Data'!C96/Assumptions!$B$2</f>
        <v>50</v>
      </c>
      <c r="D96" s="4" t="n">
        <f aca="false">'City Data'!D96/Assumptions!$B$2</f>
        <v>125</v>
      </c>
      <c r="E96" s="4" t="n">
        <f aca="false">Assumptions!$B$3*Assumptions!$B$4*'City Data'!E96</f>
        <v>66</v>
      </c>
      <c r="F96" s="4" t="n">
        <f aca="false">Assumptions!$B$3*Assumptions!$B$5*'City Data'!E96</f>
        <v>118.8</v>
      </c>
      <c r="G96" s="4" t="n">
        <f aca="false">Assumptions!$B$3*Assumptions!$B$6*'City Data'!E96</f>
        <v>231</v>
      </c>
      <c r="H96" s="4" t="n">
        <f aca="false">Assumptions!$B$7*'City Data'!F96</f>
        <v>18</v>
      </c>
      <c r="I96" s="4" t="n">
        <f aca="false">Assumptions!$B$8*'City Data'!F96</f>
        <v>36</v>
      </c>
      <c r="J96" s="4" t="n">
        <f aca="false">Assumptions!$B$9*'City Data'!F96</f>
        <v>72</v>
      </c>
      <c r="K96" s="4" t="n">
        <f aca="false">'City Data'!G96+'City Data'!H96</f>
        <v>3.6</v>
      </c>
      <c r="L96" s="4" t="n">
        <f aca="false">IF(AND(Assumptions!$B$13,ISNUMBER('City Data'!I96)),Assumptions!$B$10*'City Data'!I96,0)</f>
        <v>4</v>
      </c>
      <c r="M96" s="4" t="n">
        <f aca="false">IF(AND(Assumptions!$B$13,ISNUMBER('City Data'!I96)),Assumptions!$B$11*'City Data'!I96,0)</f>
        <v>8</v>
      </c>
      <c r="N96" s="4" t="n">
        <f aca="false">IF(AND(Assumptions!$B$13,ISNUMBER('City Data'!I96)),Assumptions!$B$12*'City Data'!I96,0)</f>
        <v>12</v>
      </c>
      <c r="O96" s="4" t="n">
        <f aca="false">B96+E96+H96+K96</f>
        <v>112.6</v>
      </c>
      <c r="P96" s="4" t="n">
        <f aca="false">C96+F96+I96+K96</f>
        <v>208.4</v>
      </c>
      <c r="Q96" s="4" t="n">
        <f aca="false">D96+G96+J96+K96</f>
        <v>431.6</v>
      </c>
      <c r="R96" s="4" t="n">
        <f aca="false">IF(Assumptions!$B$14,Assumptions!$B$15*O96,0)</f>
        <v>11.26</v>
      </c>
      <c r="S96" s="4" t="n">
        <f aca="false">IF(Assumptions!$B$14,Assumptions!$B$16*P96,0)</f>
        <v>41.68</v>
      </c>
      <c r="T96" s="4" t="n">
        <f aca="false">IF(Assumptions!$B$14,Assumptions!$B$17*Q96,0)</f>
        <v>151.06</v>
      </c>
      <c r="U96" s="4" t="n">
        <f aca="false">O96+L96+R96</f>
        <v>127.86</v>
      </c>
      <c r="V96" s="4" t="n">
        <f aca="false">P96+M96+S96</f>
        <v>258.08</v>
      </c>
      <c r="W96" s="4" t="n">
        <f aca="false">Q96+N96+T96</f>
        <v>594.66</v>
      </c>
      <c r="X96" s="4" t="n">
        <f aca="false">'City Data'!K96</f>
        <v>60</v>
      </c>
      <c r="Y96" s="4" t="n">
        <f aca="false">'City Data'!L96</f>
        <v>140</v>
      </c>
      <c r="Z96" s="4" t="n">
        <f aca="false">'City Data'!M96</f>
        <v>400</v>
      </c>
      <c r="AA96" s="4" t="n">
        <f aca="false">U96-X96</f>
        <v>67.86</v>
      </c>
      <c r="AB96" s="4" t="n">
        <f aca="false">V96-Y96</f>
        <v>118.08</v>
      </c>
      <c r="AC96" s="4" t="n">
        <f aca="false">W96-Z96</f>
        <v>194.66</v>
      </c>
      <c r="AD96" s="4" t="str">
        <f aca="false">IF(OR(AND(X96&lt;&gt;0,ABS(AA96)&gt;Assumptions!$B$18*X96),AND(Y96&lt;&gt;0,ABS(AB96)&gt;Assumptions!$B$18*Y96),AND(Z96&lt;&gt;0,ABS(AC96)&gt;Assumptions!$B$18*Z96)),"REVIEW","")</f>
        <v>REVIEW</v>
      </c>
    </row>
    <row r="97" customFormat="false" ht="15" hidden="false" customHeight="false" outlineLevel="0" collapsed="false">
      <c r="A97" s="0" t="str">
        <f aca="false">'City Data'!A97</f>
        <v>Ho Chi Minh City</v>
      </c>
      <c r="B97" s="4" t="n">
        <f aca="false">'City Data'!B97/Assumptions!$B$2</f>
        <v>10</v>
      </c>
      <c r="C97" s="4" t="n">
        <f aca="false">'City Data'!C97/Assumptions!$B$2</f>
        <v>27.5</v>
      </c>
      <c r="D97" s="4" t="n">
        <f aca="false">'City Data'!D97/Assumptions!$B$2</f>
        <v>100</v>
      </c>
      <c r="E97" s="4" t="n">
        <f aca="false">Assumptions!$B$3*Assumptions!$B$4*'City Data'!E97</f>
        <v>24</v>
      </c>
      <c r="F97" s="4" t="n">
        <f aca="false">Assumptions!$B$3*Assumptions!$B$5*'City Data'!E97</f>
        <v>43.2</v>
      </c>
      <c r="G97" s="4" t="n">
        <f aca="false">Assumptions!$B$3*Assumptions!$B$6*'City Data'!E97</f>
        <v>84</v>
      </c>
      <c r="H97" s="4" t="n">
        <f aca="false">Assumptions!$B$7*'City Data'!F97</f>
        <v>8</v>
      </c>
      <c r="I97" s="4" t="n">
        <f aca="false">Assumptions!$B$8*'City Data'!F97</f>
        <v>16</v>
      </c>
      <c r="J97" s="4" t="n">
        <f aca="false">Assumptions!$B$9*'City Data'!F97</f>
        <v>32</v>
      </c>
      <c r="K97" s="4" t="n">
        <f aca="false">'City Data'!G97+'City Data'!H97</f>
        <v>1.9</v>
      </c>
      <c r="L97" s="4" t="n">
        <f aca="false">IF(AND(Assumptions!$B$13,ISNUMBER('City Data'!I97)),Assumptions!$B$10*'City Data'!I97,0)</f>
        <v>1</v>
      </c>
      <c r="M97" s="4" t="n">
        <f aca="false">IF(AND(Assumptions!$B$13,ISNUMBER('City Data'!I97)),Assumptions!$B$11*'City Data'!I97,0)</f>
        <v>2</v>
      </c>
      <c r="N97" s="4" t="n">
        <f aca="false">IF(AND(Assumptions!$B$13,ISNUMBER('City Data'!I97)),Assumptions!$B$12*'City Data'!I97,0)</f>
        <v>3</v>
      </c>
      <c r="O97" s="4" t="n">
        <f aca="false">B97+E97+H97+K97</f>
        <v>43.9</v>
      </c>
      <c r="P97" s="4" t="n">
        <f aca="false">C97+F97+I97+K97</f>
        <v>88.6</v>
      </c>
      <c r="Q97" s="4" t="n">
        <f aca="false">D97+G97+J97+K97</f>
        <v>217.9</v>
      </c>
      <c r="R97" s="4" t="n">
        <f aca="false">IF(Assumptions!$B$14,Assumptions!$B$15*O97,0)</f>
        <v>4.39</v>
      </c>
      <c r="S97" s="4" t="n">
        <f aca="false">IF(Assumptions!$B$14,Assumptions!$B$16*P97,0)</f>
        <v>17.72</v>
      </c>
      <c r="T97" s="4" t="n">
        <f aca="false">IF(Assumptions!$B$14,Assumptions!$B$17*Q97,0)</f>
        <v>76.265</v>
      </c>
      <c r="U97" s="4" t="n">
        <f aca="false">O97+L97+R97</f>
        <v>49.29</v>
      </c>
      <c r="V97" s="4" t="n">
        <f aca="false">P97+M97+S97</f>
        <v>108.32</v>
      </c>
      <c r="W97" s="4" t="n">
        <f aca="false">Q97+N97+T97</f>
        <v>297.165</v>
      </c>
      <c r="X97" s="4" t="n">
        <f aca="false">'City Data'!K97</f>
        <v>30</v>
      </c>
      <c r="Y97" s="4" t="n">
        <f aca="false">'City Data'!L97</f>
        <v>75</v>
      </c>
      <c r="Z97" s="4" t="n">
        <f aca="false">'City Data'!M97</f>
        <v>230</v>
      </c>
      <c r="AA97" s="4" t="n">
        <f aca="false">U97-X97</f>
        <v>19.29</v>
      </c>
      <c r="AB97" s="4" t="n">
        <f aca="false">V97-Y97</f>
        <v>33.32</v>
      </c>
      <c r="AC97" s="4" t="n">
        <f aca="false">W97-Z97</f>
        <v>67.165</v>
      </c>
      <c r="AD97" s="4" t="str">
        <f aca="false">IF(OR(AND(X97&lt;&gt;0,ABS(AA97)&gt;Assumptions!$B$18*X97),AND(Y97&lt;&gt;0,ABS(AB97)&gt;Assumptions!$B$18*Y97),AND(Z97&lt;&gt;0,ABS(AC97)&gt;Assumptions!$B$18*Z97)),"REVIEW","")</f>
        <v>REVIEW</v>
      </c>
    </row>
    <row r="98" customFormat="false" ht="15" hidden="false" customHeight="false" outlineLevel="0" collapsed="false">
      <c r="A98" s="0" t="str">
        <f aca="false">'City Data'!A98</f>
        <v>Hong Kong</v>
      </c>
      <c r="B98" s="4" t="n">
        <f aca="false">'City Data'!B98/Assumptions!$B$2</f>
        <v>30</v>
      </c>
      <c r="C98" s="4" t="n">
        <f aca="false">'City Data'!C98/Assumptions!$B$2</f>
        <v>75</v>
      </c>
      <c r="D98" s="4" t="n">
        <f aca="false">'City Data'!D98/Assumptions!$B$2</f>
        <v>175</v>
      </c>
      <c r="E98" s="4" t="n">
        <f aca="false">Assumptions!$B$3*Assumptions!$B$4*'City Data'!E98</f>
        <v>75</v>
      </c>
      <c r="F98" s="4" t="n">
        <f aca="false">Assumptions!$B$3*Assumptions!$B$5*'City Data'!E98</f>
        <v>135</v>
      </c>
      <c r="G98" s="4" t="n">
        <f aca="false">Assumptions!$B$3*Assumptions!$B$6*'City Data'!E98</f>
        <v>262.5</v>
      </c>
      <c r="H98" s="4" t="n">
        <f aca="false">Assumptions!$B$7*'City Data'!F98</f>
        <v>13</v>
      </c>
      <c r="I98" s="4" t="n">
        <f aca="false">Assumptions!$B$8*'City Data'!F98</f>
        <v>26</v>
      </c>
      <c r="J98" s="4" t="n">
        <f aca="false">Assumptions!$B$9*'City Data'!F98</f>
        <v>52</v>
      </c>
      <c r="K98" s="4" t="n">
        <f aca="false">'City Data'!G98+'City Data'!H98</f>
        <v>5.7</v>
      </c>
      <c r="L98" s="4" t="n">
        <f aca="false">IF(AND(Assumptions!$B$13,ISNUMBER('City Data'!I98)),Assumptions!$B$10*'City Data'!I98,0)</f>
        <v>6</v>
      </c>
      <c r="M98" s="4" t="n">
        <f aca="false">IF(AND(Assumptions!$B$13,ISNUMBER('City Data'!I98)),Assumptions!$B$11*'City Data'!I98,0)</f>
        <v>12</v>
      </c>
      <c r="N98" s="4" t="n">
        <f aca="false">IF(AND(Assumptions!$B$13,ISNUMBER('City Data'!I98)),Assumptions!$B$12*'City Data'!I98,0)</f>
        <v>18</v>
      </c>
      <c r="O98" s="4" t="n">
        <f aca="false">B98+E98+H98+K98</f>
        <v>123.7</v>
      </c>
      <c r="P98" s="4" t="n">
        <f aca="false">C98+F98+I98+K98</f>
        <v>241.7</v>
      </c>
      <c r="Q98" s="4" t="n">
        <f aca="false">D98+G98+J98+K98</f>
        <v>495.2</v>
      </c>
      <c r="R98" s="4" t="n">
        <f aca="false">IF(Assumptions!$B$14,Assumptions!$B$15*O98,0)</f>
        <v>12.37</v>
      </c>
      <c r="S98" s="4" t="n">
        <f aca="false">IF(Assumptions!$B$14,Assumptions!$B$16*P98,0)</f>
        <v>48.34</v>
      </c>
      <c r="T98" s="4" t="n">
        <f aca="false">IF(Assumptions!$B$14,Assumptions!$B$17*Q98,0)</f>
        <v>173.32</v>
      </c>
      <c r="U98" s="4" t="n">
        <f aca="false">O98+L98+R98</f>
        <v>142.07</v>
      </c>
      <c r="V98" s="4" t="n">
        <f aca="false">P98+M98+S98</f>
        <v>302.04</v>
      </c>
      <c r="W98" s="4" t="n">
        <f aca="false">Q98+N98+T98</f>
        <v>686.52</v>
      </c>
      <c r="X98" s="4" t="n">
        <f aca="false">'City Data'!K98</f>
        <v>60</v>
      </c>
      <c r="Y98" s="4" t="n">
        <f aca="false">'City Data'!L98</f>
        <v>150</v>
      </c>
      <c r="Z98" s="4" t="n">
        <f aca="false">'City Data'!M98</f>
        <v>400</v>
      </c>
      <c r="AA98" s="4" t="n">
        <f aca="false">U98-X98</f>
        <v>82.07</v>
      </c>
      <c r="AB98" s="4" t="n">
        <f aca="false">V98-Y98</f>
        <v>152.04</v>
      </c>
      <c r="AC98" s="4" t="n">
        <f aca="false">W98-Z98</f>
        <v>286.52</v>
      </c>
      <c r="AD98" s="4" t="str">
        <f aca="false">IF(OR(AND(X98&lt;&gt;0,ABS(AA98)&gt;Assumptions!$B$18*X98),AND(Y98&lt;&gt;0,ABS(AB98)&gt;Assumptions!$B$18*Y98),AND(Z98&lt;&gt;0,ABS(AC98)&gt;Assumptions!$B$18*Z98)),"REVIEW","")</f>
        <v>REVIEW</v>
      </c>
    </row>
    <row r="99" customFormat="false" ht="15" hidden="false" customHeight="false" outlineLevel="0" collapsed="false">
      <c r="A99" s="0" t="str">
        <f aca="false">'City Data'!A99</f>
        <v>Honiara</v>
      </c>
      <c r="B99" s="4" t="n">
        <f aca="false">'City Data'!B99/Assumptions!$B$2</f>
        <v>35</v>
      </c>
      <c r="C99" s="4" t="n">
        <f aca="false">'City Data'!C99/Assumptions!$B$2</f>
        <v>65</v>
      </c>
      <c r="D99" s="4" t="n">
        <f aca="false">'City Data'!D99/Assumptions!$B$2</f>
        <v>125</v>
      </c>
      <c r="E99" s="4" t="n">
        <f aca="false">Assumptions!$B$3*Assumptions!$B$4*'City Data'!E99</f>
        <v>36</v>
      </c>
      <c r="F99" s="4" t="n">
        <f aca="false">Assumptions!$B$3*Assumptions!$B$5*'City Data'!E99</f>
        <v>64.8</v>
      </c>
      <c r="G99" s="4" t="n">
        <f aca="false">Assumptions!$B$3*Assumptions!$B$6*'City Data'!E99</f>
        <v>126</v>
      </c>
      <c r="H99" s="4" t="n">
        <f aca="false">Assumptions!$B$7*'City Data'!F99</f>
        <v>8</v>
      </c>
      <c r="I99" s="4" t="n">
        <f aca="false">Assumptions!$B$8*'City Data'!F99</f>
        <v>16</v>
      </c>
      <c r="J99" s="4" t="n">
        <f aca="false">Assumptions!$B$9*'City Data'!F99</f>
        <v>32</v>
      </c>
      <c r="K99" s="4" t="n">
        <f aca="false">'City Data'!G99+'City Data'!H99</f>
        <v>4.5</v>
      </c>
      <c r="L99" s="4" t="n">
        <f aca="false">IF(AND(Assumptions!$B$13,ISNUMBER('City Data'!I99)),Assumptions!$B$10*'City Data'!I99,0)</f>
        <v>4.5</v>
      </c>
      <c r="M99" s="4" t="n">
        <f aca="false">IF(AND(Assumptions!$B$13,ISNUMBER('City Data'!I99)),Assumptions!$B$11*'City Data'!I99,0)</f>
        <v>9</v>
      </c>
      <c r="N99" s="4" t="n">
        <f aca="false">IF(AND(Assumptions!$B$13,ISNUMBER('City Data'!I99)),Assumptions!$B$12*'City Data'!I99,0)</f>
        <v>13.5</v>
      </c>
      <c r="O99" s="4" t="n">
        <f aca="false">B99+E99+H99+K99</f>
        <v>83.5</v>
      </c>
      <c r="P99" s="4" t="n">
        <f aca="false">C99+F99+I99+K99</f>
        <v>150.3</v>
      </c>
      <c r="Q99" s="4" t="n">
        <f aca="false">D99+G99+J99+K99</f>
        <v>287.5</v>
      </c>
      <c r="R99" s="4" t="n">
        <f aca="false">IF(Assumptions!$B$14,Assumptions!$B$15*O99,0)</f>
        <v>8.35</v>
      </c>
      <c r="S99" s="4" t="n">
        <f aca="false">IF(Assumptions!$B$14,Assumptions!$B$16*P99,0)</f>
        <v>30.06</v>
      </c>
      <c r="T99" s="4" t="n">
        <f aca="false">IF(Assumptions!$B$14,Assumptions!$B$17*Q99,0)</f>
        <v>100.625</v>
      </c>
      <c r="U99" s="4" t="n">
        <f aca="false">O99+L99+R99</f>
        <v>96.35</v>
      </c>
      <c r="V99" s="4" t="n">
        <f aca="false">P99+M99+S99</f>
        <v>189.36</v>
      </c>
      <c r="W99" s="4" t="n">
        <f aca="false">Q99+N99+T99</f>
        <v>401.625</v>
      </c>
      <c r="X99" s="4" t="n">
        <f aca="false">'City Data'!K99</f>
        <v>60</v>
      </c>
      <c r="Y99" s="4" t="n">
        <f aca="false">'City Data'!L99</f>
        <v>140</v>
      </c>
      <c r="Z99" s="4" t="n">
        <f aca="false">'City Data'!M99</f>
        <v>395</v>
      </c>
      <c r="AA99" s="4" t="n">
        <f aca="false">U99-X99</f>
        <v>36.35</v>
      </c>
      <c r="AB99" s="4" t="n">
        <f aca="false">V99-Y99</f>
        <v>49.36</v>
      </c>
      <c r="AC99" s="4" t="n">
        <f aca="false">W99-Z99</f>
        <v>6.625</v>
      </c>
      <c r="AD99" s="4" t="str">
        <f aca="false">IF(OR(AND(X99&lt;&gt;0,ABS(AA99)&gt;Assumptions!$B$18*X99),AND(Y99&lt;&gt;0,ABS(AB99)&gt;Assumptions!$B$18*Y99),AND(Z99&lt;&gt;0,ABS(AC99)&gt;Assumptions!$B$18*Z99)),"REVIEW","")</f>
        <v>REVIEW</v>
      </c>
    </row>
    <row r="100" customFormat="false" ht="15" hidden="false" customHeight="false" outlineLevel="0" collapsed="false">
      <c r="A100" s="0" t="str">
        <f aca="false">'City Data'!A100</f>
        <v>Honolulu</v>
      </c>
      <c r="B100" s="4" t="n">
        <f aca="false">'City Data'!B100/Assumptions!$B$2</f>
        <v>75</v>
      </c>
      <c r="C100" s="4" t="n">
        <f aca="false">'City Data'!C100/Assumptions!$B$2</f>
        <v>125</v>
      </c>
      <c r="D100" s="4" t="n">
        <f aca="false">'City Data'!D100/Assumptions!$B$2</f>
        <v>275</v>
      </c>
      <c r="E100" s="4" t="n">
        <f aca="false">Assumptions!$B$3*Assumptions!$B$4*'City Data'!E100</f>
        <v>90</v>
      </c>
      <c r="F100" s="4" t="n">
        <f aca="false">Assumptions!$B$3*Assumptions!$B$5*'City Data'!E100</f>
        <v>162</v>
      </c>
      <c r="G100" s="4" t="n">
        <f aca="false">Assumptions!$B$3*Assumptions!$B$6*'City Data'!E100</f>
        <v>315</v>
      </c>
      <c r="H100" s="4" t="n">
        <f aca="false">Assumptions!$B$7*'City Data'!F100</f>
        <v>30</v>
      </c>
      <c r="I100" s="4" t="n">
        <f aca="false">Assumptions!$B$8*'City Data'!F100</f>
        <v>60</v>
      </c>
      <c r="J100" s="4" t="n">
        <f aca="false">Assumptions!$B$9*'City Data'!F100</f>
        <v>120</v>
      </c>
      <c r="K100" s="4" t="n">
        <f aca="false">'City Data'!G100+'City Data'!H100</f>
        <v>7</v>
      </c>
      <c r="L100" s="4" t="n">
        <f aca="false">IF(AND(Assumptions!$B$13,ISNUMBER('City Data'!I100)),Assumptions!$B$10*'City Data'!I100,0)</f>
        <v>7</v>
      </c>
      <c r="M100" s="4" t="n">
        <f aca="false">IF(AND(Assumptions!$B$13,ISNUMBER('City Data'!I100)),Assumptions!$B$11*'City Data'!I100,0)</f>
        <v>14</v>
      </c>
      <c r="N100" s="4" t="n">
        <f aca="false">IF(AND(Assumptions!$B$13,ISNUMBER('City Data'!I100)),Assumptions!$B$12*'City Data'!I100,0)</f>
        <v>21</v>
      </c>
      <c r="O100" s="4" t="n">
        <f aca="false">B100+E100+H100+K100</f>
        <v>202</v>
      </c>
      <c r="P100" s="4" t="n">
        <f aca="false">C100+F100+I100+K100</f>
        <v>354</v>
      </c>
      <c r="Q100" s="4" t="n">
        <f aca="false">D100+G100+J100+K100</f>
        <v>717</v>
      </c>
      <c r="R100" s="4" t="n">
        <f aca="false">IF(Assumptions!$B$14,Assumptions!$B$15*O100,0)</f>
        <v>20.2</v>
      </c>
      <c r="S100" s="4" t="n">
        <f aca="false">IF(Assumptions!$B$14,Assumptions!$B$16*P100,0)</f>
        <v>70.8</v>
      </c>
      <c r="T100" s="4" t="n">
        <f aca="false">IF(Assumptions!$B$14,Assumptions!$B$17*Q100,0)</f>
        <v>250.95</v>
      </c>
      <c r="U100" s="4" t="n">
        <f aca="false">O100+L100+R100</f>
        <v>229.2</v>
      </c>
      <c r="V100" s="4" t="n">
        <f aca="false">P100+M100+S100</f>
        <v>438.8</v>
      </c>
      <c r="W100" s="4" t="n">
        <f aca="false">Q100+N100+T100</f>
        <v>988.95</v>
      </c>
      <c r="X100" s="4" t="n">
        <f aca="false">'City Data'!K100</f>
        <v>115</v>
      </c>
      <c r="Y100" s="4" t="n">
        <f aca="false">'City Data'!L100</f>
        <v>280</v>
      </c>
      <c r="Z100" s="4" t="n">
        <f aca="false">'City Data'!M100</f>
        <v>780</v>
      </c>
      <c r="AA100" s="4" t="n">
        <f aca="false">U100-X100</f>
        <v>114.2</v>
      </c>
      <c r="AB100" s="4" t="n">
        <f aca="false">V100-Y100</f>
        <v>158.8</v>
      </c>
      <c r="AC100" s="4" t="n">
        <f aca="false">W100-Z100</f>
        <v>208.95</v>
      </c>
      <c r="AD100" s="4" t="str">
        <f aca="false">IF(OR(AND(X100&lt;&gt;0,ABS(AA100)&gt;Assumptions!$B$18*X100),AND(Y100&lt;&gt;0,ABS(AB100)&gt;Assumptions!$B$18*Y100),AND(Z100&lt;&gt;0,ABS(AC100)&gt;Assumptions!$B$18*Z100)),"REVIEW","")</f>
        <v>REVIEW</v>
      </c>
    </row>
    <row r="101" customFormat="false" ht="15" hidden="false" customHeight="false" outlineLevel="0" collapsed="false">
      <c r="A101" s="0" t="str">
        <f aca="false">'City Data'!A101</f>
        <v>Hyderabad</v>
      </c>
      <c r="B101" s="4" t="n">
        <f aca="false">'City Data'!B101/Assumptions!$B$2</f>
        <v>7.5</v>
      </c>
      <c r="C101" s="4" t="n">
        <f aca="false">'City Data'!C101/Assumptions!$B$2</f>
        <v>22.5</v>
      </c>
      <c r="D101" s="4" t="n">
        <f aca="false">'City Data'!D101/Assumptions!$B$2</f>
        <v>60</v>
      </c>
      <c r="E101" s="4" t="n">
        <f aca="false">Assumptions!$B$3*Assumptions!$B$4*'City Data'!E101</f>
        <v>12</v>
      </c>
      <c r="F101" s="4" t="n">
        <f aca="false">Assumptions!$B$3*Assumptions!$B$5*'City Data'!E101</f>
        <v>21.6</v>
      </c>
      <c r="G101" s="4" t="n">
        <f aca="false">Assumptions!$B$3*Assumptions!$B$6*'City Data'!E101</f>
        <v>42</v>
      </c>
      <c r="H101" s="4" t="n">
        <f aca="false">Assumptions!$B$7*'City Data'!F101</f>
        <v>3</v>
      </c>
      <c r="I101" s="4" t="n">
        <f aca="false">Assumptions!$B$8*'City Data'!F101</f>
        <v>6</v>
      </c>
      <c r="J101" s="4" t="n">
        <f aca="false">Assumptions!$B$9*'City Data'!F101</f>
        <v>12</v>
      </c>
      <c r="K101" s="4" t="n">
        <f aca="false">'City Data'!G101+'City Data'!H101</f>
        <v>2.3</v>
      </c>
      <c r="L101" s="4" t="n">
        <f aca="false">IF(AND(Assumptions!$B$13,ISNUMBER('City Data'!I101)),Assumptions!$B$10*'City Data'!I101,0)</f>
        <v>3</v>
      </c>
      <c r="M101" s="4" t="n">
        <f aca="false">IF(AND(Assumptions!$B$13,ISNUMBER('City Data'!I101)),Assumptions!$B$11*'City Data'!I101,0)</f>
        <v>6</v>
      </c>
      <c r="N101" s="4" t="n">
        <f aca="false">IF(AND(Assumptions!$B$13,ISNUMBER('City Data'!I101)),Assumptions!$B$12*'City Data'!I101,0)</f>
        <v>9</v>
      </c>
      <c r="O101" s="4" t="n">
        <f aca="false">B101+E101+H101+K101</f>
        <v>24.8</v>
      </c>
      <c r="P101" s="4" t="n">
        <f aca="false">C101+F101+I101+K101</f>
        <v>52.4</v>
      </c>
      <c r="Q101" s="4" t="n">
        <f aca="false">D101+G101+J101+K101</f>
        <v>116.3</v>
      </c>
      <c r="R101" s="4" t="n">
        <f aca="false">IF(Assumptions!$B$14,Assumptions!$B$15*O101,0)</f>
        <v>2.48</v>
      </c>
      <c r="S101" s="4" t="n">
        <f aca="false">IF(Assumptions!$B$14,Assumptions!$B$16*P101,0)</f>
        <v>10.48</v>
      </c>
      <c r="T101" s="4" t="n">
        <f aca="false">IF(Assumptions!$B$14,Assumptions!$B$17*Q101,0)</f>
        <v>40.705</v>
      </c>
      <c r="U101" s="4" t="n">
        <f aca="false">O101+L101+R101</f>
        <v>30.28</v>
      </c>
      <c r="V101" s="4" t="n">
        <f aca="false">P101+M101+S101</f>
        <v>68.88</v>
      </c>
      <c r="W101" s="4" t="n">
        <f aca="false">Q101+N101+T101</f>
        <v>166.005</v>
      </c>
      <c r="X101" s="4" t="n">
        <f aca="false">'City Data'!K101</f>
        <v>20</v>
      </c>
      <c r="Y101" s="4" t="n">
        <f aca="false">'City Data'!L101</f>
        <v>55</v>
      </c>
      <c r="Z101" s="4" t="n">
        <f aca="false">'City Data'!M101</f>
        <v>200</v>
      </c>
      <c r="AA101" s="4" t="n">
        <f aca="false">U101-X101</f>
        <v>10.28</v>
      </c>
      <c r="AB101" s="4" t="n">
        <f aca="false">V101-Y101</f>
        <v>13.88</v>
      </c>
      <c r="AC101" s="4" t="n">
        <f aca="false">W101-Z101</f>
        <v>-33.995</v>
      </c>
      <c r="AD101" s="4" t="str">
        <f aca="false">IF(OR(AND(X101&lt;&gt;0,ABS(AA101)&gt;Assumptions!$B$18*X101),AND(Y101&lt;&gt;0,ABS(AB101)&gt;Assumptions!$B$18*Y101),AND(Z101&lt;&gt;0,ABS(AC101)&gt;Assumptions!$B$18*Z101)),"REVIEW","")</f>
        <v>REVIEW</v>
      </c>
    </row>
    <row r="102" customFormat="false" ht="15" hidden="false" customHeight="false" outlineLevel="0" collapsed="false">
      <c r="A102" s="0" t="str">
        <f aca="false">'City Data'!A102</f>
        <v>Ibadan</v>
      </c>
      <c r="B102" s="4" t="n">
        <f aca="false">'City Data'!B102/Assumptions!$B$2</f>
        <v>9</v>
      </c>
      <c r="C102" s="4" t="n">
        <f aca="false">'City Data'!C102/Assumptions!$B$2</f>
        <v>27.5</v>
      </c>
      <c r="D102" s="4" t="n">
        <f aca="false">'City Data'!D102/Assumptions!$B$2</f>
        <v>65</v>
      </c>
      <c r="E102" s="4" t="n">
        <f aca="false">Assumptions!$B$3*Assumptions!$B$4*'City Data'!E102</f>
        <v>15</v>
      </c>
      <c r="F102" s="4" t="n">
        <f aca="false">Assumptions!$B$3*Assumptions!$B$5*'City Data'!E102</f>
        <v>27</v>
      </c>
      <c r="G102" s="4" t="n">
        <f aca="false">Assumptions!$B$3*Assumptions!$B$6*'City Data'!E102</f>
        <v>52.5</v>
      </c>
      <c r="H102" s="4" t="n">
        <f aca="false">Assumptions!$B$7*'City Data'!F102</f>
        <v>3</v>
      </c>
      <c r="I102" s="4" t="n">
        <f aca="false">Assumptions!$B$8*'City Data'!F102</f>
        <v>6</v>
      </c>
      <c r="J102" s="4" t="n">
        <f aca="false">Assumptions!$B$9*'City Data'!F102</f>
        <v>12</v>
      </c>
      <c r="K102" s="4" t="n">
        <f aca="false">'City Data'!G102+'City Data'!H102</f>
        <v>2.4</v>
      </c>
      <c r="L102" s="4" t="n">
        <f aca="false">IF(AND(Assumptions!$B$13,ISNUMBER('City Data'!I102)),Assumptions!$B$10*'City Data'!I102,0)</f>
        <v>2</v>
      </c>
      <c r="M102" s="4" t="n">
        <f aca="false">IF(AND(Assumptions!$B$13,ISNUMBER('City Data'!I102)),Assumptions!$B$11*'City Data'!I102,0)</f>
        <v>4</v>
      </c>
      <c r="N102" s="4" t="n">
        <f aca="false">IF(AND(Assumptions!$B$13,ISNUMBER('City Data'!I102)),Assumptions!$B$12*'City Data'!I102,0)</f>
        <v>6</v>
      </c>
      <c r="O102" s="4" t="n">
        <f aca="false">B102+E102+H102+K102</f>
        <v>29.4</v>
      </c>
      <c r="P102" s="4" t="n">
        <f aca="false">C102+F102+I102+K102</f>
        <v>62.9</v>
      </c>
      <c r="Q102" s="4" t="n">
        <f aca="false">D102+G102+J102+K102</f>
        <v>131.9</v>
      </c>
      <c r="R102" s="4" t="n">
        <f aca="false">IF(Assumptions!$B$14,Assumptions!$B$15*O102,0)</f>
        <v>2.94</v>
      </c>
      <c r="S102" s="4" t="n">
        <f aca="false">IF(Assumptions!$B$14,Assumptions!$B$16*P102,0)</f>
        <v>12.58</v>
      </c>
      <c r="T102" s="4" t="n">
        <f aca="false">IF(Assumptions!$B$14,Assumptions!$B$17*Q102,0)</f>
        <v>46.165</v>
      </c>
      <c r="U102" s="4" t="n">
        <f aca="false">O102+L102+R102</f>
        <v>34.34</v>
      </c>
      <c r="V102" s="4" t="n">
        <f aca="false">P102+M102+S102</f>
        <v>79.48</v>
      </c>
      <c r="W102" s="4" t="n">
        <f aca="false">Q102+N102+T102</f>
        <v>184.065</v>
      </c>
      <c r="X102" s="4" t="n">
        <f aca="false">'City Data'!K102</f>
        <v>25</v>
      </c>
      <c r="Y102" s="4" t="n">
        <f aca="false">'City Data'!L102</f>
        <v>65</v>
      </c>
      <c r="Z102" s="4" t="n">
        <f aca="false">'City Data'!M102</f>
        <v>200</v>
      </c>
      <c r="AA102" s="4" t="n">
        <f aca="false">U102-X102</f>
        <v>9.34</v>
      </c>
      <c r="AB102" s="4" t="n">
        <f aca="false">V102-Y102</f>
        <v>14.48</v>
      </c>
      <c r="AC102" s="4" t="n">
        <f aca="false">W102-Z102</f>
        <v>-15.935</v>
      </c>
      <c r="AD102" s="4" t="str">
        <f aca="false">IF(OR(AND(X102&lt;&gt;0,ABS(AA102)&gt;Assumptions!$B$18*X102),AND(Y102&lt;&gt;0,ABS(AB102)&gt;Assumptions!$B$18*Y102),AND(Z102&lt;&gt;0,ABS(AC102)&gt;Assumptions!$B$18*Z102)),"REVIEW","")</f>
        <v>REVIEW</v>
      </c>
    </row>
    <row r="103" customFormat="false" ht="15" hidden="false" customHeight="false" outlineLevel="0" collapsed="false">
      <c r="A103" s="0" t="str">
        <f aca="false">'City Data'!A103</f>
        <v>Ibiza</v>
      </c>
      <c r="B103" s="4" t="n">
        <f aca="false">'City Data'!B103/Assumptions!$B$2</f>
        <v>22.5</v>
      </c>
      <c r="C103" s="4" t="n">
        <f aca="false">'City Data'!C103/Assumptions!$B$2</f>
        <v>70</v>
      </c>
      <c r="D103" s="4" t="n">
        <f aca="false">'City Data'!D103/Assumptions!$B$2</f>
        <v>200</v>
      </c>
      <c r="E103" s="4" t="n">
        <f aca="false">Assumptions!$B$3*Assumptions!$B$4*'City Data'!E103</f>
        <v>90</v>
      </c>
      <c r="F103" s="4" t="n">
        <f aca="false">Assumptions!$B$3*Assumptions!$B$5*'City Data'!E103</f>
        <v>162</v>
      </c>
      <c r="G103" s="4" t="n">
        <f aca="false">Assumptions!$B$3*Assumptions!$B$6*'City Data'!E103</f>
        <v>315</v>
      </c>
      <c r="H103" s="4" t="n">
        <f aca="false">Assumptions!$B$7*'City Data'!F103</f>
        <v>15</v>
      </c>
      <c r="I103" s="4" t="n">
        <f aca="false">Assumptions!$B$8*'City Data'!F103</f>
        <v>30</v>
      </c>
      <c r="J103" s="4" t="n">
        <f aca="false">Assumptions!$B$9*'City Data'!F103</f>
        <v>60</v>
      </c>
      <c r="K103" s="4" t="n">
        <f aca="false">'City Data'!G103+'City Data'!H103</f>
        <v>3.7</v>
      </c>
      <c r="L103" s="4" t="n">
        <f aca="false">IF(AND(Assumptions!$B$13,ISNUMBER('City Data'!I103)),Assumptions!$B$10*'City Data'!I103,0)</f>
        <v>4.5</v>
      </c>
      <c r="M103" s="4" t="n">
        <f aca="false">IF(AND(Assumptions!$B$13,ISNUMBER('City Data'!I103)),Assumptions!$B$11*'City Data'!I103,0)</f>
        <v>9</v>
      </c>
      <c r="N103" s="4" t="n">
        <f aca="false">IF(AND(Assumptions!$B$13,ISNUMBER('City Data'!I103)),Assumptions!$B$12*'City Data'!I103,0)</f>
        <v>13.5</v>
      </c>
      <c r="O103" s="4" t="n">
        <f aca="false">B103+E103+H103+K103</f>
        <v>131.2</v>
      </c>
      <c r="P103" s="4" t="n">
        <f aca="false">C103+F103+I103+K103</f>
        <v>265.7</v>
      </c>
      <c r="Q103" s="4" t="n">
        <f aca="false">D103+G103+J103+K103</f>
        <v>578.7</v>
      </c>
      <c r="R103" s="4" t="n">
        <f aca="false">IF(Assumptions!$B$14,Assumptions!$B$15*O103,0)</f>
        <v>13.12</v>
      </c>
      <c r="S103" s="4" t="n">
        <f aca="false">IF(Assumptions!$B$14,Assumptions!$B$16*P103,0)</f>
        <v>53.14</v>
      </c>
      <c r="T103" s="4" t="n">
        <f aca="false">IF(Assumptions!$B$14,Assumptions!$B$17*Q103,0)</f>
        <v>202.545</v>
      </c>
      <c r="U103" s="4" t="n">
        <f aca="false">O103+L103+R103</f>
        <v>148.82</v>
      </c>
      <c r="V103" s="4" t="n">
        <f aca="false">P103+M103+S103</f>
        <v>327.84</v>
      </c>
      <c r="W103" s="4" t="n">
        <f aca="false">Q103+N103+T103</f>
        <v>794.745</v>
      </c>
      <c r="X103" s="4" t="n">
        <f aca="false">'City Data'!K103</f>
        <v>70</v>
      </c>
      <c r="Y103" s="4" t="n">
        <f aca="false">'City Data'!L103</f>
        <v>190</v>
      </c>
      <c r="Z103" s="4" t="n">
        <f aca="false">'City Data'!M103</f>
        <v>550</v>
      </c>
      <c r="AA103" s="4" t="n">
        <f aca="false">U103-X103</f>
        <v>78.82</v>
      </c>
      <c r="AB103" s="4" t="n">
        <f aca="false">V103-Y103</f>
        <v>137.84</v>
      </c>
      <c r="AC103" s="4" t="n">
        <f aca="false">W103-Z103</f>
        <v>244.745</v>
      </c>
      <c r="AD103" s="4" t="str">
        <f aca="false">IF(OR(AND(X103&lt;&gt;0,ABS(AA103)&gt;Assumptions!$B$18*X103),AND(Y103&lt;&gt;0,ABS(AB103)&gt;Assumptions!$B$18*Y103),AND(Z103&lt;&gt;0,ABS(AC103)&gt;Assumptions!$B$18*Z103)),"REVIEW","")</f>
        <v>REVIEW</v>
      </c>
    </row>
    <row r="104" customFormat="false" ht="15" hidden="false" customHeight="false" outlineLevel="0" collapsed="false">
      <c r="A104" s="0" t="str">
        <f aca="false">'City Data'!A104</f>
        <v>Istanbul</v>
      </c>
      <c r="B104" s="4" t="n">
        <f aca="false">'City Data'!B104/Assumptions!$B$2</f>
        <v>12.5</v>
      </c>
      <c r="C104" s="4" t="n">
        <f aca="false">'City Data'!C104/Assumptions!$B$2</f>
        <v>30</v>
      </c>
      <c r="D104" s="4" t="n">
        <f aca="false">'City Data'!D104/Assumptions!$B$2</f>
        <v>90</v>
      </c>
      <c r="E104" s="4" t="n">
        <f aca="false">Assumptions!$B$3*Assumptions!$B$4*'City Data'!E104</f>
        <v>36</v>
      </c>
      <c r="F104" s="4" t="n">
        <f aca="false">Assumptions!$B$3*Assumptions!$B$5*'City Data'!E104</f>
        <v>64.8</v>
      </c>
      <c r="G104" s="4" t="n">
        <f aca="false">Assumptions!$B$3*Assumptions!$B$6*'City Data'!E104</f>
        <v>126</v>
      </c>
      <c r="H104" s="4" t="n">
        <f aca="false">Assumptions!$B$7*'City Data'!F104</f>
        <v>7</v>
      </c>
      <c r="I104" s="4" t="n">
        <f aca="false">Assumptions!$B$8*'City Data'!F104</f>
        <v>14</v>
      </c>
      <c r="J104" s="4" t="n">
        <f aca="false">Assumptions!$B$9*'City Data'!F104</f>
        <v>28</v>
      </c>
      <c r="K104" s="4" t="n">
        <f aca="false">'City Data'!G104+'City Data'!H104</f>
        <v>3.4</v>
      </c>
      <c r="L104" s="4" t="n">
        <f aca="false">IF(AND(Assumptions!$B$13,ISNUMBER('City Data'!I104)),Assumptions!$B$10*'City Data'!I104,0)</f>
        <v>4</v>
      </c>
      <c r="M104" s="4" t="n">
        <f aca="false">IF(AND(Assumptions!$B$13,ISNUMBER('City Data'!I104)),Assumptions!$B$11*'City Data'!I104,0)</f>
        <v>8</v>
      </c>
      <c r="N104" s="4" t="n">
        <f aca="false">IF(AND(Assumptions!$B$13,ISNUMBER('City Data'!I104)),Assumptions!$B$12*'City Data'!I104,0)</f>
        <v>12</v>
      </c>
      <c r="O104" s="4" t="n">
        <f aca="false">B104+E104+H104+K104</f>
        <v>58.9</v>
      </c>
      <c r="P104" s="4" t="n">
        <f aca="false">C104+F104+I104+K104</f>
        <v>112.2</v>
      </c>
      <c r="Q104" s="4" t="n">
        <f aca="false">D104+G104+J104+K104</f>
        <v>247.4</v>
      </c>
      <c r="R104" s="4" t="n">
        <f aca="false">IF(Assumptions!$B$14,Assumptions!$B$15*O104,0)</f>
        <v>5.89</v>
      </c>
      <c r="S104" s="4" t="n">
        <f aca="false">IF(Assumptions!$B$14,Assumptions!$B$16*P104,0)</f>
        <v>22.44</v>
      </c>
      <c r="T104" s="4" t="n">
        <f aca="false">IF(Assumptions!$B$14,Assumptions!$B$17*Q104,0)</f>
        <v>86.59</v>
      </c>
      <c r="U104" s="4" t="n">
        <f aca="false">O104+L104+R104</f>
        <v>68.79</v>
      </c>
      <c r="V104" s="4" t="n">
        <f aca="false">P104+M104+S104</f>
        <v>142.64</v>
      </c>
      <c r="W104" s="4" t="n">
        <f aca="false">Q104+N104+T104</f>
        <v>345.99</v>
      </c>
      <c r="X104" s="4" t="n">
        <f aca="false">'City Data'!K104</f>
        <v>45</v>
      </c>
      <c r="Y104" s="4" t="n">
        <f aca="false">'City Data'!L104</f>
        <v>110</v>
      </c>
      <c r="Z104" s="4" t="n">
        <f aca="false">'City Data'!M104</f>
        <v>320</v>
      </c>
      <c r="AA104" s="4" t="n">
        <f aca="false">U104-X104</f>
        <v>23.79</v>
      </c>
      <c r="AB104" s="4" t="n">
        <f aca="false">V104-Y104</f>
        <v>32.64</v>
      </c>
      <c r="AC104" s="4" t="n">
        <f aca="false">W104-Z104</f>
        <v>25.99</v>
      </c>
      <c r="AD104" s="4" t="str">
        <f aca="false">IF(OR(AND(X104&lt;&gt;0,ABS(AA104)&gt;Assumptions!$B$18*X104),AND(Y104&lt;&gt;0,ABS(AB104)&gt;Assumptions!$B$18*Y104),AND(Z104&lt;&gt;0,ABS(AC104)&gt;Assumptions!$B$18*Z104)),"REVIEW","")</f>
        <v>REVIEW</v>
      </c>
    </row>
    <row r="105" customFormat="false" ht="15" hidden="false" customHeight="false" outlineLevel="0" collapsed="false">
      <c r="A105" s="0" t="str">
        <f aca="false">'City Data'!A105</f>
        <v>Jakarta</v>
      </c>
      <c r="B105" s="4" t="n">
        <f aca="false">'City Data'!B105/Assumptions!$B$2</f>
        <v>10</v>
      </c>
      <c r="C105" s="4" t="n">
        <f aca="false">'City Data'!C105/Assumptions!$B$2</f>
        <v>25</v>
      </c>
      <c r="D105" s="4" t="n">
        <f aca="false">'City Data'!D105/Assumptions!$B$2</f>
        <v>75</v>
      </c>
      <c r="E105" s="4" t="n">
        <f aca="false">Assumptions!$B$3*Assumptions!$B$4*'City Data'!E105</f>
        <v>15</v>
      </c>
      <c r="F105" s="4" t="n">
        <f aca="false">Assumptions!$B$3*Assumptions!$B$5*'City Data'!E105</f>
        <v>27</v>
      </c>
      <c r="G105" s="4" t="n">
        <f aca="false">Assumptions!$B$3*Assumptions!$B$6*'City Data'!E105</f>
        <v>52.5</v>
      </c>
      <c r="H105" s="4" t="n">
        <f aca="false">Assumptions!$B$7*'City Data'!F105</f>
        <v>5</v>
      </c>
      <c r="I105" s="4" t="n">
        <f aca="false">Assumptions!$B$8*'City Data'!F105</f>
        <v>10</v>
      </c>
      <c r="J105" s="4" t="n">
        <f aca="false">Assumptions!$B$9*'City Data'!F105</f>
        <v>20</v>
      </c>
      <c r="K105" s="4" t="n">
        <f aca="false">'City Data'!G105+'City Data'!H105</f>
        <v>3</v>
      </c>
      <c r="L105" s="4" t="n">
        <f aca="false">IF(AND(Assumptions!$B$13,ISNUMBER('City Data'!I105)),Assumptions!$B$10*'City Data'!I105,0)</f>
        <v>3.5</v>
      </c>
      <c r="M105" s="4" t="n">
        <f aca="false">IF(AND(Assumptions!$B$13,ISNUMBER('City Data'!I105)),Assumptions!$B$11*'City Data'!I105,0)</f>
        <v>7</v>
      </c>
      <c r="N105" s="4" t="n">
        <f aca="false">IF(AND(Assumptions!$B$13,ISNUMBER('City Data'!I105)),Assumptions!$B$12*'City Data'!I105,0)</f>
        <v>10.5</v>
      </c>
      <c r="O105" s="4" t="n">
        <f aca="false">B105+E105+H105+K105</f>
        <v>33</v>
      </c>
      <c r="P105" s="4" t="n">
        <f aca="false">C105+F105+I105+K105</f>
        <v>65</v>
      </c>
      <c r="Q105" s="4" t="n">
        <f aca="false">D105+G105+J105+K105</f>
        <v>150.5</v>
      </c>
      <c r="R105" s="4" t="n">
        <f aca="false">IF(Assumptions!$B$14,Assumptions!$B$15*O105,0)</f>
        <v>3.3</v>
      </c>
      <c r="S105" s="4" t="n">
        <f aca="false">IF(Assumptions!$B$14,Assumptions!$B$16*P105,0)</f>
        <v>13</v>
      </c>
      <c r="T105" s="4" t="n">
        <f aca="false">IF(Assumptions!$B$14,Assumptions!$B$17*Q105,0)</f>
        <v>52.675</v>
      </c>
      <c r="U105" s="4" t="n">
        <f aca="false">O105+L105+R105</f>
        <v>39.8</v>
      </c>
      <c r="V105" s="4" t="n">
        <f aca="false">P105+M105+S105</f>
        <v>85</v>
      </c>
      <c r="W105" s="4" t="n">
        <f aca="false">Q105+N105+T105</f>
        <v>213.675</v>
      </c>
      <c r="X105" s="4" t="n">
        <f aca="false">'City Data'!K105</f>
        <v>30</v>
      </c>
      <c r="Y105" s="4" t="n">
        <f aca="false">'City Data'!L105</f>
        <v>75</v>
      </c>
      <c r="Z105" s="4" t="n">
        <f aca="false">'City Data'!M105</f>
        <v>220</v>
      </c>
      <c r="AA105" s="4" t="n">
        <f aca="false">U105-X105</f>
        <v>9.8</v>
      </c>
      <c r="AB105" s="4" t="n">
        <f aca="false">V105-Y105</f>
        <v>10</v>
      </c>
      <c r="AC105" s="4" t="n">
        <f aca="false">W105-Z105</f>
        <v>-6.32499999999999</v>
      </c>
      <c r="AD105" s="4" t="str">
        <f aca="false">IF(OR(AND(X105&lt;&gt;0,ABS(AA105)&gt;Assumptions!$B$18*X105),AND(Y105&lt;&gt;0,ABS(AB105)&gt;Assumptions!$B$18*Y105),AND(Z105&lt;&gt;0,ABS(AC105)&gt;Assumptions!$B$18*Z105)),"REVIEW","")</f>
        <v>REVIEW</v>
      </c>
    </row>
    <row r="106" customFormat="false" ht="15" hidden="false" customHeight="false" outlineLevel="0" collapsed="false">
      <c r="A106" s="0" t="str">
        <f aca="false">'City Data'!A106</f>
        <v>Jeddah</v>
      </c>
      <c r="B106" s="4" t="n">
        <f aca="false">'City Data'!B106/Assumptions!$B$2</f>
        <v>22.5</v>
      </c>
      <c r="C106" s="4" t="n">
        <f aca="false">'City Data'!C106/Assumptions!$B$2</f>
        <v>50</v>
      </c>
      <c r="D106" s="4" t="n">
        <f aca="false">'City Data'!D106/Assumptions!$B$2</f>
        <v>115</v>
      </c>
      <c r="E106" s="4" t="n">
        <f aca="false">Assumptions!$B$3*Assumptions!$B$4*'City Data'!E106</f>
        <v>54</v>
      </c>
      <c r="F106" s="4" t="n">
        <f aca="false">Assumptions!$B$3*Assumptions!$B$5*'City Data'!E106</f>
        <v>97.2</v>
      </c>
      <c r="G106" s="4" t="n">
        <f aca="false">Assumptions!$B$3*Assumptions!$B$6*'City Data'!E106</f>
        <v>189</v>
      </c>
      <c r="H106" s="4" t="n">
        <f aca="false">Assumptions!$B$7*'City Data'!F106</f>
        <v>11</v>
      </c>
      <c r="I106" s="4" t="n">
        <f aca="false">Assumptions!$B$8*'City Data'!F106</f>
        <v>22</v>
      </c>
      <c r="J106" s="4" t="n">
        <f aca="false">Assumptions!$B$9*'City Data'!F106</f>
        <v>44</v>
      </c>
      <c r="K106" s="4" t="n">
        <f aca="false">'City Data'!G106+'City Data'!H106</f>
        <v>2.8</v>
      </c>
      <c r="L106" s="4" t="n">
        <f aca="false">IF(AND(Assumptions!$B$13,ISNUMBER('City Data'!I106)),Assumptions!$B$10*'City Data'!I106,0)</f>
        <v>0</v>
      </c>
      <c r="M106" s="4" t="n">
        <f aca="false">IF(AND(Assumptions!$B$13,ISNUMBER('City Data'!I106)),Assumptions!$B$11*'City Data'!I106,0)</f>
        <v>0</v>
      </c>
      <c r="N106" s="4" t="n">
        <f aca="false">IF(AND(Assumptions!$B$13,ISNUMBER('City Data'!I106)),Assumptions!$B$12*'City Data'!I106,0)</f>
        <v>0</v>
      </c>
      <c r="O106" s="4" t="n">
        <f aca="false">B106+E106+H106+K106</f>
        <v>90.3</v>
      </c>
      <c r="P106" s="4" t="n">
        <f aca="false">C106+F106+I106+K106</f>
        <v>172</v>
      </c>
      <c r="Q106" s="4" t="n">
        <f aca="false">D106+G106+J106+K106</f>
        <v>350.8</v>
      </c>
      <c r="R106" s="4" t="n">
        <f aca="false">IF(Assumptions!$B$14,Assumptions!$B$15*O106,0)</f>
        <v>9.03</v>
      </c>
      <c r="S106" s="4" t="n">
        <f aca="false">IF(Assumptions!$B$14,Assumptions!$B$16*P106,0)</f>
        <v>34.4</v>
      </c>
      <c r="T106" s="4" t="n">
        <f aca="false">IF(Assumptions!$B$14,Assumptions!$B$17*Q106,0)</f>
        <v>122.78</v>
      </c>
      <c r="U106" s="4" t="n">
        <f aca="false">O106+L106+R106</f>
        <v>99.33</v>
      </c>
      <c r="V106" s="4" t="n">
        <f aca="false">P106+M106+S106</f>
        <v>206.4</v>
      </c>
      <c r="W106" s="4" t="n">
        <f aca="false">Q106+N106+T106</f>
        <v>473.58</v>
      </c>
      <c r="X106" s="4" t="n">
        <f aca="false">'City Data'!K106</f>
        <v>65</v>
      </c>
      <c r="Y106" s="4" t="n">
        <f aca="false">'City Data'!L106</f>
        <v>165</v>
      </c>
      <c r="Z106" s="4" t="n">
        <f aca="false">'City Data'!M106</f>
        <v>520</v>
      </c>
      <c r="AA106" s="4" t="n">
        <f aca="false">U106-X106</f>
        <v>34.33</v>
      </c>
      <c r="AB106" s="4" t="n">
        <f aca="false">V106-Y106</f>
        <v>41.4</v>
      </c>
      <c r="AC106" s="4" t="n">
        <f aca="false">W106-Z106</f>
        <v>-46.42</v>
      </c>
      <c r="AD106" s="4" t="str">
        <f aca="false">IF(OR(AND(X106&lt;&gt;0,ABS(AA106)&gt;Assumptions!$B$18*X106),AND(Y106&lt;&gt;0,ABS(AB106)&gt;Assumptions!$B$18*Y106),AND(Z106&lt;&gt;0,ABS(AC106)&gt;Assumptions!$B$18*Z106)),"REVIEW","")</f>
        <v>REVIEW</v>
      </c>
    </row>
    <row r="107" customFormat="false" ht="15" hidden="false" customHeight="false" outlineLevel="0" collapsed="false">
      <c r="A107" s="0" t="str">
        <f aca="false">'City Data'!A107</f>
        <v>Jerusalem</v>
      </c>
      <c r="B107" s="4" t="n">
        <f aca="false">'City Data'!B107/Assumptions!$B$2</f>
        <v>30</v>
      </c>
      <c r="C107" s="4" t="n">
        <f aca="false">'City Data'!C107/Assumptions!$B$2</f>
        <v>65</v>
      </c>
      <c r="D107" s="4" t="n">
        <f aca="false">'City Data'!D107/Assumptions!$B$2</f>
        <v>140</v>
      </c>
      <c r="E107" s="4" t="n">
        <f aca="false">Assumptions!$B$3*Assumptions!$B$4*'City Data'!E107</f>
        <v>75</v>
      </c>
      <c r="F107" s="4" t="n">
        <f aca="false">Assumptions!$B$3*Assumptions!$B$5*'City Data'!E107</f>
        <v>135</v>
      </c>
      <c r="G107" s="4" t="n">
        <f aca="false">Assumptions!$B$3*Assumptions!$B$6*'City Data'!E107</f>
        <v>262.5</v>
      </c>
      <c r="H107" s="4" t="n">
        <f aca="false">Assumptions!$B$7*'City Data'!F107</f>
        <v>15</v>
      </c>
      <c r="I107" s="4" t="n">
        <f aca="false">Assumptions!$B$8*'City Data'!F107</f>
        <v>30</v>
      </c>
      <c r="J107" s="4" t="n">
        <f aca="false">Assumptions!$B$9*'City Data'!F107</f>
        <v>60</v>
      </c>
      <c r="K107" s="4" t="n">
        <f aca="false">'City Data'!G107+'City Data'!H107</f>
        <v>5</v>
      </c>
      <c r="L107" s="4" t="n">
        <f aca="false">IF(AND(Assumptions!$B$13,ISNUMBER('City Data'!I107)),Assumptions!$B$10*'City Data'!I107,0)</f>
        <v>6</v>
      </c>
      <c r="M107" s="4" t="n">
        <f aca="false">IF(AND(Assumptions!$B$13,ISNUMBER('City Data'!I107)),Assumptions!$B$11*'City Data'!I107,0)</f>
        <v>12</v>
      </c>
      <c r="N107" s="4" t="n">
        <f aca="false">IF(AND(Assumptions!$B$13,ISNUMBER('City Data'!I107)),Assumptions!$B$12*'City Data'!I107,0)</f>
        <v>18</v>
      </c>
      <c r="O107" s="4" t="n">
        <f aca="false">B107+E107+H107+K107</f>
        <v>125</v>
      </c>
      <c r="P107" s="4" t="n">
        <f aca="false">C107+F107+I107+K107</f>
        <v>235</v>
      </c>
      <c r="Q107" s="4" t="n">
        <f aca="false">D107+G107+J107+K107</f>
        <v>467.5</v>
      </c>
      <c r="R107" s="4" t="n">
        <f aca="false">IF(Assumptions!$B$14,Assumptions!$B$15*O107,0)</f>
        <v>12.5</v>
      </c>
      <c r="S107" s="4" t="n">
        <f aca="false">IF(Assumptions!$B$14,Assumptions!$B$16*P107,0)</f>
        <v>47</v>
      </c>
      <c r="T107" s="4" t="n">
        <f aca="false">IF(Assumptions!$B$14,Assumptions!$B$17*Q107,0)</f>
        <v>163.625</v>
      </c>
      <c r="U107" s="4" t="n">
        <f aca="false">O107+L107+R107</f>
        <v>143.5</v>
      </c>
      <c r="V107" s="4" t="n">
        <f aca="false">P107+M107+S107</f>
        <v>294</v>
      </c>
      <c r="W107" s="4" t="n">
        <f aca="false">Q107+N107+T107</f>
        <v>649.125</v>
      </c>
      <c r="X107" s="4" t="n">
        <f aca="false">'City Data'!K107</f>
        <v>95</v>
      </c>
      <c r="Y107" s="4" t="n">
        <f aca="false">'City Data'!L107</f>
        <v>230</v>
      </c>
      <c r="Z107" s="4" t="n">
        <f aca="false">'City Data'!M107</f>
        <v>650</v>
      </c>
      <c r="AA107" s="4" t="n">
        <f aca="false">U107-X107</f>
        <v>48.5</v>
      </c>
      <c r="AB107" s="4" t="n">
        <f aca="false">V107-Y107</f>
        <v>64</v>
      </c>
      <c r="AC107" s="4" t="n">
        <f aca="false">W107-Z107</f>
        <v>-0.875</v>
      </c>
      <c r="AD107" s="4" t="str">
        <f aca="false">IF(OR(AND(X107&lt;&gt;0,ABS(AA107)&gt;Assumptions!$B$18*X107),AND(Y107&lt;&gt;0,ABS(AB107)&gt;Assumptions!$B$18*Y107),AND(Z107&lt;&gt;0,ABS(AC107)&gt;Assumptions!$B$18*Z107)),"REVIEW","")</f>
        <v>REVIEW</v>
      </c>
    </row>
    <row r="108" customFormat="false" ht="15" hidden="false" customHeight="false" outlineLevel="0" collapsed="false">
      <c r="A108" s="0" t="str">
        <f aca="false">'City Data'!A108</f>
        <v>Jinan</v>
      </c>
      <c r="B108" s="4" t="n">
        <f aca="false">'City Data'!B108/Assumptions!$B$2</f>
        <v>10</v>
      </c>
      <c r="C108" s="4" t="n">
        <f aca="false">'City Data'!C108/Assumptions!$B$2</f>
        <v>27.5</v>
      </c>
      <c r="D108" s="4" t="n">
        <f aca="false">'City Data'!D108/Assumptions!$B$2</f>
        <v>65</v>
      </c>
      <c r="E108" s="4" t="n">
        <f aca="false">Assumptions!$B$3*Assumptions!$B$4*'City Data'!E108</f>
        <v>18</v>
      </c>
      <c r="F108" s="4" t="n">
        <f aca="false">Assumptions!$B$3*Assumptions!$B$5*'City Data'!E108</f>
        <v>32.4</v>
      </c>
      <c r="G108" s="4" t="n">
        <f aca="false">Assumptions!$B$3*Assumptions!$B$6*'City Data'!E108</f>
        <v>63</v>
      </c>
      <c r="H108" s="4" t="n">
        <f aca="false">Assumptions!$B$7*'City Data'!F108</f>
        <v>3</v>
      </c>
      <c r="I108" s="4" t="n">
        <f aca="false">Assumptions!$B$8*'City Data'!F108</f>
        <v>6</v>
      </c>
      <c r="J108" s="4" t="n">
        <f aca="false">Assumptions!$B$9*'City Data'!F108</f>
        <v>12</v>
      </c>
      <c r="K108" s="4" t="n">
        <f aca="false">'City Data'!G108+'City Data'!H108</f>
        <v>4.5</v>
      </c>
      <c r="L108" s="4" t="n">
        <f aca="false">IF(AND(Assumptions!$B$13,ISNUMBER('City Data'!I108)),Assumptions!$B$10*'City Data'!I108,0)</f>
        <v>1.5</v>
      </c>
      <c r="M108" s="4" t="n">
        <f aca="false">IF(AND(Assumptions!$B$13,ISNUMBER('City Data'!I108)),Assumptions!$B$11*'City Data'!I108,0)</f>
        <v>3</v>
      </c>
      <c r="N108" s="4" t="n">
        <f aca="false">IF(AND(Assumptions!$B$13,ISNUMBER('City Data'!I108)),Assumptions!$B$12*'City Data'!I108,0)</f>
        <v>4.5</v>
      </c>
      <c r="O108" s="4" t="n">
        <f aca="false">B108+E108+H108+K108</f>
        <v>35.5</v>
      </c>
      <c r="P108" s="4" t="n">
        <f aca="false">C108+F108+I108+K108</f>
        <v>70.4</v>
      </c>
      <c r="Q108" s="4" t="n">
        <f aca="false">D108+G108+J108+K108</f>
        <v>144.5</v>
      </c>
      <c r="R108" s="4" t="n">
        <f aca="false">IF(Assumptions!$B$14,Assumptions!$B$15*O108,0)</f>
        <v>3.55</v>
      </c>
      <c r="S108" s="4" t="n">
        <f aca="false">IF(Assumptions!$B$14,Assumptions!$B$16*P108,0)</f>
        <v>14.08</v>
      </c>
      <c r="T108" s="4" t="n">
        <f aca="false">IF(Assumptions!$B$14,Assumptions!$B$17*Q108,0)</f>
        <v>50.575</v>
      </c>
      <c r="U108" s="4" t="n">
        <f aca="false">O108+L108+R108</f>
        <v>40.55</v>
      </c>
      <c r="V108" s="4" t="n">
        <f aca="false">P108+M108+S108</f>
        <v>87.48</v>
      </c>
      <c r="W108" s="4" t="n">
        <f aca="false">Q108+N108+T108</f>
        <v>199.575</v>
      </c>
      <c r="X108" s="4" t="n">
        <f aca="false">'City Data'!K108</f>
        <v>30</v>
      </c>
      <c r="Y108" s="4" t="n">
        <f aca="false">'City Data'!L108</f>
        <v>70</v>
      </c>
      <c r="Z108" s="4" t="n">
        <f aca="false">'City Data'!M108</f>
        <v>200</v>
      </c>
      <c r="AA108" s="4" t="n">
        <f aca="false">U108-X108</f>
        <v>10.55</v>
      </c>
      <c r="AB108" s="4" t="n">
        <f aca="false">V108-Y108</f>
        <v>17.48</v>
      </c>
      <c r="AC108" s="4" t="n">
        <f aca="false">W108-Z108</f>
        <v>-0.425000000000011</v>
      </c>
      <c r="AD108" s="4" t="str">
        <f aca="false">IF(OR(AND(X108&lt;&gt;0,ABS(AA108)&gt;Assumptions!$B$18*X108),AND(Y108&lt;&gt;0,ABS(AB108)&gt;Assumptions!$B$18*Y108),AND(Z108&lt;&gt;0,ABS(AC108)&gt;Assumptions!$B$18*Z108)),"REVIEW","")</f>
        <v>REVIEW</v>
      </c>
    </row>
    <row r="109" customFormat="false" ht="15" hidden="false" customHeight="false" outlineLevel="0" collapsed="false">
      <c r="A109" s="0" t="str">
        <f aca="false">'City Data'!A109</f>
        <v>Johor Bahru</v>
      </c>
      <c r="B109" s="4" t="n">
        <f aca="false">'City Data'!B109/Assumptions!$B$2</f>
        <v>12.5</v>
      </c>
      <c r="C109" s="4" t="n">
        <f aca="false">'City Data'!C109/Assumptions!$B$2</f>
        <v>27.5</v>
      </c>
      <c r="D109" s="4" t="n">
        <f aca="false">'City Data'!D109/Assumptions!$B$2</f>
        <v>90</v>
      </c>
      <c r="E109" s="4" t="n">
        <f aca="false">Assumptions!$B$3*Assumptions!$B$4*'City Data'!E109</f>
        <v>24</v>
      </c>
      <c r="F109" s="4" t="n">
        <f aca="false">Assumptions!$B$3*Assumptions!$B$5*'City Data'!E109</f>
        <v>43.2</v>
      </c>
      <c r="G109" s="4" t="n">
        <f aca="false">Assumptions!$B$3*Assumptions!$B$6*'City Data'!E109</f>
        <v>84</v>
      </c>
      <c r="H109" s="4" t="n">
        <f aca="false">Assumptions!$B$7*'City Data'!F109</f>
        <v>8</v>
      </c>
      <c r="I109" s="4" t="n">
        <f aca="false">Assumptions!$B$8*'City Data'!F109</f>
        <v>16</v>
      </c>
      <c r="J109" s="4" t="n">
        <f aca="false">Assumptions!$B$9*'City Data'!F109</f>
        <v>32</v>
      </c>
      <c r="K109" s="4" t="n">
        <f aca="false">'City Data'!G109+'City Data'!H109</f>
        <v>3</v>
      </c>
      <c r="L109" s="4" t="n">
        <f aca="false">IF(AND(Assumptions!$B$13,ISNUMBER('City Data'!I109)),Assumptions!$B$10*'City Data'!I109,0)</f>
        <v>4.5</v>
      </c>
      <c r="M109" s="4" t="n">
        <f aca="false">IF(AND(Assumptions!$B$13,ISNUMBER('City Data'!I109)),Assumptions!$B$11*'City Data'!I109,0)</f>
        <v>9</v>
      </c>
      <c r="N109" s="4" t="n">
        <f aca="false">IF(AND(Assumptions!$B$13,ISNUMBER('City Data'!I109)),Assumptions!$B$12*'City Data'!I109,0)</f>
        <v>13.5</v>
      </c>
      <c r="O109" s="4" t="n">
        <f aca="false">B109+E109+H109+K109</f>
        <v>47.5</v>
      </c>
      <c r="P109" s="4" t="n">
        <f aca="false">C109+F109+I109+K109</f>
        <v>89.7</v>
      </c>
      <c r="Q109" s="4" t="n">
        <f aca="false">D109+G109+J109+K109</f>
        <v>209</v>
      </c>
      <c r="R109" s="4" t="n">
        <f aca="false">IF(Assumptions!$B$14,Assumptions!$B$15*O109,0)</f>
        <v>4.75</v>
      </c>
      <c r="S109" s="4" t="n">
        <f aca="false">IF(Assumptions!$B$14,Assumptions!$B$16*P109,0)</f>
        <v>17.94</v>
      </c>
      <c r="T109" s="4" t="n">
        <f aca="false">IF(Assumptions!$B$14,Assumptions!$B$17*Q109,0)</f>
        <v>73.15</v>
      </c>
      <c r="U109" s="4" t="n">
        <f aca="false">O109+L109+R109</f>
        <v>56.75</v>
      </c>
      <c r="V109" s="4" t="n">
        <f aca="false">P109+M109+S109</f>
        <v>116.64</v>
      </c>
      <c r="W109" s="4" t="n">
        <f aca="false">Q109+N109+T109</f>
        <v>295.65</v>
      </c>
      <c r="X109" s="4" t="n">
        <f aca="false">'City Data'!K109</f>
        <v>30</v>
      </c>
      <c r="Y109" s="4" t="n">
        <f aca="false">'City Data'!L109</f>
        <v>75</v>
      </c>
      <c r="Z109" s="4" t="n">
        <f aca="false">'City Data'!M109</f>
        <v>220</v>
      </c>
      <c r="AA109" s="4" t="n">
        <f aca="false">U109-X109</f>
        <v>26.75</v>
      </c>
      <c r="AB109" s="4" t="n">
        <f aca="false">V109-Y109</f>
        <v>41.64</v>
      </c>
      <c r="AC109" s="4" t="n">
        <f aca="false">W109-Z109</f>
        <v>75.65</v>
      </c>
      <c r="AD109" s="4" t="str">
        <f aca="false">IF(OR(AND(X109&lt;&gt;0,ABS(AA109)&gt;Assumptions!$B$18*X109),AND(Y109&lt;&gt;0,ABS(AB109)&gt;Assumptions!$B$18*Y109),AND(Z109&lt;&gt;0,ABS(AC109)&gt;Assumptions!$B$18*Z109)),"REVIEW","")</f>
        <v>REVIEW</v>
      </c>
    </row>
    <row r="110" customFormat="false" ht="15" hidden="false" customHeight="false" outlineLevel="0" collapsed="false">
      <c r="A110" s="0" t="str">
        <f aca="false">'City Data'!A110</f>
        <v>Juba</v>
      </c>
      <c r="B110" s="4" t="n">
        <f aca="false">'City Data'!B110/Assumptions!$B$2</f>
        <v>15</v>
      </c>
      <c r="C110" s="4" t="n">
        <f aca="false">'City Data'!C110/Assumptions!$B$2</f>
        <v>65</v>
      </c>
      <c r="D110" s="4" t="n">
        <f aca="false">'City Data'!D110/Assumptions!$B$2</f>
        <v>110</v>
      </c>
      <c r="E110" s="4" t="n">
        <f aca="false">Assumptions!$B$3*Assumptions!$B$4*'City Data'!E110</f>
        <v>45</v>
      </c>
      <c r="F110" s="4" t="n">
        <f aca="false">Assumptions!$B$3*Assumptions!$B$5*'City Data'!E110</f>
        <v>81</v>
      </c>
      <c r="G110" s="4" t="n">
        <f aca="false">Assumptions!$B$3*Assumptions!$B$6*'City Data'!E110</f>
        <v>157.5</v>
      </c>
      <c r="H110" s="4" t="n">
        <f aca="false">Assumptions!$B$7*'City Data'!F110</f>
        <v>8</v>
      </c>
      <c r="I110" s="4" t="n">
        <f aca="false">Assumptions!$B$8*'City Data'!F110</f>
        <v>16</v>
      </c>
      <c r="J110" s="4" t="n">
        <f aca="false">Assumptions!$B$9*'City Data'!F110</f>
        <v>32</v>
      </c>
      <c r="K110" s="4" t="n">
        <f aca="false">'City Data'!G110+'City Data'!H110</f>
        <v>4</v>
      </c>
      <c r="L110" s="4" t="n">
        <f aca="false">IF(AND(Assumptions!$B$13,ISNUMBER('City Data'!I110)),Assumptions!$B$10*'City Data'!I110,0)</f>
        <v>3</v>
      </c>
      <c r="M110" s="4" t="n">
        <f aca="false">IF(AND(Assumptions!$B$13,ISNUMBER('City Data'!I110)),Assumptions!$B$11*'City Data'!I110,0)</f>
        <v>6</v>
      </c>
      <c r="N110" s="4" t="n">
        <f aca="false">IF(AND(Assumptions!$B$13,ISNUMBER('City Data'!I110)),Assumptions!$B$12*'City Data'!I110,0)</f>
        <v>9</v>
      </c>
      <c r="O110" s="4" t="n">
        <f aca="false">B110+E110+H110+K110</f>
        <v>72</v>
      </c>
      <c r="P110" s="4" t="n">
        <f aca="false">C110+F110+I110+K110</f>
        <v>166</v>
      </c>
      <c r="Q110" s="4" t="n">
        <f aca="false">D110+G110+J110+K110</f>
        <v>303.5</v>
      </c>
      <c r="R110" s="4" t="n">
        <f aca="false">IF(Assumptions!$B$14,Assumptions!$B$15*O110,0)</f>
        <v>7.2</v>
      </c>
      <c r="S110" s="4" t="n">
        <f aca="false">IF(Assumptions!$B$14,Assumptions!$B$16*P110,0)</f>
        <v>33.2</v>
      </c>
      <c r="T110" s="4" t="n">
        <f aca="false">IF(Assumptions!$B$14,Assumptions!$B$17*Q110,0)</f>
        <v>106.225</v>
      </c>
      <c r="U110" s="4" t="n">
        <f aca="false">O110+L110+R110</f>
        <v>82.2</v>
      </c>
      <c r="V110" s="4" t="n">
        <f aca="false">P110+M110+S110</f>
        <v>205.2</v>
      </c>
      <c r="W110" s="4" t="n">
        <f aca="false">Q110+N110+T110</f>
        <v>418.725</v>
      </c>
      <c r="X110" s="4" t="n">
        <f aca="false">'City Data'!K110</f>
        <v>45</v>
      </c>
      <c r="Y110" s="4" t="n">
        <f aca="false">'City Data'!L110</f>
        <v>115</v>
      </c>
      <c r="Z110" s="4" t="n">
        <f aca="false">'City Data'!M110</f>
        <v>345</v>
      </c>
      <c r="AA110" s="4" t="n">
        <f aca="false">U110-X110</f>
        <v>37.2</v>
      </c>
      <c r="AB110" s="4" t="n">
        <f aca="false">V110-Y110</f>
        <v>90.2</v>
      </c>
      <c r="AC110" s="4" t="n">
        <f aca="false">W110-Z110</f>
        <v>73.725</v>
      </c>
      <c r="AD110" s="4" t="str">
        <f aca="false">IF(OR(AND(X110&lt;&gt;0,ABS(AA110)&gt;Assumptions!$B$18*X110),AND(Y110&lt;&gt;0,ABS(AB110)&gt;Assumptions!$B$18*Y110),AND(Z110&lt;&gt;0,ABS(AC110)&gt;Assumptions!$B$18*Z110)),"REVIEW","")</f>
        <v>REVIEW</v>
      </c>
    </row>
    <row r="111" customFormat="false" ht="15" hidden="false" customHeight="false" outlineLevel="0" collapsed="false">
      <c r="A111" s="0" t="str">
        <f aca="false">'City Data'!A111</f>
        <v>Kabul</v>
      </c>
      <c r="B111" s="4" t="n">
        <f aca="false">'City Data'!B111/Assumptions!$B$2</f>
        <v>7.5</v>
      </c>
      <c r="C111" s="4" t="n">
        <f aca="false">'City Data'!C111/Assumptions!$B$2</f>
        <v>35</v>
      </c>
      <c r="D111" s="4" t="n">
        <f aca="false">'City Data'!D111/Assumptions!$B$2</f>
        <v>90</v>
      </c>
      <c r="E111" s="4" t="n">
        <f aca="false">Assumptions!$B$3*Assumptions!$B$4*'City Data'!E111</f>
        <v>30</v>
      </c>
      <c r="F111" s="4" t="n">
        <f aca="false">Assumptions!$B$3*Assumptions!$B$5*'City Data'!E111</f>
        <v>54</v>
      </c>
      <c r="G111" s="4" t="n">
        <f aca="false">Assumptions!$B$3*Assumptions!$B$6*'City Data'!E111</f>
        <v>105</v>
      </c>
      <c r="H111" s="4" t="n">
        <f aca="false">Assumptions!$B$7*'City Data'!F111</f>
        <v>4</v>
      </c>
      <c r="I111" s="4" t="n">
        <f aca="false">Assumptions!$B$8*'City Data'!F111</f>
        <v>8</v>
      </c>
      <c r="J111" s="4" t="n">
        <f aca="false">Assumptions!$B$9*'City Data'!F111</f>
        <v>16</v>
      </c>
      <c r="K111" s="4" t="n">
        <f aca="false">'City Data'!G111+'City Data'!H111</f>
        <v>3.1</v>
      </c>
      <c r="L111" s="4" t="n">
        <f aca="false">IF(AND(Assumptions!$B$13,ISNUMBER('City Data'!I111)),Assumptions!$B$10*'City Data'!I111,0)</f>
        <v>0</v>
      </c>
      <c r="M111" s="4" t="n">
        <f aca="false">IF(AND(Assumptions!$B$13,ISNUMBER('City Data'!I111)),Assumptions!$B$11*'City Data'!I111,0)</f>
        <v>0</v>
      </c>
      <c r="N111" s="4" t="n">
        <f aca="false">IF(AND(Assumptions!$B$13,ISNUMBER('City Data'!I111)),Assumptions!$B$12*'City Data'!I111,0)</f>
        <v>0</v>
      </c>
      <c r="O111" s="4" t="n">
        <f aca="false">B111+E111+H111+K111</f>
        <v>44.6</v>
      </c>
      <c r="P111" s="4" t="n">
        <f aca="false">C111+F111+I111+K111</f>
        <v>100.1</v>
      </c>
      <c r="Q111" s="4" t="n">
        <f aca="false">D111+G111+J111+K111</f>
        <v>214.1</v>
      </c>
      <c r="R111" s="4" t="n">
        <f aca="false">IF(Assumptions!$B$14,Assumptions!$B$15*O111,0)</f>
        <v>4.46</v>
      </c>
      <c r="S111" s="4" t="n">
        <f aca="false">IF(Assumptions!$B$14,Assumptions!$B$16*P111,0)</f>
        <v>20.02</v>
      </c>
      <c r="T111" s="4" t="n">
        <f aca="false">IF(Assumptions!$B$14,Assumptions!$B$17*Q111,0)</f>
        <v>74.935</v>
      </c>
      <c r="U111" s="4" t="n">
        <f aca="false">O111+L111+R111</f>
        <v>49.06</v>
      </c>
      <c r="V111" s="4" t="n">
        <f aca="false">P111+M111+S111</f>
        <v>120.12</v>
      </c>
      <c r="W111" s="4" t="n">
        <f aca="false">Q111+N111+T111</f>
        <v>289.035</v>
      </c>
      <c r="X111" s="4" t="n">
        <f aca="false">'City Data'!K111</f>
        <v>35</v>
      </c>
      <c r="Y111" s="4" t="n">
        <f aca="false">'City Data'!L111</f>
        <v>85</v>
      </c>
      <c r="Z111" s="4" t="n">
        <f aca="false">'City Data'!M111</f>
        <v>265</v>
      </c>
      <c r="AA111" s="4" t="n">
        <f aca="false">U111-X111</f>
        <v>14.06</v>
      </c>
      <c r="AB111" s="4" t="n">
        <f aca="false">V111-Y111</f>
        <v>35.12</v>
      </c>
      <c r="AC111" s="4" t="n">
        <f aca="false">W111-Z111</f>
        <v>24.035</v>
      </c>
      <c r="AD111" s="4" t="str">
        <f aca="false">IF(OR(AND(X111&lt;&gt;0,ABS(AA111)&gt;Assumptions!$B$18*X111),AND(Y111&lt;&gt;0,ABS(AB111)&gt;Assumptions!$B$18*Y111),AND(Z111&lt;&gt;0,ABS(AC111)&gt;Assumptions!$B$18*Z111)),"REVIEW","")</f>
        <v>REVIEW</v>
      </c>
    </row>
    <row r="112" customFormat="false" ht="15" hidden="false" customHeight="false" outlineLevel="0" collapsed="false">
      <c r="A112" s="0" t="str">
        <f aca="false">'City Data'!A112</f>
        <v>Kampala</v>
      </c>
      <c r="B112" s="4" t="n">
        <f aca="false">'City Data'!B112/Assumptions!$B$2</f>
        <v>7.5</v>
      </c>
      <c r="C112" s="4" t="n">
        <f aca="false">'City Data'!C112/Assumptions!$B$2</f>
        <v>35</v>
      </c>
      <c r="D112" s="4" t="n">
        <f aca="false">'City Data'!D112/Assumptions!$B$2</f>
        <v>125</v>
      </c>
      <c r="E112" s="4" t="n">
        <f aca="false">Assumptions!$B$3*Assumptions!$B$4*'City Data'!E112</f>
        <v>30</v>
      </c>
      <c r="F112" s="4" t="n">
        <f aca="false">Assumptions!$B$3*Assumptions!$B$5*'City Data'!E112</f>
        <v>54</v>
      </c>
      <c r="G112" s="4" t="n">
        <f aca="false">Assumptions!$B$3*Assumptions!$B$6*'City Data'!E112</f>
        <v>105</v>
      </c>
      <c r="H112" s="4" t="n">
        <f aca="false">Assumptions!$B$7*'City Data'!F112</f>
        <v>5</v>
      </c>
      <c r="I112" s="4" t="n">
        <f aca="false">Assumptions!$B$8*'City Data'!F112</f>
        <v>10</v>
      </c>
      <c r="J112" s="4" t="n">
        <f aca="false">Assumptions!$B$9*'City Data'!F112</f>
        <v>20</v>
      </c>
      <c r="K112" s="4" t="n">
        <f aca="false">'City Data'!G112+'City Data'!H112</f>
        <v>4</v>
      </c>
      <c r="L112" s="4" t="n">
        <f aca="false">IF(AND(Assumptions!$B$13,ISNUMBER('City Data'!I112)),Assumptions!$B$10*'City Data'!I112,0)</f>
        <v>2</v>
      </c>
      <c r="M112" s="4" t="n">
        <f aca="false">IF(AND(Assumptions!$B$13,ISNUMBER('City Data'!I112)),Assumptions!$B$11*'City Data'!I112,0)</f>
        <v>4</v>
      </c>
      <c r="N112" s="4" t="n">
        <f aca="false">IF(AND(Assumptions!$B$13,ISNUMBER('City Data'!I112)),Assumptions!$B$12*'City Data'!I112,0)</f>
        <v>6</v>
      </c>
      <c r="O112" s="4" t="n">
        <f aca="false">B112+E112+H112+K112</f>
        <v>46.5</v>
      </c>
      <c r="P112" s="4" t="n">
        <f aca="false">C112+F112+I112+K112</f>
        <v>103</v>
      </c>
      <c r="Q112" s="4" t="n">
        <f aca="false">D112+G112+J112+K112</f>
        <v>254</v>
      </c>
      <c r="R112" s="4" t="n">
        <f aca="false">IF(Assumptions!$B$14,Assumptions!$B$15*O112,0)</f>
        <v>4.65</v>
      </c>
      <c r="S112" s="4" t="n">
        <f aca="false">IF(Assumptions!$B$14,Assumptions!$B$16*P112,0)</f>
        <v>20.6</v>
      </c>
      <c r="T112" s="4" t="n">
        <f aca="false">IF(Assumptions!$B$14,Assumptions!$B$17*Q112,0)</f>
        <v>88.9</v>
      </c>
      <c r="U112" s="4" t="n">
        <f aca="false">O112+L112+R112</f>
        <v>53.15</v>
      </c>
      <c r="V112" s="4" t="n">
        <f aca="false">P112+M112+S112</f>
        <v>127.6</v>
      </c>
      <c r="W112" s="4" t="n">
        <f aca="false">Q112+N112+T112</f>
        <v>348.9</v>
      </c>
      <c r="X112" s="4" t="n">
        <f aca="false">'City Data'!K112</f>
        <v>35</v>
      </c>
      <c r="Y112" s="4" t="n">
        <f aca="false">'City Data'!L112</f>
        <v>95</v>
      </c>
      <c r="Z112" s="4" t="n">
        <f aca="false">'City Data'!M112</f>
        <v>295</v>
      </c>
      <c r="AA112" s="4" t="n">
        <f aca="false">U112-X112</f>
        <v>18.15</v>
      </c>
      <c r="AB112" s="4" t="n">
        <f aca="false">V112-Y112</f>
        <v>32.6</v>
      </c>
      <c r="AC112" s="4" t="n">
        <f aca="false">W112-Z112</f>
        <v>53.9</v>
      </c>
      <c r="AD112" s="4" t="str">
        <f aca="false">IF(OR(AND(X112&lt;&gt;0,ABS(AA112)&gt;Assumptions!$B$18*X112),AND(Y112&lt;&gt;0,ABS(AB112)&gt;Assumptions!$B$18*Y112),AND(Z112&lt;&gt;0,ABS(AC112)&gt;Assumptions!$B$18*Z112)),"REVIEW","")</f>
        <v>REVIEW</v>
      </c>
    </row>
    <row r="113" customFormat="false" ht="15" hidden="false" customHeight="false" outlineLevel="0" collapsed="false">
      <c r="A113" s="0" t="str">
        <f aca="false">'City Data'!A113</f>
        <v>Kano</v>
      </c>
      <c r="B113" s="4" t="n">
        <f aca="false">'City Data'!B113/Assumptions!$B$2</f>
        <v>12.5</v>
      </c>
      <c r="C113" s="4" t="n">
        <f aca="false">'City Data'!C113/Assumptions!$B$2</f>
        <v>35</v>
      </c>
      <c r="D113" s="4" t="n">
        <f aca="false">'City Data'!D113/Assumptions!$B$2</f>
        <v>65</v>
      </c>
      <c r="E113" s="4" t="n">
        <f aca="false">Assumptions!$B$3*Assumptions!$B$4*'City Data'!E113</f>
        <v>15</v>
      </c>
      <c r="F113" s="4" t="n">
        <f aca="false">Assumptions!$B$3*Assumptions!$B$5*'City Data'!E113</f>
        <v>27</v>
      </c>
      <c r="G113" s="4" t="n">
        <f aca="false">Assumptions!$B$3*Assumptions!$B$6*'City Data'!E113</f>
        <v>52.5</v>
      </c>
      <c r="H113" s="4" t="n">
        <f aca="false">Assumptions!$B$7*'City Data'!F113</f>
        <v>3</v>
      </c>
      <c r="I113" s="4" t="n">
        <f aca="false">Assumptions!$B$8*'City Data'!F113</f>
        <v>6</v>
      </c>
      <c r="J113" s="4" t="n">
        <f aca="false">Assumptions!$B$9*'City Data'!F113</f>
        <v>12</v>
      </c>
      <c r="K113" s="4" t="n">
        <f aca="false">'City Data'!G113+'City Data'!H113</f>
        <v>2</v>
      </c>
      <c r="L113" s="4" t="n">
        <f aca="false">IF(AND(Assumptions!$B$13,ISNUMBER('City Data'!I113)),Assumptions!$B$10*'City Data'!I113,0)</f>
        <v>1.5</v>
      </c>
      <c r="M113" s="4" t="n">
        <f aca="false">IF(AND(Assumptions!$B$13,ISNUMBER('City Data'!I113)),Assumptions!$B$11*'City Data'!I113,0)</f>
        <v>3</v>
      </c>
      <c r="N113" s="4" t="n">
        <f aca="false">IF(AND(Assumptions!$B$13,ISNUMBER('City Data'!I113)),Assumptions!$B$12*'City Data'!I113,0)</f>
        <v>4.5</v>
      </c>
      <c r="O113" s="4" t="n">
        <f aca="false">B113+E113+H113+K113</f>
        <v>32.5</v>
      </c>
      <c r="P113" s="4" t="n">
        <f aca="false">C113+F113+I113+K113</f>
        <v>70</v>
      </c>
      <c r="Q113" s="4" t="n">
        <f aca="false">D113+G113+J113+K113</f>
        <v>131.5</v>
      </c>
      <c r="R113" s="4" t="n">
        <f aca="false">IF(Assumptions!$B$14,Assumptions!$B$15*O113,0)</f>
        <v>3.25</v>
      </c>
      <c r="S113" s="4" t="n">
        <f aca="false">IF(Assumptions!$B$14,Assumptions!$B$16*P113,0)</f>
        <v>14</v>
      </c>
      <c r="T113" s="4" t="n">
        <f aca="false">IF(Assumptions!$B$14,Assumptions!$B$17*Q113,0)</f>
        <v>46.025</v>
      </c>
      <c r="U113" s="4" t="n">
        <f aca="false">O113+L113+R113</f>
        <v>37.25</v>
      </c>
      <c r="V113" s="4" t="n">
        <f aca="false">P113+M113+S113</f>
        <v>87</v>
      </c>
      <c r="W113" s="4" t="n">
        <f aca="false">Q113+N113+T113</f>
        <v>182.025</v>
      </c>
      <c r="X113" s="4" t="n">
        <f aca="false">'City Data'!K113</f>
        <v>30</v>
      </c>
      <c r="Y113" s="4" t="n">
        <f aca="false">'City Data'!L113</f>
        <v>70</v>
      </c>
      <c r="Z113" s="4" t="n">
        <f aca="false">'City Data'!M113</f>
        <v>200</v>
      </c>
      <c r="AA113" s="4" t="n">
        <f aca="false">U113-X113</f>
        <v>7.25</v>
      </c>
      <c r="AB113" s="4" t="n">
        <f aca="false">V113-Y113</f>
        <v>17</v>
      </c>
      <c r="AC113" s="4" t="n">
        <f aca="false">W113-Z113</f>
        <v>-17.975</v>
      </c>
      <c r="AD113" s="4" t="str">
        <f aca="false">IF(OR(AND(X113&lt;&gt;0,ABS(AA113)&gt;Assumptions!$B$18*X113),AND(Y113&lt;&gt;0,ABS(AB113)&gt;Assumptions!$B$18*Y113),AND(Z113&lt;&gt;0,ABS(AC113)&gt;Assumptions!$B$18*Z113)),"REVIEW","")</f>
        <v/>
      </c>
    </row>
    <row r="114" customFormat="false" ht="15" hidden="false" customHeight="false" outlineLevel="0" collapsed="false">
      <c r="A114" s="0" t="str">
        <f aca="false">'City Data'!A114</f>
        <v>Karachi</v>
      </c>
      <c r="B114" s="4" t="n">
        <f aca="false">'City Data'!B114/Assumptions!$B$2</f>
        <v>10</v>
      </c>
      <c r="C114" s="4" t="n">
        <f aca="false">'City Data'!C114/Assumptions!$B$2</f>
        <v>35</v>
      </c>
      <c r="D114" s="4" t="n">
        <f aca="false">'City Data'!D114/Assumptions!$B$2</f>
        <v>75</v>
      </c>
      <c r="E114" s="4" t="n">
        <f aca="false">Assumptions!$B$3*Assumptions!$B$4*'City Data'!E114</f>
        <v>24</v>
      </c>
      <c r="F114" s="4" t="n">
        <f aca="false">Assumptions!$B$3*Assumptions!$B$5*'City Data'!E114</f>
        <v>43.2</v>
      </c>
      <c r="G114" s="4" t="n">
        <f aca="false">Assumptions!$B$3*Assumptions!$B$6*'City Data'!E114</f>
        <v>84</v>
      </c>
      <c r="H114" s="4" t="n">
        <f aca="false">Assumptions!$B$7*'City Data'!F114</f>
        <v>4</v>
      </c>
      <c r="I114" s="4" t="n">
        <f aca="false">Assumptions!$B$8*'City Data'!F114</f>
        <v>8</v>
      </c>
      <c r="J114" s="4" t="n">
        <f aca="false">Assumptions!$B$9*'City Data'!F114</f>
        <v>16</v>
      </c>
      <c r="K114" s="4" t="n">
        <f aca="false">'City Data'!G114+'City Data'!H114</f>
        <v>3.3</v>
      </c>
      <c r="L114" s="4" t="n">
        <f aca="false">IF(AND(Assumptions!$B$13,ISNUMBER('City Data'!I114)),Assumptions!$B$10*'City Data'!I114,0)</f>
        <v>0</v>
      </c>
      <c r="M114" s="4" t="n">
        <f aca="false">IF(AND(Assumptions!$B$13,ISNUMBER('City Data'!I114)),Assumptions!$B$11*'City Data'!I114,0)</f>
        <v>0</v>
      </c>
      <c r="N114" s="4" t="n">
        <f aca="false">IF(AND(Assumptions!$B$13,ISNUMBER('City Data'!I114)),Assumptions!$B$12*'City Data'!I114,0)</f>
        <v>0</v>
      </c>
      <c r="O114" s="4" t="n">
        <f aca="false">B114+E114+H114+K114</f>
        <v>41.3</v>
      </c>
      <c r="P114" s="4" t="n">
        <f aca="false">C114+F114+I114+K114</f>
        <v>89.5</v>
      </c>
      <c r="Q114" s="4" t="n">
        <f aca="false">D114+G114+J114+K114</f>
        <v>178.3</v>
      </c>
      <c r="R114" s="4" t="n">
        <f aca="false">IF(Assumptions!$B$14,Assumptions!$B$15*O114,0)</f>
        <v>4.13</v>
      </c>
      <c r="S114" s="4" t="n">
        <f aca="false">IF(Assumptions!$B$14,Assumptions!$B$16*P114,0)</f>
        <v>17.9</v>
      </c>
      <c r="T114" s="4" t="n">
        <f aca="false">IF(Assumptions!$B$14,Assumptions!$B$17*Q114,0)</f>
        <v>62.405</v>
      </c>
      <c r="U114" s="4" t="n">
        <f aca="false">O114+L114+R114</f>
        <v>45.43</v>
      </c>
      <c r="V114" s="4" t="n">
        <f aca="false">P114+M114+S114</f>
        <v>107.4</v>
      </c>
      <c r="W114" s="4" t="n">
        <f aca="false">Q114+N114+T114</f>
        <v>240.705</v>
      </c>
      <c r="X114" s="4" t="n">
        <f aca="false">'City Data'!K114</f>
        <v>35</v>
      </c>
      <c r="Y114" s="4" t="n">
        <f aca="false">'City Data'!L114</f>
        <v>80</v>
      </c>
      <c r="Z114" s="4" t="n">
        <f aca="false">'City Data'!M114</f>
        <v>245</v>
      </c>
      <c r="AA114" s="4" t="n">
        <f aca="false">U114-X114</f>
        <v>10.43</v>
      </c>
      <c r="AB114" s="4" t="n">
        <f aca="false">V114-Y114</f>
        <v>27.4</v>
      </c>
      <c r="AC114" s="4" t="n">
        <f aca="false">W114-Z114</f>
        <v>-4.29499999999999</v>
      </c>
      <c r="AD114" s="4" t="str">
        <f aca="false">IF(OR(AND(X114&lt;&gt;0,ABS(AA114)&gt;Assumptions!$B$18*X114),AND(Y114&lt;&gt;0,ABS(AB114)&gt;Assumptions!$B$18*Y114),AND(Z114&lt;&gt;0,ABS(AC114)&gt;Assumptions!$B$18*Z114)),"REVIEW","")</f>
        <v>REVIEW</v>
      </c>
    </row>
    <row r="115" customFormat="false" ht="15" hidden="false" customHeight="false" outlineLevel="0" collapsed="false">
      <c r="A115" s="0" t="str">
        <f aca="false">'City Data'!A115</f>
        <v>Kathmandu</v>
      </c>
      <c r="B115" s="4" t="n">
        <f aca="false">'City Data'!B115/Assumptions!$B$2</f>
        <v>6</v>
      </c>
      <c r="C115" s="4" t="n">
        <f aca="false">'City Data'!C115/Assumptions!$B$2</f>
        <v>22.5</v>
      </c>
      <c r="D115" s="4" t="n">
        <f aca="false">'City Data'!D115/Assumptions!$B$2</f>
        <v>110</v>
      </c>
      <c r="E115" s="4" t="n">
        <f aca="false">Assumptions!$B$3*Assumptions!$B$4*'City Data'!E115</f>
        <v>18</v>
      </c>
      <c r="F115" s="4" t="n">
        <f aca="false">Assumptions!$B$3*Assumptions!$B$5*'City Data'!E115</f>
        <v>32.4</v>
      </c>
      <c r="G115" s="4" t="n">
        <f aca="false">Assumptions!$B$3*Assumptions!$B$6*'City Data'!E115</f>
        <v>63</v>
      </c>
      <c r="H115" s="4" t="n">
        <f aca="false">Assumptions!$B$7*'City Data'!F115</f>
        <v>4</v>
      </c>
      <c r="I115" s="4" t="n">
        <f aca="false">Assumptions!$B$8*'City Data'!F115</f>
        <v>8</v>
      </c>
      <c r="J115" s="4" t="n">
        <f aca="false">Assumptions!$B$9*'City Data'!F115</f>
        <v>16</v>
      </c>
      <c r="K115" s="4" t="n">
        <f aca="false">'City Data'!G115+'City Data'!H115</f>
        <v>2.9</v>
      </c>
      <c r="L115" s="4" t="n">
        <f aca="false">IF(AND(Assumptions!$B$13,ISNUMBER('City Data'!I115)),Assumptions!$B$10*'City Data'!I115,0)</f>
        <v>3.5</v>
      </c>
      <c r="M115" s="4" t="n">
        <f aca="false">IF(AND(Assumptions!$B$13,ISNUMBER('City Data'!I115)),Assumptions!$B$11*'City Data'!I115,0)</f>
        <v>7</v>
      </c>
      <c r="N115" s="4" t="n">
        <f aca="false">IF(AND(Assumptions!$B$13,ISNUMBER('City Data'!I115)),Assumptions!$B$12*'City Data'!I115,0)</f>
        <v>10.5</v>
      </c>
      <c r="O115" s="4" t="n">
        <f aca="false">B115+E115+H115+K115</f>
        <v>30.9</v>
      </c>
      <c r="P115" s="4" t="n">
        <f aca="false">C115+F115+I115+K115</f>
        <v>65.8</v>
      </c>
      <c r="Q115" s="4" t="n">
        <f aca="false">D115+G115+J115+K115</f>
        <v>191.9</v>
      </c>
      <c r="R115" s="4" t="n">
        <f aca="false">IF(Assumptions!$B$14,Assumptions!$B$15*O115,0)</f>
        <v>3.09</v>
      </c>
      <c r="S115" s="4" t="n">
        <f aca="false">IF(Assumptions!$B$14,Assumptions!$B$16*P115,0)</f>
        <v>13.16</v>
      </c>
      <c r="T115" s="4" t="n">
        <f aca="false">IF(Assumptions!$B$14,Assumptions!$B$17*Q115,0)</f>
        <v>67.165</v>
      </c>
      <c r="U115" s="4" t="n">
        <f aca="false">O115+L115+R115</f>
        <v>37.49</v>
      </c>
      <c r="V115" s="4" t="n">
        <f aca="false">P115+M115+S115</f>
        <v>85.96</v>
      </c>
      <c r="W115" s="4" t="n">
        <f aca="false">Q115+N115+T115</f>
        <v>269.565</v>
      </c>
      <c r="X115" s="4" t="n">
        <f aca="false">'City Data'!K115</f>
        <v>30</v>
      </c>
      <c r="Y115" s="4" t="n">
        <f aca="false">'City Data'!L115</f>
        <v>80</v>
      </c>
      <c r="Z115" s="4" t="n">
        <f aca="false">'City Data'!M115</f>
        <v>245</v>
      </c>
      <c r="AA115" s="4" t="n">
        <f aca="false">U115-X115</f>
        <v>7.49</v>
      </c>
      <c r="AB115" s="4" t="n">
        <f aca="false">V115-Y115</f>
        <v>5.96000000000001</v>
      </c>
      <c r="AC115" s="4" t="n">
        <f aca="false">W115-Z115</f>
        <v>24.565</v>
      </c>
      <c r="AD115" s="4" t="str">
        <f aca="false">IF(OR(AND(X115&lt;&gt;0,ABS(AA115)&gt;Assumptions!$B$18*X115),AND(Y115&lt;&gt;0,ABS(AB115)&gt;Assumptions!$B$18*Y115),AND(Z115&lt;&gt;0,ABS(AC115)&gt;Assumptions!$B$18*Z115)),"REVIEW","")</f>
        <v/>
      </c>
    </row>
    <row r="116" customFormat="false" ht="15" hidden="false" customHeight="false" outlineLevel="0" collapsed="false">
      <c r="A116" s="0" t="str">
        <f aca="false">'City Data'!A116</f>
        <v>Khartoum</v>
      </c>
      <c r="B116" s="4" t="n">
        <f aca="false">'City Data'!B116/Assumptions!$B$2</f>
        <v>17.5</v>
      </c>
      <c r="C116" s="4" t="n">
        <f aca="false">'City Data'!C116/Assumptions!$B$2</f>
        <v>45</v>
      </c>
      <c r="D116" s="4" t="n">
        <f aca="false">'City Data'!D116/Assumptions!$B$2</f>
        <v>110</v>
      </c>
      <c r="E116" s="4" t="n">
        <f aca="false">Assumptions!$B$3*Assumptions!$B$4*'City Data'!E116</f>
        <v>36</v>
      </c>
      <c r="F116" s="4" t="n">
        <f aca="false">Assumptions!$B$3*Assumptions!$B$5*'City Data'!E116</f>
        <v>64.8</v>
      </c>
      <c r="G116" s="4" t="n">
        <f aca="false">Assumptions!$B$3*Assumptions!$B$6*'City Data'!E116</f>
        <v>126</v>
      </c>
      <c r="H116" s="4" t="n">
        <f aca="false">Assumptions!$B$7*'City Data'!F116</f>
        <v>6</v>
      </c>
      <c r="I116" s="4" t="n">
        <f aca="false">Assumptions!$B$8*'City Data'!F116</f>
        <v>12</v>
      </c>
      <c r="J116" s="4" t="n">
        <f aca="false">Assumptions!$B$9*'City Data'!F116</f>
        <v>24</v>
      </c>
      <c r="K116" s="4" t="n">
        <f aca="false">'City Data'!G116+'City Data'!H116</f>
        <v>3</v>
      </c>
      <c r="L116" s="4" t="n">
        <f aca="false">IF(AND(Assumptions!$B$13,ISNUMBER('City Data'!I116)),Assumptions!$B$10*'City Data'!I116,0)</f>
        <v>0</v>
      </c>
      <c r="M116" s="4" t="n">
        <f aca="false">IF(AND(Assumptions!$B$13,ISNUMBER('City Data'!I116)),Assumptions!$B$11*'City Data'!I116,0)</f>
        <v>0</v>
      </c>
      <c r="N116" s="4" t="n">
        <f aca="false">IF(AND(Assumptions!$B$13,ISNUMBER('City Data'!I116)),Assumptions!$B$12*'City Data'!I116,0)</f>
        <v>0</v>
      </c>
      <c r="O116" s="4" t="n">
        <f aca="false">B116+E116+H116+K116</f>
        <v>62.5</v>
      </c>
      <c r="P116" s="4" t="n">
        <f aca="false">C116+F116+I116+K116</f>
        <v>124.8</v>
      </c>
      <c r="Q116" s="4" t="n">
        <f aca="false">D116+G116+J116+K116</f>
        <v>263</v>
      </c>
      <c r="R116" s="4" t="n">
        <f aca="false">IF(Assumptions!$B$14,Assumptions!$B$15*O116,0)</f>
        <v>6.25</v>
      </c>
      <c r="S116" s="4" t="n">
        <f aca="false">IF(Assumptions!$B$14,Assumptions!$B$16*P116,0)</f>
        <v>24.96</v>
      </c>
      <c r="T116" s="4" t="n">
        <f aca="false">IF(Assumptions!$B$14,Assumptions!$B$17*Q116,0)</f>
        <v>92.05</v>
      </c>
      <c r="U116" s="4" t="n">
        <f aca="false">O116+L116+R116</f>
        <v>68.75</v>
      </c>
      <c r="V116" s="4" t="n">
        <f aca="false">P116+M116+S116</f>
        <v>149.76</v>
      </c>
      <c r="W116" s="4" t="n">
        <f aca="false">Q116+N116+T116</f>
        <v>355.05</v>
      </c>
      <c r="X116" s="4" t="n">
        <f aca="false">'City Data'!K116</f>
        <v>45</v>
      </c>
      <c r="Y116" s="4" t="n">
        <f aca="false">'City Data'!L116</f>
        <v>110</v>
      </c>
      <c r="Z116" s="4" t="n">
        <f aca="false">'City Data'!M116</f>
        <v>330</v>
      </c>
      <c r="AA116" s="4" t="n">
        <f aca="false">U116-X116</f>
        <v>23.75</v>
      </c>
      <c r="AB116" s="4" t="n">
        <f aca="false">V116-Y116</f>
        <v>39.76</v>
      </c>
      <c r="AC116" s="4" t="n">
        <f aca="false">W116-Z116</f>
        <v>25.05</v>
      </c>
      <c r="AD116" s="4" t="str">
        <f aca="false">IF(OR(AND(X116&lt;&gt;0,ABS(AA116)&gt;Assumptions!$B$18*X116),AND(Y116&lt;&gt;0,ABS(AB116)&gt;Assumptions!$B$18*Y116),AND(Z116&lt;&gt;0,ABS(AC116)&gt;Assumptions!$B$18*Z116)),"REVIEW","")</f>
        <v>REVIEW</v>
      </c>
    </row>
    <row r="117" customFormat="false" ht="15" hidden="false" customHeight="false" outlineLevel="0" collapsed="false">
      <c r="A117" s="0" t="str">
        <f aca="false">'City Data'!A117</f>
        <v>Kigali</v>
      </c>
      <c r="B117" s="4" t="n">
        <f aca="false">'City Data'!B117/Assumptions!$B$2</f>
        <v>12.5</v>
      </c>
      <c r="C117" s="4" t="n">
        <f aca="false">'City Data'!C117/Assumptions!$B$2</f>
        <v>37.5</v>
      </c>
      <c r="D117" s="4" t="n">
        <f aca="false">'City Data'!D117/Assumptions!$B$2</f>
        <v>125</v>
      </c>
      <c r="E117" s="4" t="n">
        <f aca="false">Assumptions!$B$3*Assumptions!$B$4*'City Data'!E117</f>
        <v>36</v>
      </c>
      <c r="F117" s="4" t="n">
        <f aca="false">Assumptions!$B$3*Assumptions!$B$5*'City Data'!E117</f>
        <v>64.8</v>
      </c>
      <c r="G117" s="4" t="n">
        <f aca="false">Assumptions!$B$3*Assumptions!$B$6*'City Data'!E117</f>
        <v>126</v>
      </c>
      <c r="H117" s="4" t="n">
        <f aca="false">Assumptions!$B$7*'City Data'!F117</f>
        <v>6</v>
      </c>
      <c r="I117" s="4" t="n">
        <f aca="false">Assumptions!$B$8*'City Data'!F117</f>
        <v>12</v>
      </c>
      <c r="J117" s="4" t="n">
        <f aca="false">Assumptions!$B$9*'City Data'!F117</f>
        <v>24</v>
      </c>
      <c r="K117" s="4" t="n">
        <f aca="false">'City Data'!G117+'City Data'!H117</f>
        <v>3.2</v>
      </c>
      <c r="L117" s="4" t="n">
        <f aca="false">IF(AND(Assumptions!$B$13,ISNUMBER('City Data'!I117)),Assumptions!$B$10*'City Data'!I117,0)</f>
        <v>2</v>
      </c>
      <c r="M117" s="4" t="n">
        <f aca="false">IF(AND(Assumptions!$B$13,ISNUMBER('City Data'!I117)),Assumptions!$B$11*'City Data'!I117,0)</f>
        <v>4</v>
      </c>
      <c r="N117" s="4" t="n">
        <f aca="false">IF(AND(Assumptions!$B$13,ISNUMBER('City Data'!I117)),Assumptions!$B$12*'City Data'!I117,0)</f>
        <v>6</v>
      </c>
      <c r="O117" s="4" t="n">
        <f aca="false">B117+E117+H117+K117</f>
        <v>57.7</v>
      </c>
      <c r="P117" s="4" t="n">
        <f aca="false">C117+F117+I117+K117</f>
        <v>117.5</v>
      </c>
      <c r="Q117" s="4" t="n">
        <f aca="false">D117+G117+J117+K117</f>
        <v>278.2</v>
      </c>
      <c r="R117" s="4" t="n">
        <f aca="false">IF(Assumptions!$B$14,Assumptions!$B$15*O117,0)</f>
        <v>5.77</v>
      </c>
      <c r="S117" s="4" t="n">
        <f aca="false">IF(Assumptions!$B$14,Assumptions!$B$16*P117,0)</f>
        <v>23.5</v>
      </c>
      <c r="T117" s="4" t="n">
        <f aca="false">IF(Assumptions!$B$14,Assumptions!$B$17*Q117,0)</f>
        <v>97.37</v>
      </c>
      <c r="U117" s="4" t="n">
        <f aca="false">O117+L117+R117</f>
        <v>65.47</v>
      </c>
      <c r="V117" s="4" t="n">
        <f aca="false">P117+M117+S117</f>
        <v>145</v>
      </c>
      <c r="W117" s="4" t="n">
        <f aca="false">Q117+N117+T117</f>
        <v>381.57</v>
      </c>
      <c r="X117" s="4" t="n">
        <f aca="false">'City Data'!K117</f>
        <v>40</v>
      </c>
      <c r="Y117" s="4" t="n">
        <f aca="false">'City Data'!L117</f>
        <v>105</v>
      </c>
      <c r="Z117" s="4" t="n">
        <f aca="false">'City Data'!M117</f>
        <v>330</v>
      </c>
      <c r="AA117" s="4" t="n">
        <f aca="false">U117-X117</f>
        <v>25.47</v>
      </c>
      <c r="AB117" s="4" t="n">
        <f aca="false">V117-Y117</f>
        <v>40</v>
      </c>
      <c r="AC117" s="4" t="n">
        <f aca="false">W117-Z117</f>
        <v>51.57</v>
      </c>
      <c r="AD117" s="4" t="str">
        <f aca="false">IF(OR(AND(X117&lt;&gt;0,ABS(AA117)&gt;Assumptions!$B$18*X117),AND(Y117&lt;&gt;0,ABS(AB117)&gt;Assumptions!$B$18*Y117),AND(Z117&lt;&gt;0,ABS(AC117)&gt;Assumptions!$B$18*Z117)),"REVIEW","")</f>
        <v>REVIEW</v>
      </c>
    </row>
    <row r="118" customFormat="false" ht="15" hidden="false" customHeight="false" outlineLevel="0" collapsed="false">
      <c r="A118" s="0" t="str">
        <f aca="false">'City Data'!A118</f>
        <v>Kingstown</v>
      </c>
      <c r="B118" s="4" t="n">
        <f aca="false">'City Data'!B118/Assumptions!$B$2</f>
        <v>32.5</v>
      </c>
      <c r="C118" s="4" t="n">
        <f aca="false">'City Data'!C118/Assumptions!$B$2</f>
        <v>60</v>
      </c>
      <c r="D118" s="4" t="n">
        <f aca="false">'City Data'!D118/Assumptions!$B$2</f>
        <v>140</v>
      </c>
      <c r="E118" s="4" t="n">
        <f aca="false">Assumptions!$B$3*Assumptions!$B$4*'City Data'!E118</f>
        <v>54</v>
      </c>
      <c r="F118" s="4" t="n">
        <f aca="false">Assumptions!$B$3*Assumptions!$B$5*'City Data'!E118</f>
        <v>97.2</v>
      </c>
      <c r="G118" s="4" t="n">
        <f aca="false">Assumptions!$B$3*Assumptions!$B$6*'City Data'!E118</f>
        <v>189</v>
      </c>
      <c r="H118" s="4" t="n">
        <f aca="false">Assumptions!$B$7*'City Data'!F118</f>
        <v>12</v>
      </c>
      <c r="I118" s="4" t="n">
        <f aca="false">Assumptions!$B$8*'City Data'!F118</f>
        <v>24</v>
      </c>
      <c r="J118" s="4" t="n">
        <f aca="false">Assumptions!$B$9*'City Data'!F118</f>
        <v>48</v>
      </c>
      <c r="K118" s="4" t="n">
        <f aca="false">'City Data'!G118+'City Data'!H118</f>
        <v>4.5</v>
      </c>
      <c r="L118" s="4" t="n">
        <f aca="false">IF(AND(Assumptions!$B$13,ISNUMBER('City Data'!I118)),Assumptions!$B$10*'City Data'!I118,0)</f>
        <v>3.5</v>
      </c>
      <c r="M118" s="4" t="n">
        <f aca="false">IF(AND(Assumptions!$B$13,ISNUMBER('City Data'!I118)),Assumptions!$B$11*'City Data'!I118,0)</f>
        <v>7</v>
      </c>
      <c r="N118" s="4" t="n">
        <f aca="false">IF(AND(Assumptions!$B$13,ISNUMBER('City Data'!I118)),Assumptions!$B$12*'City Data'!I118,0)</f>
        <v>10.5</v>
      </c>
      <c r="O118" s="4" t="n">
        <f aca="false">B118+E118+H118+K118</f>
        <v>103</v>
      </c>
      <c r="P118" s="4" t="n">
        <f aca="false">C118+F118+I118+K118</f>
        <v>185.7</v>
      </c>
      <c r="Q118" s="4" t="n">
        <f aca="false">D118+G118+J118+K118</f>
        <v>381.5</v>
      </c>
      <c r="R118" s="4" t="n">
        <f aca="false">IF(Assumptions!$B$14,Assumptions!$B$15*O118,0)</f>
        <v>10.3</v>
      </c>
      <c r="S118" s="4" t="n">
        <f aca="false">IF(Assumptions!$B$14,Assumptions!$B$16*P118,0)</f>
        <v>37.14</v>
      </c>
      <c r="T118" s="4" t="n">
        <f aca="false">IF(Assumptions!$B$14,Assumptions!$B$17*Q118,0)</f>
        <v>133.525</v>
      </c>
      <c r="U118" s="4" t="n">
        <f aca="false">O118+L118+R118</f>
        <v>116.8</v>
      </c>
      <c r="V118" s="4" t="n">
        <f aca="false">P118+M118+S118</f>
        <v>229.84</v>
      </c>
      <c r="W118" s="4" t="n">
        <f aca="false">Q118+N118+T118</f>
        <v>525.525</v>
      </c>
      <c r="X118" s="4" t="n">
        <f aca="false">'City Data'!K118</f>
        <v>65</v>
      </c>
      <c r="Y118" s="4" t="n">
        <f aca="false">'City Data'!L118</f>
        <v>160</v>
      </c>
      <c r="Z118" s="4" t="n">
        <f aca="false">'City Data'!M118</f>
        <v>450</v>
      </c>
      <c r="AA118" s="4" t="n">
        <f aca="false">U118-X118</f>
        <v>51.8</v>
      </c>
      <c r="AB118" s="4" t="n">
        <f aca="false">V118-Y118</f>
        <v>69.84</v>
      </c>
      <c r="AC118" s="4" t="n">
        <f aca="false">W118-Z118</f>
        <v>75.525</v>
      </c>
      <c r="AD118" s="4" t="str">
        <f aca="false">IF(OR(AND(X118&lt;&gt;0,ABS(AA118)&gt;Assumptions!$B$18*X118),AND(Y118&lt;&gt;0,ABS(AB118)&gt;Assumptions!$B$18*Y118),AND(Z118&lt;&gt;0,ABS(AC118)&gt;Assumptions!$B$18*Z118)),"REVIEW","")</f>
        <v>REVIEW</v>
      </c>
    </row>
    <row r="119" customFormat="false" ht="15" hidden="false" customHeight="false" outlineLevel="0" collapsed="false">
      <c r="A119" s="0" t="str">
        <f aca="false">'City Data'!A119</f>
        <v>Kinshasa</v>
      </c>
      <c r="B119" s="4" t="n">
        <f aca="false">'City Data'!B119/Assumptions!$B$2</f>
        <v>22.5</v>
      </c>
      <c r="C119" s="4" t="n">
        <f aca="false">'City Data'!C119/Assumptions!$B$2</f>
        <v>75</v>
      </c>
      <c r="D119" s="4" t="n">
        <f aca="false">'City Data'!D119/Assumptions!$B$2</f>
        <v>150</v>
      </c>
      <c r="E119" s="4" t="n">
        <f aca="false">Assumptions!$B$3*Assumptions!$B$4*'City Data'!E119</f>
        <v>54</v>
      </c>
      <c r="F119" s="4" t="n">
        <f aca="false">Assumptions!$B$3*Assumptions!$B$5*'City Data'!E119</f>
        <v>97.2</v>
      </c>
      <c r="G119" s="4" t="n">
        <f aca="false">Assumptions!$B$3*Assumptions!$B$6*'City Data'!E119</f>
        <v>189</v>
      </c>
      <c r="H119" s="4" t="n">
        <f aca="false">Assumptions!$B$7*'City Data'!F119</f>
        <v>8</v>
      </c>
      <c r="I119" s="4" t="n">
        <f aca="false">Assumptions!$B$8*'City Data'!F119</f>
        <v>16</v>
      </c>
      <c r="J119" s="4" t="n">
        <f aca="false">Assumptions!$B$9*'City Data'!F119</f>
        <v>32</v>
      </c>
      <c r="K119" s="4" t="n">
        <f aca="false">'City Data'!G119+'City Data'!H119</f>
        <v>7</v>
      </c>
      <c r="L119" s="4" t="n">
        <f aca="false">IF(AND(Assumptions!$B$13,ISNUMBER('City Data'!I119)),Assumptions!$B$10*'City Data'!I119,0)</f>
        <v>2.5</v>
      </c>
      <c r="M119" s="4" t="n">
        <f aca="false">IF(AND(Assumptions!$B$13,ISNUMBER('City Data'!I119)),Assumptions!$B$11*'City Data'!I119,0)</f>
        <v>5</v>
      </c>
      <c r="N119" s="4" t="n">
        <f aca="false">IF(AND(Assumptions!$B$13,ISNUMBER('City Data'!I119)),Assumptions!$B$12*'City Data'!I119,0)</f>
        <v>7.5</v>
      </c>
      <c r="O119" s="4" t="n">
        <f aca="false">B119+E119+H119+K119</f>
        <v>91.5</v>
      </c>
      <c r="P119" s="4" t="n">
        <f aca="false">C119+F119+I119+K119</f>
        <v>195.2</v>
      </c>
      <c r="Q119" s="4" t="n">
        <f aca="false">D119+G119+J119+K119</f>
        <v>378</v>
      </c>
      <c r="R119" s="4" t="n">
        <f aca="false">IF(Assumptions!$B$14,Assumptions!$B$15*O119,0)</f>
        <v>9.15</v>
      </c>
      <c r="S119" s="4" t="n">
        <f aca="false">IF(Assumptions!$B$14,Assumptions!$B$16*P119,0)</f>
        <v>39.04</v>
      </c>
      <c r="T119" s="4" t="n">
        <f aca="false">IF(Assumptions!$B$14,Assumptions!$B$17*Q119,0)</f>
        <v>132.3</v>
      </c>
      <c r="U119" s="4" t="n">
        <f aca="false">O119+L119+R119</f>
        <v>103.15</v>
      </c>
      <c r="V119" s="4" t="n">
        <f aca="false">P119+M119+S119</f>
        <v>239.24</v>
      </c>
      <c r="W119" s="4" t="n">
        <f aca="false">Q119+N119+T119</f>
        <v>517.8</v>
      </c>
      <c r="X119" s="4" t="n">
        <f aca="false">'City Data'!K119</f>
        <v>55</v>
      </c>
      <c r="Y119" s="4" t="n">
        <f aca="false">'City Data'!L119</f>
        <v>145</v>
      </c>
      <c r="Z119" s="4" t="n">
        <f aca="false">'City Data'!M119</f>
        <v>425</v>
      </c>
      <c r="AA119" s="4" t="n">
        <f aca="false">U119-X119</f>
        <v>48.15</v>
      </c>
      <c r="AB119" s="4" t="n">
        <f aca="false">V119-Y119</f>
        <v>94.24</v>
      </c>
      <c r="AC119" s="4" t="n">
        <f aca="false">W119-Z119</f>
        <v>92.8</v>
      </c>
      <c r="AD119" s="4" t="str">
        <f aca="false">IF(OR(AND(X119&lt;&gt;0,ABS(AA119)&gt;Assumptions!$B$18*X119),AND(Y119&lt;&gt;0,ABS(AB119)&gt;Assumptions!$B$18*Y119),AND(Z119&lt;&gt;0,ABS(AC119)&gt;Assumptions!$B$18*Z119)),"REVIEW","")</f>
        <v>REVIEW</v>
      </c>
    </row>
    <row r="120" customFormat="false" ht="15" hidden="false" customHeight="false" outlineLevel="0" collapsed="false">
      <c r="A120" s="0" t="str">
        <f aca="false">'City Data'!A120</f>
        <v>Kolkata</v>
      </c>
      <c r="B120" s="4" t="n">
        <f aca="false">'City Data'!B120/Assumptions!$B$2</f>
        <v>9</v>
      </c>
      <c r="C120" s="4" t="n">
        <f aca="false">'City Data'!C120/Assumptions!$B$2</f>
        <v>22.5</v>
      </c>
      <c r="D120" s="4" t="n">
        <f aca="false">'City Data'!D120/Assumptions!$B$2</f>
        <v>65</v>
      </c>
      <c r="E120" s="4" t="n">
        <f aca="false">Assumptions!$B$3*Assumptions!$B$4*'City Data'!E120</f>
        <v>15</v>
      </c>
      <c r="F120" s="4" t="n">
        <f aca="false">Assumptions!$B$3*Assumptions!$B$5*'City Data'!E120</f>
        <v>27</v>
      </c>
      <c r="G120" s="4" t="n">
        <f aca="false">Assumptions!$B$3*Assumptions!$B$6*'City Data'!E120</f>
        <v>52.5</v>
      </c>
      <c r="H120" s="4" t="n">
        <f aca="false">Assumptions!$B$7*'City Data'!F120</f>
        <v>3</v>
      </c>
      <c r="I120" s="4" t="n">
        <f aca="false">Assumptions!$B$8*'City Data'!F120</f>
        <v>6</v>
      </c>
      <c r="J120" s="4" t="n">
        <f aca="false">Assumptions!$B$9*'City Data'!F120</f>
        <v>12</v>
      </c>
      <c r="K120" s="4" t="n">
        <f aca="false">'City Data'!G120+'City Data'!H120</f>
        <v>1.8</v>
      </c>
      <c r="L120" s="4" t="n">
        <f aca="false">IF(AND(Assumptions!$B$13,ISNUMBER('City Data'!I120)),Assumptions!$B$10*'City Data'!I120,0)</f>
        <v>2.5</v>
      </c>
      <c r="M120" s="4" t="n">
        <f aca="false">IF(AND(Assumptions!$B$13,ISNUMBER('City Data'!I120)),Assumptions!$B$11*'City Data'!I120,0)</f>
        <v>5</v>
      </c>
      <c r="N120" s="4" t="n">
        <f aca="false">IF(AND(Assumptions!$B$13,ISNUMBER('City Data'!I120)),Assumptions!$B$12*'City Data'!I120,0)</f>
        <v>7.5</v>
      </c>
      <c r="O120" s="4" t="n">
        <f aca="false">B120+E120+H120+K120</f>
        <v>28.8</v>
      </c>
      <c r="P120" s="4" t="n">
        <f aca="false">C120+F120+I120+K120</f>
        <v>57.3</v>
      </c>
      <c r="Q120" s="4" t="n">
        <f aca="false">D120+G120+J120+K120</f>
        <v>131.3</v>
      </c>
      <c r="R120" s="4" t="n">
        <f aca="false">IF(Assumptions!$B$14,Assumptions!$B$15*O120,0)</f>
        <v>2.88</v>
      </c>
      <c r="S120" s="4" t="n">
        <f aca="false">IF(Assumptions!$B$14,Assumptions!$B$16*P120,0)</f>
        <v>11.46</v>
      </c>
      <c r="T120" s="4" t="n">
        <f aca="false">IF(Assumptions!$B$14,Assumptions!$B$17*Q120,0)</f>
        <v>45.955</v>
      </c>
      <c r="U120" s="4" t="n">
        <f aca="false">O120+L120+R120</f>
        <v>34.18</v>
      </c>
      <c r="V120" s="4" t="n">
        <f aca="false">P120+M120+S120</f>
        <v>73.76</v>
      </c>
      <c r="W120" s="4" t="n">
        <f aca="false">Q120+N120+T120</f>
        <v>184.755</v>
      </c>
      <c r="X120" s="4" t="n">
        <f aca="false">'City Data'!K120</f>
        <v>25</v>
      </c>
      <c r="Y120" s="4" t="n">
        <f aca="false">'City Data'!L120</f>
        <v>60</v>
      </c>
      <c r="Z120" s="4" t="n">
        <f aca="false">'City Data'!M120</f>
        <v>200</v>
      </c>
      <c r="AA120" s="4" t="n">
        <f aca="false">U120-X120</f>
        <v>9.18</v>
      </c>
      <c r="AB120" s="4" t="n">
        <f aca="false">V120-Y120</f>
        <v>13.76</v>
      </c>
      <c r="AC120" s="4" t="n">
        <f aca="false">W120-Z120</f>
        <v>-15.245</v>
      </c>
      <c r="AD120" s="4" t="str">
        <f aca="false">IF(OR(AND(X120&lt;&gt;0,ABS(AA120)&gt;Assumptions!$B$18*X120),AND(Y120&lt;&gt;0,ABS(AB120)&gt;Assumptions!$B$18*Y120),AND(Z120&lt;&gt;0,ABS(AC120)&gt;Assumptions!$B$18*Z120)),"REVIEW","")</f>
        <v>REVIEW</v>
      </c>
    </row>
    <row r="121" customFormat="false" ht="15" hidden="false" customHeight="false" outlineLevel="0" collapsed="false">
      <c r="A121" s="0" t="str">
        <f aca="false">'City Data'!A121</f>
        <v>Koror</v>
      </c>
      <c r="B121" s="4" t="n">
        <f aca="false">'City Data'!B121/Assumptions!$B$2</f>
        <v>30</v>
      </c>
      <c r="C121" s="4" t="n">
        <f aca="false">'City Data'!C121/Assumptions!$B$2</f>
        <v>70</v>
      </c>
      <c r="D121" s="4" t="n">
        <f aca="false">'City Data'!D121/Assumptions!$B$2</f>
        <v>150</v>
      </c>
      <c r="E121" s="4" t="n">
        <f aca="false">Assumptions!$B$3*Assumptions!$B$4*'City Data'!E121</f>
        <v>54</v>
      </c>
      <c r="F121" s="4" t="n">
        <f aca="false">Assumptions!$B$3*Assumptions!$B$5*'City Data'!E121</f>
        <v>97.2</v>
      </c>
      <c r="G121" s="4" t="n">
        <f aca="false">Assumptions!$B$3*Assumptions!$B$6*'City Data'!E121</f>
        <v>189</v>
      </c>
      <c r="H121" s="4" t="n">
        <f aca="false">Assumptions!$B$7*'City Data'!F121</f>
        <v>8</v>
      </c>
      <c r="I121" s="4" t="n">
        <f aca="false">Assumptions!$B$8*'City Data'!F121</f>
        <v>16</v>
      </c>
      <c r="J121" s="4" t="n">
        <f aca="false">Assumptions!$B$9*'City Data'!F121</f>
        <v>32</v>
      </c>
      <c r="K121" s="4" t="n">
        <f aca="false">'City Data'!G121+'City Data'!H121</f>
        <v>5.5</v>
      </c>
      <c r="L121" s="4" t="n">
        <f aca="false">IF(AND(Assumptions!$B$13,ISNUMBER('City Data'!I121)),Assumptions!$B$10*'City Data'!I121,0)</f>
        <v>3.5</v>
      </c>
      <c r="M121" s="4" t="n">
        <f aca="false">IF(AND(Assumptions!$B$13,ISNUMBER('City Data'!I121)),Assumptions!$B$11*'City Data'!I121,0)</f>
        <v>7</v>
      </c>
      <c r="N121" s="4" t="n">
        <f aca="false">IF(AND(Assumptions!$B$13,ISNUMBER('City Data'!I121)),Assumptions!$B$12*'City Data'!I121,0)</f>
        <v>10.5</v>
      </c>
      <c r="O121" s="4" t="n">
        <f aca="false">B121+E121+H121+K121</f>
        <v>97.5</v>
      </c>
      <c r="P121" s="4" t="n">
        <f aca="false">C121+F121+I121+K121</f>
        <v>188.7</v>
      </c>
      <c r="Q121" s="4" t="n">
        <f aca="false">D121+G121+J121+K121</f>
        <v>376.5</v>
      </c>
      <c r="R121" s="4" t="n">
        <f aca="false">IF(Assumptions!$B$14,Assumptions!$B$15*O121,0)</f>
        <v>9.75</v>
      </c>
      <c r="S121" s="4" t="n">
        <f aca="false">IF(Assumptions!$B$14,Assumptions!$B$16*P121,0)</f>
        <v>37.74</v>
      </c>
      <c r="T121" s="4" t="n">
        <f aca="false">IF(Assumptions!$B$14,Assumptions!$B$17*Q121,0)</f>
        <v>131.775</v>
      </c>
      <c r="U121" s="4" t="n">
        <f aca="false">O121+L121+R121</f>
        <v>110.75</v>
      </c>
      <c r="V121" s="4" t="n">
        <f aca="false">P121+M121+S121</f>
        <v>233.44</v>
      </c>
      <c r="W121" s="4" t="n">
        <f aca="false">Q121+N121+T121</f>
        <v>518.775</v>
      </c>
      <c r="X121" s="4" t="n">
        <f aca="false">'City Data'!K121</f>
        <v>60</v>
      </c>
      <c r="Y121" s="4" t="n">
        <f aca="false">'City Data'!L121</f>
        <v>155</v>
      </c>
      <c r="Z121" s="4" t="n">
        <f aca="false">'City Data'!M121</f>
        <v>450</v>
      </c>
      <c r="AA121" s="4" t="n">
        <f aca="false">U121-X121</f>
        <v>50.75</v>
      </c>
      <c r="AB121" s="4" t="n">
        <f aca="false">V121-Y121</f>
        <v>78.44</v>
      </c>
      <c r="AC121" s="4" t="n">
        <f aca="false">W121-Z121</f>
        <v>68.775</v>
      </c>
      <c r="AD121" s="4" t="str">
        <f aca="false">IF(OR(AND(X121&lt;&gt;0,ABS(AA121)&gt;Assumptions!$B$18*X121),AND(Y121&lt;&gt;0,ABS(AB121)&gt;Assumptions!$B$18*Y121),AND(Z121&lt;&gt;0,ABS(AC121)&gt;Assumptions!$B$18*Z121)),"REVIEW","")</f>
        <v>REVIEW</v>
      </c>
    </row>
    <row r="122" customFormat="false" ht="15" hidden="false" customHeight="false" outlineLevel="0" collapsed="false">
      <c r="A122" s="0" t="str">
        <f aca="false">'City Data'!A122</f>
        <v>Kotor</v>
      </c>
      <c r="B122" s="4" t="n">
        <f aca="false">'City Data'!B122/Assumptions!$B$2</f>
        <v>20</v>
      </c>
      <c r="C122" s="4" t="n">
        <f aca="false">'City Data'!C122/Assumptions!$B$2</f>
        <v>45</v>
      </c>
      <c r="D122" s="4" t="n">
        <f aca="false">'City Data'!D122/Assumptions!$B$2</f>
        <v>150</v>
      </c>
      <c r="E122" s="4" t="n">
        <f aca="false">Assumptions!$B$3*Assumptions!$B$4*'City Data'!E122</f>
        <v>45</v>
      </c>
      <c r="F122" s="4" t="n">
        <f aca="false">Assumptions!$B$3*Assumptions!$B$5*'City Data'!E122</f>
        <v>81</v>
      </c>
      <c r="G122" s="4" t="n">
        <f aca="false">Assumptions!$B$3*Assumptions!$B$6*'City Data'!E122</f>
        <v>157.5</v>
      </c>
      <c r="H122" s="4" t="n">
        <f aca="false">Assumptions!$B$7*'City Data'!F122</f>
        <v>6</v>
      </c>
      <c r="I122" s="4" t="n">
        <f aca="false">Assumptions!$B$8*'City Data'!F122</f>
        <v>12</v>
      </c>
      <c r="J122" s="4" t="n">
        <f aca="false">Assumptions!$B$9*'City Data'!F122</f>
        <v>24</v>
      </c>
      <c r="K122" s="4" t="n">
        <f aca="false">'City Data'!G122+'City Data'!H122</f>
        <v>3.3</v>
      </c>
      <c r="L122" s="4" t="n">
        <f aca="false">IF(AND(Assumptions!$B$13,ISNUMBER('City Data'!I122)),Assumptions!$B$10*'City Data'!I122,0)</f>
        <v>3.5</v>
      </c>
      <c r="M122" s="4" t="n">
        <f aca="false">IF(AND(Assumptions!$B$13,ISNUMBER('City Data'!I122)),Assumptions!$B$11*'City Data'!I122,0)</f>
        <v>7</v>
      </c>
      <c r="N122" s="4" t="n">
        <f aca="false">IF(AND(Assumptions!$B$13,ISNUMBER('City Data'!I122)),Assumptions!$B$12*'City Data'!I122,0)</f>
        <v>10.5</v>
      </c>
      <c r="O122" s="4" t="n">
        <f aca="false">B122+E122+H122+K122</f>
        <v>74.3</v>
      </c>
      <c r="P122" s="4" t="n">
        <f aca="false">C122+F122+I122+K122</f>
        <v>141.3</v>
      </c>
      <c r="Q122" s="4" t="n">
        <f aca="false">D122+G122+J122+K122</f>
        <v>334.8</v>
      </c>
      <c r="R122" s="4" t="n">
        <f aca="false">IF(Assumptions!$B$14,Assumptions!$B$15*O122,0)</f>
        <v>7.43</v>
      </c>
      <c r="S122" s="4" t="n">
        <f aca="false">IF(Assumptions!$B$14,Assumptions!$B$16*P122,0)</f>
        <v>28.26</v>
      </c>
      <c r="T122" s="4" t="n">
        <f aca="false">IF(Assumptions!$B$14,Assumptions!$B$17*Q122,0)</f>
        <v>117.18</v>
      </c>
      <c r="U122" s="4" t="n">
        <f aca="false">O122+L122+R122</f>
        <v>85.23</v>
      </c>
      <c r="V122" s="4" t="n">
        <f aca="false">P122+M122+S122</f>
        <v>176.56</v>
      </c>
      <c r="W122" s="4" t="n">
        <f aca="false">Q122+N122+T122</f>
        <v>462.48</v>
      </c>
      <c r="X122" s="4" t="n">
        <f aca="false">'City Data'!K122</f>
        <v>50</v>
      </c>
      <c r="Y122" s="4" t="n">
        <f aca="false">'City Data'!L122</f>
        <v>130</v>
      </c>
      <c r="Z122" s="4" t="n">
        <f aca="false">'City Data'!M122</f>
        <v>395</v>
      </c>
      <c r="AA122" s="4" t="n">
        <f aca="false">U122-X122</f>
        <v>35.23</v>
      </c>
      <c r="AB122" s="4" t="n">
        <f aca="false">V122-Y122</f>
        <v>46.56</v>
      </c>
      <c r="AC122" s="4" t="n">
        <f aca="false">W122-Z122</f>
        <v>67.48</v>
      </c>
      <c r="AD122" s="4" t="str">
        <f aca="false">IF(OR(AND(X122&lt;&gt;0,ABS(AA122)&gt;Assumptions!$B$18*X122),AND(Y122&lt;&gt;0,ABS(AB122)&gt;Assumptions!$B$18*Y122),AND(Z122&lt;&gt;0,ABS(AC122)&gt;Assumptions!$B$18*Z122)),"REVIEW","")</f>
        <v>REVIEW</v>
      </c>
    </row>
    <row r="123" customFormat="false" ht="15" hidden="false" customHeight="false" outlineLevel="0" collapsed="false">
      <c r="A123" s="0" t="str">
        <f aca="false">'City Data'!A123</f>
        <v>Kraków</v>
      </c>
      <c r="B123" s="4" t="n">
        <f aca="false">'City Data'!B123/Assumptions!$B$2</f>
        <v>20</v>
      </c>
      <c r="C123" s="4" t="n">
        <f aca="false">'City Data'!C123/Assumptions!$B$2</f>
        <v>40</v>
      </c>
      <c r="D123" s="4" t="n">
        <f aca="false">'City Data'!D123/Assumptions!$B$2</f>
        <v>110</v>
      </c>
      <c r="E123" s="4" t="n">
        <f aca="false">Assumptions!$B$3*Assumptions!$B$4*'City Data'!E123</f>
        <v>45</v>
      </c>
      <c r="F123" s="4" t="n">
        <f aca="false">Assumptions!$B$3*Assumptions!$B$5*'City Data'!E123</f>
        <v>81</v>
      </c>
      <c r="G123" s="4" t="n">
        <f aca="false">Assumptions!$B$3*Assumptions!$B$6*'City Data'!E123</f>
        <v>157.5</v>
      </c>
      <c r="H123" s="4" t="n">
        <f aca="false">Assumptions!$B$7*'City Data'!F123</f>
        <v>12</v>
      </c>
      <c r="I123" s="4" t="n">
        <f aca="false">Assumptions!$B$8*'City Data'!F123</f>
        <v>24</v>
      </c>
      <c r="J123" s="4" t="n">
        <f aca="false">Assumptions!$B$9*'City Data'!F123</f>
        <v>48</v>
      </c>
      <c r="K123" s="4" t="n">
        <f aca="false">'City Data'!G123+'City Data'!H123</f>
        <v>3.5</v>
      </c>
      <c r="L123" s="4" t="n">
        <f aca="false">IF(AND(Assumptions!$B$13,ISNUMBER('City Data'!I123)),Assumptions!$B$10*'City Data'!I123,0)</f>
        <v>3</v>
      </c>
      <c r="M123" s="4" t="n">
        <f aca="false">IF(AND(Assumptions!$B$13,ISNUMBER('City Data'!I123)),Assumptions!$B$11*'City Data'!I123,0)</f>
        <v>6</v>
      </c>
      <c r="N123" s="4" t="n">
        <f aca="false">IF(AND(Assumptions!$B$13,ISNUMBER('City Data'!I123)),Assumptions!$B$12*'City Data'!I123,0)</f>
        <v>9</v>
      </c>
      <c r="O123" s="4" t="n">
        <f aca="false">B123+E123+H123+K123</f>
        <v>80.5</v>
      </c>
      <c r="P123" s="4" t="n">
        <f aca="false">C123+F123+I123+K123</f>
        <v>148.5</v>
      </c>
      <c r="Q123" s="4" t="n">
        <f aca="false">D123+G123+J123+K123</f>
        <v>319</v>
      </c>
      <c r="R123" s="4" t="n">
        <f aca="false">IF(Assumptions!$B$14,Assumptions!$B$15*O123,0)</f>
        <v>8.05</v>
      </c>
      <c r="S123" s="4" t="n">
        <f aca="false">IF(Assumptions!$B$14,Assumptions!$B$16*P123,0)</f>
        <v>29.7</v>
      </c>
      <c r="T123" s="4" t="n">
        <f aca="false">IF(Assumptions!$B$14,Assumptions!$B$17*Q123,0)</f>
        <v>111.65</v>
      </c>
      <c r="U123" s="4" t="n">
        <f aca="false">O123+L123+R123</f>
        <v>91.55</v>
      </c>
      <c r="V123" s="4" t="n">
        <f aca="false">P123+M123+S123</f>
        <v>184.2</v>
      </c>
      <c r="W123" s="4" t="n">
        <f aca="false">Q123+N123+T123</f>
        <v>439.65</v>
      </c>
      <c r="X123" s="4" t="n">
        <f aca="false">'City Data'!K123</f>
        <v>50</v>
      </c>
      <c r="Y123" s="4" t="n">
        <f aca="false">'City Data'!L123</f>
        <v>120</v>
      </c>
      <c r="Z123" s="4" t="n">
        <f aca="false">'City Data'!M123</f>
        <v>330</v>
      </c>
      <c r="AA123" s="4" t="n">
        <f aca="false">U123-X123</f>
        <v>41.55</v>
      </c>
      <c r="AB123" s="4" t="n">
        <f aca="false">V123-Y123</f>
        <v>64.2</v>
      </c>
      <c r="AC123" s="4" t="n">
        <f aca="false">W123-Z123</f>
        <v>109.65</v>
      </c>
      <c r="AD123" s="4" t="str">
        <f aca="false">IF(OR(AND(X123&lt;&gt;0,ABS(AA123)&gt;Assumptions!$B$18*X123),AND(Y123&lt;&gt;0,ABS(AB123)&gt;Assumptions!$B$18*Y123),AND(Z123&lt;&gt;0,ABS(AC123)&gt;Assumptions!$B$18*Z123)),"REVIEW","")</f>
        <v>REVIEW</v>
      </c>
    </row>
    <row r="124" customFormat="false" ht="15" hidden="false" customHeight="false" outlineLevel="0" collapsed="false">
      <c r="A124" s="0" t="str">
        <f aca="false">'City Data'!A124</f>
        <v>Kuala Lumpur</v>
      </c>
      <c r="B124" s="4" t="n">
        <f aca="false">'City Data'!B124/Assumptions!$B$2</f>
        <v>10</v>
      </c>
      <c r="C124" s="4" t="n">
        <f aca="false">'City Data'!C124/Assumptions!$B$2</f>
        <v>25</v>
      </c>
      <c r="D124" s="4" t="n">
        <f aca="false">'City Data'!D124/Assumptions!$B$2</f>
        <v>75</v>
      </c>
      <c r="E124" s="4" t="n">
        <f aca="false">Assumptions!$B$3*Assumptions!$B$4*'City Data'!E124</f>
        <v>24</v>
      </c>
      <c r="F124" s="4" t="n">
        <f aca="false">Assumptions!$B$3*Assumptions!$B$5*'City Data'!E124</f>
        <v>43.2</v>
      </c>
      <c r="G124" s="4" t="n">
        <f aca="false">Assumptions!$B$3*Assumptions!$B$6*'City Data'!E124</f>
        <v>84</v>
      </c>
      <c r="H124" s="4" t="n">
        <f aca="false">Assumptions!$B$7*'City Data'!F124</f>
        <v>5</v>
      </c>
      <c r="I124" s="4" t="n">
        <f aca="false">Assumptions!$B$8*'City Data'!F124</f>
        <v>10</v>
      </c>
      <c r="J124" s="4" t="n">
        <f aca="false">Assumptions!$B$9*'City Data'!F124</f>
        <v>20</v>
      </c>
      <c r="K124" s="4" t="n">
        <f aca="false">'City Data'!G124+'City Data'!H124</f>
        <v>3.6</v>
      </c>
      <c r="L124" s="4" t="n">
        <f aca="false">IF(AND(Assumptions!$B$13,ISNUMBER('City Data'!I124)),Assumptions!$B$10*'City Data'!I124,0)</f>
        <v>4</v>
      </c>
      <c r="M124" s="4" t="n">
        <f aca="false">IF(AND(Assumptions!$B$13,ISNUMBER('City Data'!I124)),Assumptions!$B$11*'City Data'!I124,0)</f>
        <v>8</v>
      </c>
      <c r="N124" s="4" t="n">
        <f aca="false">IF(AND(Assumptions!$B$13,ISNUMBER('City Data'!I124)),Assumptions!$B$12*'City Data'!I124,0)</f>
        <v>12</v>
      </c>
      <c r="O124" s="4" t="n">
        <f aca="false">B124+E124+H124+K124</f>
        <v>42.6</v>
      </c>
      <c r="P124" s="4" t="n">
        <f aca="false">C124+F124+I124+K124</f>
        <v>81.8</v>
      </c>
      <c r="Q124" s="4" t="n">
        <f aca="false">D124+G124+J124+K124</f>
        <v>182.6</v>
      </c>
      <c r="R124" s="4" t="n">
        <f aca="false">IF(Assumptions!$B$14,Assumptions!$B$15*O124,0)</f>
        <v>4.26</v>
      </c>
      <c r="S124" s="4" t="n">
        <f aca="false">IF(Assumptions!$B$14,Assumptions!$B$16*P124,0)</f>
        <v>16.36</v>
      </c>
      <c r="T124" s="4" t="n">
        <f aca="false">IF(Assumptions!$B$14,Assumptions!$B$17*Q124,0)</f>
        <v>63.91</v>
      </c>
      <c r="U124" s="4" t="n">
        <f aca="false">O124+L124+R124</f>
        <v>50.86</v>
      </c>
      <c r="V124" s="4" t="n">
        <f aca="false">P124+M124+S124</f>
        <v>106.16</v>
      </c>
      <c r="W124" s="4" t="n">
        <f aca="false">Q124+N124+T124</f>
        <v>258.51</v>
      </c>
      <c r="X124" s="4" t="n">
        <f aca="false">'City Data'!K124</f>
        <v>30</v>
      </c>
      <c r="Y124" s="4" t="n">
        <f aca="false">'City Data'!L124</f>
        <v>75</v>
      </c>
      <c r="Z124" s="4" t="n">
        <f aca="false">'City Data'!M124</f>
        <v>220</v>
      </c>
      <c r="AA124" s="4" t="n">
        <f aca="false">U124-X124</f>
        <v>20.86</v>
      </c>
      <c r="AB124" s="4" t="n">
        <f aca="false">V124-Y124</f>
        <v>31.16</v>
      </c>
      <c r="AC124" s="4" t="n">
        <f aca="false">W124-Z124</f>
        <v>38.51</v>
      </c>
      <c r="AD124" s="4" t="str">
        <f aca="false">IF(OR(AND(X124&lt;&gt;0,ABS(AA124)&gt;Assumptions!$B$18*X124),AND(Y124&lt;&gt;0,ABS(AB124)&gt;Assumptions!$B$18*Y124),AND(Z124&lt;&gt;0,ABS(AC124)&gt;Assumptions!$B$18*Z124)),"REVIEW","")</f>
        <v>REVIEW</v>
      </c>
    </row>
    <row r="125" customFormat="false" ht="15" hidden="false" customHeight="false" outlineLevel="0" collapsed="false">
      <c r="A125" s="0" t="str">
        <f aca="false">'City Data'!A125</f>
        <v>Kunming</v>
      </c>
      <c r="B125" s="4" t="n">
        <f aca="false">'City Data'!B125/Assumptions!$B$2</f>
        <v>9</v>
      </c>
      <c r="C125" s="4" t="n">
        <f aca="false">'City Data'!C125/Assumptions!$B$2</f>
        <v>25</v>
      </c>
      <c r="D125" s="4" t="n">
        <f aca="false">'City Data'!D125/Assumptions!$B$2</f>
        <v>60</v>
      </c>
      <c r="E125" s="4" t="n">
        <f aca="false">Assumptions!$B$3*Assumptions!$B$4*'City Data'!E125</f>
        <v>18</v>
      </c>
      <c r="F125" s="4" t="n">
        <f aca="false">Assumptions!$B$3*Assumptions!$B$5*'City Data'!E125</f>
        <v>32.4</v>
      </c>
      <c r="G125" s="4" t="n">
        <f aca="false">Assumptions!$B$3*Assumptions!$B$6*'City Data'!E125</f>
        <v>63</v>
      </c>
      <c r="H125" s="4" t="n">
        <f aca="false">Assumptions!$B$7*'City Data'!F125</f>
        <v>3</v>
      </c>
      <c r="I125" s="4" t="n">
        <f aca="false">Assumptions!$B$8*'City Data'!F125</f>
        <v>6</v>
      </c>
      <c r="J125" s="4" t="n">
        <f aca="false">Assumptions!$B$9*'City Data'!F125</f>
        <v>12</v>
      </c>
      <c r="K125" s="4" t="n">
        <f aca="false">'City Data'!G125+'City Data'!H125</f>
        <v>4</v>
      </c>
      <c r="L125" s="4" t="n">
        <f aca="false">IF(AND(Assumptions!$B$13,ISNUMBER('City Data'!I125)),Assumptions!$B$10*'City Data'!I125,0)</f>
        <v>1.5</v>
      </c>
      <c r="M125" s="4" t="n">
        <f aca="false">IF(AND(Assumptions!$B$13,ISNUMBER('City Data'!I125)),Assumptions!$B$11*'City Data'!I125,0)</f>
        <v>3</v>
      </c>
      <c r="N125" s="4" t="n">
        <f aca="false">IF(AND(Assumptions!$B$13,ISNUMBER('City Data'!I125)),Assumptions!$B$12*'City Data'!I125,0)</f>
        <v>4.5</v>
      </c>
      <c r="O125" s="4" t="n">
        <f aca="false">B125+E125+H125+K125</f>
        <v>34</v>
      </c>
      <c r="P125" s="4" t="n">
        <f aca="false">C125+F125+I125+K125</f>
        <v>67.4</v>
      </c>
      <c r="Q125" s="4" t="n">
        <f aca="false">D125+G125+J125+K125</f>
        <v>139</v>
      </c>
      <c r="R125" s="4" t="n">
        <f aca="false">IF(Assumptions!$B$14,Assumptions!$B$15*O125,0)</f>
        <v>3.4</v>
      </c>
      <c r="S125" s="4" t="n">
        <f aca="false">IF(Assumptions!$B$14,Assumptions!$B$16*P125,0)</f>
        <v>13.48</v>
      </c>
      <c r="T125" s="4" t="n">
        <f aca="false">IF(Assumptions!$B$14,Assumptions!$B$17*Q125,0)</f>
        <v>48.65</v>
      </c>
      <c r="U125" s="4" t="n">
        <f aca="false">O125+L125+R125</f>
        <v>38.9</v>
      </c>
      <c r="V125" s="4" t="n">
        <f aca="false">P125+M125+S125</f>
        <v>83.88</v>
      </c>
      <c r="W125" s="4" t="n">
        <f aca="false">Q125+N125+T125</f>
        <v>192.15</v>
      </c>
      <c r="X125" s="4" t="n">
        <f aca="false">'City Data'!K125</f>
        <v>30</v>
      </c>
      <c r="Y125" s="4" t="n">
        <f aca="false">'City Data'!L125</f>
        <v>75</v>
      </c>
      <c r="Z125" s="4" t="n">
        <f aca="false">'City Data'!M125</f>
        <v>220</v>
      </c>
      <c r="AA125" s="4" t="n">
        <f aca="false">U125-X125</f>
        <v>8.9</v>
      </c>
      <c r="AB125" s="4" t="n">
        <f aca="false">V125-Y125</f>
        <v>8.88000000000001</v>
      </c>
      <c r="AC125" s="4" t="n">
        <f aca="false">W125-Z125</f>
        <v>-27.85</v>
      </c>
      <c r="AD125" s="4" t="str">
        <f aca="false">IF(OR(AND(X125&lt;&gt;0,ABS(AA125)&gt;Assumptions!$B$18*X125),AND(Y125&lt;&gt;0,ABS(AB125)&gt;Assumptions!$B$18*Y125),AND(Z125&lt;&gt;0,ABS(AC125)&gt;Assumptions!$B$18*Z125)),"REVIEW","")</f>
        <v>REVIEW</v>
      </c>
    </row>
    <row r="126" customFormat="false" ht="15" hidden="false" customHeight="false" outlineLevel="0" collapsed="false">
      <c r="A126" s="0" t="str">
        <f aca="false">'City Data'!A126</f>
        <v>Kuwait City</v>
      </c>
      <c r="B126" s="4" t="n">
        <f aca="false">'City Data'!B126/Assumptions!$B$2</f>
        <v>40</v>
      </c>
      <c r="C126" s="4" t="n">
        <f aca="false">'City Data'!C126/Assumptions!$B$2</f>
        <v>75</v>
      </c>
      <c r="D126" s="4" t="n">
        <f aca="false">'City Data'!D126/Assumptions!$B$2</f>
        <v>175</v>
      </c>
      <c r="E126" s="4" t="n">
        <f aca="false">Assumptions!$B$3*Assumptions!$B$4*'City Data'!E126</f>
        <v>90</v>
      </c>
      <c r="F126" s="4" t="n">
        <f aca="false">Assumptions!$B$3*Assumptions!$B$5*'City Data'!E126</f>
        <v>162</v>
      </c>
      <c r="G126" s="4" t="n">
        <f aca="false">Assumptions!$B$3*Assumptions!$B$6*'City Data'!E126</f>
        <v>315</v>
      </c>
      <c r="H126" s="4" t="n">
        <f aca="false">Assumptions!$B$7*'City Data'!F126</f>
        <v>10</v>
      </c>
      <c r="I126" s="4" t="n">
        <f aca="false">Assumptions!$B$8*'City Data'!F126</f>
        <v>20</v>
      </c>
      <c r="J126" s="4" t="n">
        <f aca="false">Assumptions!$B$9*'City Data'!F126</f>
        <v>40</v>
      </c>
      <c r="K126" s="4" t="n">
        <f aca="false">'City Data'!G126+'City Data'!H126</f>
        <v>6</v>
      </c>
      <c r="L126" s="4" t="n">
        <f aca="false">IF(AND(Assumptions!$B$13,ISNUMBER('City Data'!I126)),Assumptions!$B$10*'City Data'!I126,0)</f>
        <v>0</v>
      </c>
      <c r="M126" s="4" t="n">
        <f aca="false">IF(AND(Assumptions!$B$13,ISNUMBER('City Data'!I126)),Assumptions!$B$11*'City Data'!I126,0)</f>
        <v>0</v>
      </c>
      <c r="N126" s="4" t="n">
        <f aca="false">IF(AND(Assumptions!$B$13,ISNUMBER('City Data'!I126)),Assumptions!$B$12*'City Data'!I126,0)</f>
        <v>0</v>
      </c>
      <c r="O126" s="4" t="n">
        <f aca="false">B126+E126+H126+K126</f>
        <v>146</v>
      </c>
      <c r="P126" s="4" t="n">
        <f aca="false">C126+F126+I126+K126</f>
        <v>263</v>
      </c>
      <c r="Q126" s="4" t="n">
        <f aca="false">D126+G126+J126+K126</f>
        <v>536</v>
      </c>
      <c r="R126" s="4" t="n">
        <f aca="false">IF(Assumptions!$B$14,Assumptions!$B$15*O126,0)</f>
        <v>14.6</v>
      </c>
      <c r="S126" s="4" t="n">
        <f aca="false">IF(Assumptions!$B$14,Assumptions!$B$16*P126,0)</f>
        <v>52.6</v>
      </c>
      <c r="T126" s="4" t="n">
        <f aca="false">IF(Assumptions!$B$14,Assumptions!$B$17*Q126,0)</f>
        <v>187.6</v>
      </c>
      <c r="U126" s="4" t="n">
        <f aca="false">O126+L126+R126</f>
        <v>160.6</v>
      </c>
      <c r="V126" s="4" t="n">
        <f aca="false">P126+M126+S126</f>
        <v>315.6</v>
      </c>
      <c r="W126" s="4" t="n">
        <f aca="false">Q126+N126+T126</f>
        <v>723.6</v>
      </c>
      <c r="X126" s="4" t="n">
        <f aca="false">'City Data'!K126</f>
        <v>85</v>
      </c>
      <c r="Y126" s="4" t="n">
        <f aca="false">'City Data'!L126</f>
        <v>205</v>
      </c>
      <c r="Z126" s="4" t="n">
        <f aca="false">'City Data'!M126</f>
        <v>595</v>
      </c>
      <c r="AA126" s="4" t="n">
        <f aca="false">U126-X126</f>
        <v>75.6</v>
      </c>
      <c r="AB126" s="4" t="n">
        <f aca="false">V126-Y126</f>
        <v>110.6</v>
      </c>
      <c r="AC126" s="4" t="n">
        <f aca="false">W126-Z126</f>
        <v>128.6</v>
      </c>
      <c r="AD126" s="4" t="str">
        <f aca="false">IF(OR(AND(X126&lt;&gt;0,ABS(AA126)&gt;Assumptions!$B$18*X126),AND(Y126&lt;&gt;0,ABS(AB126)&gt;Assumptions!$B$18*Y126),AND(Z126&lt;&gt;0,ABS(AC126)&gt;Assumptions!$B$18*Z126)),"REVIEW","")</f>
        <v>REVIEW</v>
      </c>
    </row>
    <row r="127" customFormat="false" ht="15" hidden="false" customHeight="false" outlineLevel="0" collapsed="false">
      <c r="A127" s="0" t="str">
        <f aca="false">'City Data'!A127</f>
        <v>Kyiv</v>
      </c>
      <c r="B127" s="4" t="n">
        <f aca="false">'City Data'!B127/Assumptions!$B$2</f>
        <v>14</v>
      </c>
      <c r="C127" s="4" t="n">
        <f aca="false">'City Data'!C127/Assumptions!$B$2</f>
        <v>35</v>
      </c>
      <c r="D127" s="4" t="n">
        <f aca="false">'City Data'!D127/Assumptions!$B$2</f>
        <v>95</v>
      </c>
      <c r="E127" s="4" t="n">
        <f aca="false">Assumptions!$B$3*Assumptions!$B$4*'City Data'!E127</f>
        <v>36</v>
      </c>
      <c r="F127" s="4" t="n">
        <f aca="false">Assumptions!$B$3*Assumptions!$B$5*'City Data'!E127</f>
        <v>64.8</v>
      </c>
      <c r="G127" s="4" t="n">
        <f aca="false">Assumptions!$B$3*Assumptions!$B$6*'City Data'!E127</f>
        <v>126</v>
      </c>
      <c r="H127" s="4" t="n">
        <f aca="false">Assumptions!$B$7*'City Data'!F127</f>
        <v>5</v>
      </c>
      <c r="I127" s="4" t="n">
        <f aca="false">Assumptions!$B$8*'City Data'!F127</f>
        <v>10</v>
      </c>
      <c r="J127" s="4" t="n">
        <f aca="false">Assumptions!$B$9*'City Data'!F127</f>
        <v>20</v>
      </c>
      <c r="K127" s="4" t="n">
        <f aca="false">'City Data'!G127+'City Data'!H127</f>
        <v>3.5</v>
      </c>
      <c r="L127" s="4" t="n">
        <f aca="false">IF(AND(Assumptions!$B$13,ISNUMBER('City Data'!I127)),Assumptions!$B$10*'City Data'!I127,0)</f>
        <v>2</v>
      </c>
      <c r="M127" s="4" t="n">
        <f aca="false">IF(AND(Assumptions!$B$13,ISNUMBER('City Data'!I127)),Assumptions!$B$11*'City Data'!I127,0)</f>
        <v>4</v>
      </c>
      <c r="N127" s="4" t="n">
        <f aca="false">IF(AND(Assumptions!$B$13,ISNUMBER('City Data'!I127)),Assumptions!$B$12*'City Data'!I127,0)</f>
        <v>6</v>
      </c>
      <c r="O127" s="4" t="n">
        <f aca="false">B127+E127+H127+K127</f>
        <v>58.5</v>
      </c>
      <c r="P127" s="4" t="n">
        <f aca="false">C127+F127+I127+K127</f>
        <v>113.3</v>
      </c>
      <c r="Q127" s="4" t="n">
        <f aca="false">D127+G127+J127+K127</f>
        <v>244.5</v>
      </c>
      <c r="R127" s="4" t="n">
        <f aca="false">IF(Assumptions!$B$14,Assumptions!$B$15*O127,0)</f>
        <v>5.85</v>
      </c>
      <c r="S127" s="4" t="n">
        <f aca="false">IF(Assumptions!$B$14,Assumptions!$B$16*P127,0)</f>
        <v>22.66</v>
      </c>
      <c r="T127" s="4" t="n">
        <f aca="false">IF(Assumptions!$B$14,Assumptions!$B$17*Q127,0)</f>
        <v>85.575</v>
      </c>
      <c r="U127" s="4" t="n">
        <f aca="false">O127+L127+R127</f>
        <v>66.35</v>
      </c>
      <c r="V127" s="4" t="n">
        <f aca="false">P127+M127+S127</f>
        <v>139.96</v>
      </c>
      <c r="W127" s="4" t="n">
        <f aca="false">Q127+N127+T127</f>
        <v>336.075</v>
      </c>
      <c r="X127" s="4" t="n">
        <f aca="false">'City Data'!K127</f>
        <v>40</v>
      </c>
      <c r="Y127" s="4" t="n">
        <f aca="false">'City Data'!L127</f>
        <v>100</v>
      </c>
      <c r="Z127" s="4" t="n">
        <f aca="false">'City Data'!M127</f>
        <v>305</v>
      </c>
      <c r="AA127" s="4" t="n">
        <f aca="false">U127-X127</f>
        <v>26.35</v>
      </c>
      <c r="AB127" s="4" t="n">
        <f aca="false">V127-Y127</f>
        <v>39.96</v>
      </c>
      <c r="AC127" s="4" t="n">
        <f aca="false">W127-Z127</f>
        <v>31.075</v>
      </c>
      <c r="AD127" s="4" t="str">
        <f aca="false">IF(OR(AND(X127&lt;&gt;0,ABS(AA127)&gt;Assumptions!$B$18*X127),AND(Y127&lt;&gt;0,ABS(AB127)&gt;Assumptions!$B$18*Y127),AND(Z127&lt;&gt;0,ABS(AC127)&gt;Assumptions!$B$18*Z127)),"REVIEW","")</f>
        <v>REVIEW</v>
      </c>
    </row>
    <row r="128" customFormat="false" ht="15" hidden="false" customHeight="false" outlineLevel="0" collapsed="false">
      <c r="A128" s="0" t="str">
        <f aca="false">'City Data'!A128</f>
        <v>Kyoto</v>
      </c>
      <c r="B128" s="4" t="n">
        <f aca="false">'City Data'!B128/Assumptions!$B$2</f>
        <v>30</v>
      </c>
      <c r="C128" s="4" t="n">
        <f aca="false">'City Data'!C128/Assumptions!$B$2</f>
        <v>60</v>
      </c>
      <c r="D128" s="4" t="n">
        <f aca="false">'City Data'!D128/Assumptions!$B$2</f>
        <v>150</v>
      </c>
      <c r="E128" s="4" t="n">
        <f aca="false">Assumptions!$B$3*Assumptions!$B$4*'City Data'!E128</f>
        <v>54</v>
      </c>
      <c r="F128" s="4" t="n">
        <f aca="false">Assumptions!$B$3*Assumptions!$B$5*'City Data'!E128</f>
        <v>97.2</v>
      </c>
      <c r="G128" s="4" t="n">
        <f aca="false">Assumptions!$B$3*Assumptions!$B$6*'City Data'!E128</f>
        <v>189</v>
      </c>
      <c r="H128" s="4" t="n">
        <f aca="false">Assumptions!$B$7*'City Data'!F128</f>
        <v>25</v>
      </c>
      <c r="I128" s="4" t="n">
        <f aca="false">Assumptions!$B$8*'City Data'!F128</f>
        <v>50</v>
      </c>
      <c r="J128" s="4" t="n">
        <f aca="false">Assumptions!$B$9*'City Data'!F128</f>
        <v>100</v>
      </c>
      <c r="K128" s="4" t="n">
        <f aca="false">'City Data'!G128+'City Data'!H128</f>
        <v>4.5</v>
      </c>
      <c r="L128" s="4" t="n">
        <f aca="false">IF(AND(Assumptions!$B$13,ISNUMBER('City Data'!I128)),Assumptions!$B$10*'City Data'!I128,0)</f>
        <v>4</v>
      </c>
      <c r="M128" s="4" t="n">
        <f aca="false">IF(AND(Assumptions!$B$13,ISNUMBER('City Data'!I128)),Assumptions!$B$11*'City Data'!I128,0)</f>
        <v>8</v>
      </c>
      <c r="N128" s="4" t="n">
        <f aca="false">IF(AND(Assumptions!$B$13,ISNUMBER('City Data'!I128)),Assumptions!$B$12*'City Data'!I128,0)</f>
        <v>12</v>
      </c>
      <c r="O128" s="4" t="n">
        <f aca="false">B128+E128+H128+K128</f>
        <v>113.5</v>
      </c>
      <c r="P128" s="4" t="n">
        <f aca="false">C128+F128+I128+K128</f>
        <v>211.7</v>
      </c>
      <c r="Q128" s="4" t="n">
        <f aca="false">D128+G128+J128+K128</f>
        <v>443.5</v>
      </c>
      <c r="R128" s="4" t="n">
        <f aca="false">IF(Assumptions!$B$14,Assumptions!$B$15*O128,0)</f>
        <v>11.35</v>
      </c>
      <c r="S128" s="4" t="n">
        <f aca="false">IF(Assumptions!$B$14,Assumptions!$B$16*P128,0)</f>
        <v>42.34</v>
      </c>
      <c r="T128" s="4" t="n">
        <f aca="false">IF(Assumptions!$B$14,Assumptions!$B$17*Q128,0)</f>
        <v>155.225</v>
      </c>
      <c r="U128" s="4" t="n">
        <f aca="false">O128+L128+R128</f>
        <v>128.85</v>
      </c>
      <c r="V128" s="4" t="n">
        <f aca="false">P128+M128+S128</f>
        <v>262.04</v>
      </c>
      <c r="W128" s="4" t="n">
        <f aca="false">Q128+N128+T128</f>
        <v>610.725</v>
      </c>
      <c r="X128" s="4" t="n">
        <f aca="false">'City Data'!K128</f>
        <v>65</v>
      </c>
      <c r="Y128" s="4" t="n">
        <f aca="false">'City Data'!L128</f>
        <v>155</v>
      </c>
      <c r="Z128" s="4" t="n">
        <f aca="false">'City Data'!M128</f>
        <v>420</v>
      </c>
      <c r="AA128" s="4" t="n">
        <f aca="false">U128-X128</f>
        <v>63.85</v>
      </c>
      <c r="AB128" s="4" t="n">
        <f aca="false">V128-Y128</f>
        <v>107.04</v>
      </c>
      <c r="AC128" s="4" t="n">
        <f aca="false">W128-Z128</f>
        <v>190.725</v>
      </c>
      <c r="AD128" s="4" t="str">
        <f aca="false">IF(OR(AND(X128&lt;&gt;0,ABS(AA128)&gt;Assumptions!$B$18*X128),AND(Y128&lt;&gt;0,ABS(AB128)&gt;Assumptions!$B$18*Y128),AND(Z128&lt;&gt;0,ABS(AC128)&gt;Assumptions!$B$18*Z128)),"REVIEW","")</f>
        <v>REVIEW</v>
      </c>
    </row>
    <row r="129" customFormat="false" ht="15" hidden="false" customHeight="false" outlineLevel="0" collapsed="false">
      <c r="A129" s="0" t="str">
        <f aca="false">'City Data'!A129</f>
        <v>La Paz</v>
      </c>
      <c r="B129" s="4" t="n">
        <f aca="false">'City Data'!B129/Assumptions!$B$2</f>
        <v>10</v>
      </c>
      <c r="C129" s="4" t="n">
        <f aca="false">'City Data'!C129/Assumptions!$B$2</f>
        <v>27.5</v>
      </c>
      <c r="D129" s="4" t="n">
        <f aca="false">'City Data'!D129/Assumptions!$B$2</f>
        <v>75</v>
      </c>
      <c r="E129" s="4" t="n">
        <f aca="false">Assumptions!$B$3*Assumptions!$B$4*'City Data'!E129</f>
        <v>30</v>
      </c>
      <c r="F129" s="4" t="n">
        <f aca="false">Assumptions!$B$3*Assumptions!$B$5*'City Data'!E129</f>
        <v>54</v>
      </c>
      <c r="G129" s="4" t="n">
        <f aca="false">Assumptions!$B$3*Assumptions!$B$6*'City Data'!E129</f>
        <v>105</v>
      </c>
      <c r="H129" s="4" t="n">
        <f aca="false">Assumptions!$B$7*'City Data'!F129</f>
        <v>4</v>
      </c>
      <c r="I129" s="4" t="n">
        <f aca="false">Assumptions!$B$8*'City Data'!F129</f>
        <v>8</v>
      </c>
      <c r="J129" s="4" t="n">
        <f aca="false">Assumptions!$B$9*'City Data'!F129</f>
        <v>16</v>
      </c>
      <c r="K129" s="4" t="n">
        <f aca="false">'City Data'!G129+'City Data'!H129</f>
        <v>3.5</v>
      </c>
      <c r="L129" s="4" t="n">
        <f aca="false">IF(AND(Assumptions!$B$13,ISNUMBER('City Data'!I129)),Assumptions!$B$10*'City Data'!I129,0)</f>
        <v>2.5</v>
      </c>
      <c r="M129" s="4" t="n">
        <f aca="false">IF(AND(Assumptions!$B$13,ISNUMBER('City Data'!I129)),Assumptions!$B$11*'City Data'!I129,0)</f>
        <v>5</v>
      </c>
      <c r="N129" s="4" t="n">
        <f aca="false">IF(AND(Assumptions!$B$13,ISNUMBER('City Data'!I129)),Assumptions!$B$12*'City Data'!I129,0)</f>
        <v>7.5</v>
      </c>
      <c r="O129" s="4" t="n">
        <f aca="false">B129+E129+H129+K129</f>
        <v>47.5</v>
      </c>
      <c r="P129" s="4" t="n">
        <f aca="false">C129+F129+I129+K129</f>
        <v>93</v>
      </c>
      <c r="Q129" s="4" t="n">
        <f aca="false">D129+G129+J129+K129</f>
        <v>199.5</v>
      </c>
      <c r="R129" s="4" t="n">
        <f aca="false">IF(Assumptions!$B$14,Assumptions!$B$15*O129,0)</f>
        <v>4.75</v>
      </c>
      <c r="S129" s="4" t="n">
        <f aca="false">IF(Assumptions!$B$14,Assumptions!$B$16*P129,0)</f>
        <v>18.6</v>
      </c>
      <c r="T129" s="4" t="n">
        <f aca="false">IF(Assumptions!$B$14,Assumptions!$B$17*Q129,0)</f>
        <v>69.825</v>
      </c>
      <c r="U129" s="4" t="n">
        <f aca="false">O129+L129+R129</f>
        <v>54.75</v>
      </c>
      <c r="V129" s="4" t="n">
        <f aca="false">P129+M129+S129</f>
        <v>116.6</v>
      </c>
      <c r="W129" s="4" t="n">
        <f aca="false">Q129+N129+T129</f>
        <v>276.825</v>
      </c>
      <c r="X129" s="4" t="n">
        <f aca="false">'City Data'!K129</f>
        <v>35</v>
      </c>
      <c r="Y129" s="4" t="n">
        <f aca="false">'City Data'!L129</f>
        <v>85</v>
      </c>
      <c r="Z129" s="4" t="n">
        <f aca="false">'City Data'!M129</f>
        <v>260</v>
      </c>
      <c r="AA129" s="4" t="n">
        <f aca="false">U129-X129</f>
        <v>19.75</v>
      </c>
      <c r="AB129" s="4" t="n">
        <f aca="false">V129-Y129</f>
        <v>31.6</v>
      </c>
      <c r="AC129" s="4" t="n">
        <f aca="false">W129-Z129</f>
        <v>16.825</v>
      </c>
      <c r="AD129" s="4" t="str">
        <f aca="false">IF(OR(AND(X129&lt;&gt;0,ABS(AA129)&gt;Assumptions!$B$18*X129),AND(Y129&lt;&gt;0,ABS(AB129)&gt;Assumptions!$B$18*Y129),AND(Z129&lt;&gt;0,ABS(AC129)&gt;Assumptions!$B$18*Z129)),"REVIEW","")</f>
        <v>REVIEW</v>
      </c>
    </row>
    <row r="130" customFormat="false" ht="15" hidden="false" customHeight="false" outlineLevel="0" collapsed="false">
      <c r="A130" s="0" t="str">
        <f aca="false">'City Data'!A130</f>
        <v>Lagos</v>
      </c>
      <c r="B130" s="4" t="n">
        <f aca="false">'City Data'!B130/Assumptions!$B$2</f>
        <v>15</v>
      </c>
      <c r="C130" s="4" t="n">
        <f aca="false">'City Data'!C130/Assumptions!$B$2</f>
        <v>45</v>
      </c>
      <c r="D130" s="4" t="n">
        <f aca="false">'City Data'!D130/Assumptions!$B$2</f>
        <v>175</v>
      </c>
      <c r="E130" s="4" t="n">
        <f aca="false">Assumptions!$B$3*Assumptions!$B$4*'City Data'!E130</f>
        <v>45</v>
      </c>
      <c r="F130" s="4" t="n">
        <f aca="false">Assumptions!$B$3*Assumptions!$B$5*'City Data'!E130</f>
        <v>81</v>
      </c>
      <c r="G130" s="4" t="n">
        <f aca="false">Assumptions!$B$3*Assumptions!$B$6*'City Data'!E130</f>
        <v>157.5</v>
      </c>
      <c r="H130" s="4" t="n">
        <f aca="false">Assumptions!$B$7*'City Data'!F130</f>
        <v>8</v>
      </c>
      <c r="I130" s="4" t="n">
        <f aca="false">Assumptions!$B$8*'City Data'!F130</f>
        <v>16</v>
      </c>
      <c r="J130" s="4" t="n">
        <f aca="false">Assumptions!$B$9*'City Data'!F130</f>
        <v>32</v>
      </c>
      <c r="K130" s="4" t="n">
        <f aca="false">'City Data'!G130+'City Data'!H130</f>
        <v>3.5</v>
      </c>
      <c r="L130" s="4" t="n">
        <f aca="false">IF(AND(Assumptions!$B$13,ISNUMBER('City Data'!I130)),Assumptions!$B$10*'City Data'!I130,0)</f>
        <v>3</v>
      </c>
      <c r="M130" s="4" t="n">
        <f aca="false">IF(AND(Assumptions!$B$13,ISNUMBER('City Data'!I130)),Assumptions!$B$11*'City Data'!I130,0)</f>
        <v>6</v>
      </c>
      <c r="N130" s="4" t="n">
        <f aca="false">IF(AND(Assumptions!$B$13,ISNUMBER('City Data'!I130)),Assumptions!$B$12*'City Data'!I130,0)</f>
        <v>9</v>
      </c>
      <c r="O130" s="4" t="n">
        <f aca="false">B130+E130+H130+K130</f>
        <v>71.5</v>
      </c>
      <c r="P130" s="4" t="n">
        <f aca="false">C130+F130+I130+K130</f>
        <v>145.5</v>
      </c>
      <c r="Q130" s="4" t="n">
        <f aca="false">D130+G130+J130+K130</f>
        <v>368</v>
      </c>
      <c r="R130" s="4" t="n">
        <f aca="false">IF(Assumptions!$B$14,Assumptions!$B$15*O130,0)</f>
        <v>7.15</v>
      </c>
      <c r="S130" s="4" t="n">
        <f aca="false">IF(Assumptions!$B$14,Assumptions!$B$16*P130,0)</f>
        <v>29.1</v>
      </c>
      <c r="T130" s="4" t="n">
        <f aca="false">IF(Assumptions!$B$14,Assumptions!$B$17*Q130,0)</f>
        <v>128.8</v>
      </c>
      <c r="U130" s="4" t="n">
        <f aca="false">O130+L130+R130</f>
        <v>81.65</v>
      </c>
      <c r="V130" s="4" t="n">
        <f aca="false">P130+M130+S130</f>
        <v>180.6</v>
      </c>
      <c r="W130" s="4" t="n">
        <f aca="false">Q130+N130+T130</f>
        <v>505.8</v>
      </c>
      <c r="X130" s="4" t="n">
        <f aca="false">'City Data'!K130</f>
        <v>50</v>
      </c>
      <c r="Y130" s="4" t="n">
        <f aca="false">'City Data'!L130</f>
        <v>130</v>
      </c>
      <c r="Z130" s="4" t="n">
        <f aca="false">'City Data'!M130</f>
        <v>405</v>
      </c>
      <c r="AA130" s="4" t="n">
        <f aca="false">U130-X130</f>
        <v>31.65</v>
      </c>
      <c r="AB130" s="4" t="n">
        <f aca="false">V130-Y130</f>
        <v>50.6</v>
      </c>
      <c r="AC130" s="4" t="n">
        <f aca="false">W130-Z130</f>
        <v>100.8</v>
      </c>
      <c r="AD130" s="4" t="str">
        <f aca="false">IF(OR(AND(X130&lt;&gt;0,ABS(AA130)&gt;Assumptions!$B$18*X130),AND(Y130&lt;&gt;0,ABS(AB130)&gt;Assumptions!$B$18*Y130),AND(Z130&lt;&gt;0,ABS(AC130)&gt;Assumptions!$B$18*Z130)),"REVIEW","")</f>
        <v>REVIEW</v>
      </c>
    </row>
    <row r="131" customFormat="false" ht="15" hidden="false" customHeight="false" outlineLevel="0" collapsed="false">
      <c r="A131" s="0" t="str">
        <f aca="false">'City Data'!A131</f>
        <v>Lahore</v>
      </c>
      <c r="B131" s="4" t="n">
        <f aca="false">'City Data'!B131/Assumptions!$B$2</f>
        <v>9</v>
      </c>
      <c r="C131" s="4" t="n">
        <f aca="false">'City Data'!C131/Assumptions!$B$2</f>
        <v>27.5</v>
      </c>
      <c r="D131" s="4" t="n">
        <f aca="false">'City Data'!D131/Assumptions!$B$2</f>
        <v>60</v>
      </c>
      <c r="E131" s="4" t="n">
        <f aca="false">Assumptions!$B$3*Assumptions!$B$4*'City Data'!E131</f>
        <v>15</v>
      </c>
      <c r="F131" s="4" t="n">
        <f aca="false">Assumptions!$B$3*Assumptions!$B$5*'City Data'!E131</f>
        <v>27</v>
      </c>
      <c r="G131" s="4" t="n">
        <f aca="false">Assumptions!$B$3*Assumptions!$B$6*'City Data'!E131</f>
        <v>52.5</v>
      </c>
      <c r="H131" s="4" t="n">
        <f aca="false">Assumptions!$B$7*'City Data'!F131</f>
        <v>3</v>
      </c>
      <c r="I131" s="4" t="n">
        <f aca="false">Assumptions!$B$8*'City Data'!F131</f>
        <v>6</v>
      </c>
      <c r="J131" s="4" t="n">
        <f aca="false">Assumptions!$B$9*'City Data'!F131</f>
        <v>12</v>
      </c>
      <c r="K131" s="4" t="n">
        <f aca="false">'City Data'!G131+'City Data'!H131</f>
        <v>2.3</v>
      </c>
      <c r="L131" s="4" t="n">
        <f aca="false">IF(AND(Assumptions!$B$13,ISNUMBER('City Data'!I131)),Assumptions!$B$10*'City Data'!I131,0)</f>
        <v>4</v>
      </c>
      <c r="M131" s="4" t="n">
        <f aca="false">IF(AND(Assumptions!$B$13,ISNUMBER('City Data'!I131)),Assumptions!$B$11*'City Data'!I131,0)</f>
        <v>8</v>
      </c>
      <c r="N131" s="4" t="n">
        <f aca="false">IF(AND(Assumptions!$B$13,ISNUMBER('City Data'!I131)),Assumptions!$B$12*'City Data'!I131,0)</f>
        <v>12</v>
      </c>
      <c r="O131" s="4" t="n">
        <f aca="false">B131+E131+H131+K131</f>
        <v>29.3</v>
      </c>
      <c r="P131" s="4" t="n">
        <f aca="false">C131+F131+I131+K131</f>
        <v>62.8</v>
      </c>
      <c r="Q131" s="4" t="n">
        <f aca="false">D131+G131+J131+K131</f>
        <v>126.8</v>
      </c>
      <c r="R131" s="4" t="n">
        <f aca="false">IF(Assumptions!$B$14,Assumptions!$B$15*O131,0)</f>
        <v>2.93</v>
      </c>
      <c r="S131" s="4" t="n">
        <f aca="false">IF(Assumptions!$B$14,Assumptions!$B$16*P131,0)</f>
        <v>12.56</v>
      </c>
      <c r="T131" s="4" t="n">
        <f aca="false">IF(Assumptions!$B$14,Assumptions!$B$17*Q131,0)</f>
        <v>44.38</v>
      </c>
      <c r="U131" s="4" t="n">
        <f aca="false">O131+L131+R131</f>
        <v>36.23</v>
      </c>
      <c r="V131" s="4" t="n">
        <f aca="false">P131+M131+S131</f>
        <v>83.36</v>
      </c>
      <c r="W131" s="4" t="n">
        <f aca="false">Q131+N131+T131</f>
        <v>183.18</v>
      </c>
      <c r="X131" s="4" t="n">
        <f aca="false">'City Data'!K131</f>
        <v>20</v>
      </c>
      <c r="Y131" s="4" t="n">
        <f aca="false">'City Data'!L131</f>
        <v>55</v>
      </c>
      <c r="Z131" s="4" t="n">
        <f aca="false">'City Data'!M131</f>
        <v>180</v>
      </c>
      <c r="AA131" s="4" t="n">
        <f aca="false">U131-X131</f>
        <v>16.23</v>
      </c>
      <c r="AB131" s="4" t="n">
        <f aca="false">V131-Y131</f>
        <v>28.36</v>
      </c>
      <c r="AC131" s="4" t="n">
        <f aca="false">W131-Z131</f>
        <v>3.18000000000001</v>
      </c>
      <c r="AD131" s="4" t="str">
        <f aca="false">IF(OR(AND(X131&lt;&gt;0,ABS(AA131)&gt;Assumptions!$B$18*X131),AND(Y131&lt;&gt;0,ABS(AB131)&gt;Assumptions!$B$18*Y131),AND(Z131&lt;&gt;0,ABS(AC131)&gt;Assumptions!$B$18*Z131)),"REVIEW","")</f>
        <v>REVIEW</v>
      </c>
    </row>
    <row r="132" customFormat="false" ht="15" hidden="false" customHeight="false" outlineLevel="0" collapsed="false">
      <c r="A132" s="0" t="str">
        <f aca="false">'City Data'!A132</f>
        <v>Las Vegas</v>
      </c>
      <c r="B132" s="4" t="n">
        <f aca="false">'City Data'!B132/Assumptions!$B$2</f>
        <v>22.5</v>
      </c>
      <c r="C132" s="4" t="n">
        <f aca="false">'City Data'!C132/Assumptions!$B$2</f>
        <v>60</v>
      </c>
      <c r="D132" s="4" t="n">
        <f aca="false">'City Data'!D132/Assumptions!$B$2</f>
        <v>150</v>
      </c>
      <c r="E132" s="4" t="n">
        <f aca="false">Assumptions!$B$3*Assumptions!$B$4*'City Data'!E132</f>
        <v>75</v>
      </c>
      <c r="F132" s="4" t="n">
        <f aca="false">Assumptions!$B$3*Assumptions!$B$5*'City Data'!E132</f>
        <v>135</v>
      </c>
      <c r="G132" s="4" t="n">
        <f aca="false">Assumptions!$B$3*Assumptions!$B$6*'City Data'!E132</f>
        <v>262.5</v>
      </c>
      <c r="H132" s="4" t="n">
        <f aca="false">Assumptions!$B$7*'City Data'!F132</f>
        <v>30</v>
      </c>
      <c r="I132" s="4" t="n">
        <f aca="false">Assumptions!$B$8*'City Data'!F132</f>
        <v>60</v>
      </c>
      <c r="J132" s="4" t="n">
        <f aca="false">Assumptions!$B$9*'City Data'!F132</f>
        <v>120</v>
      </c>
      <c r="K132" s="4" t="n">
        <f aca="false">'City Data'!G132+'City Data'!H132</f>
        <v>7</v>
      </c>
      <c r="L132" s="4" t="n">
        <f aca="false">IF(AND(Assumptions!$B$13,ISNUMBER('City Data'!I132)),Assumptions!$B$10*'City Data'!I132,0)</f>
        <v>7</v>
      </c>
      <c r="M132" s="4" t="n">
        <f aca="false">IF(AND(Assumptions!$B$13,ISNUMBER('City Data'!I132)),Assumptions!$B$11*'City Data'!I132,0)</f>
        <v>14</v>
      </c>
      <c r="N132" s="4" t="n">
        <f aca="false">IF(AND(Assumptions!$B$13,ISNUMBER('City Data'!I132)),Assumptions!$B$12*'City Data'!I132,0)</f>
        <v>21</v>
      </c>
      <c r="O132" s="4" t="n">
        <f aca="false">B132+E132+H132+K132</f>
        <v>134.5</v>
      </c>
      <c r="P132" s="4" t="n">
        <f aca="false">C132+F132+I132+K132</f>
        <v>262</v>
      </c>
      <c r="Q132" s="4" t="n">
        <f aca="false">D132+G132+J132+K132</f>
        <v>539.5</v>
      </c>
      <c r="R132" s="4" t="n">
        <f aca="false">IF(Assumptions!$B$14,Assumptions!$B$15*O132,0)</f>
        <v>13.45</v>
      </c>
      <c r="S132" s="4" t="n">
        <f aca="false">IF(Assumptions!$B$14,Assumptions!$B$16*P132,0)</f>
        <v>52.4</v>
      </c>
      <c r="T132" s="4" t="n">
        <f aca="false">IF(Assumptions!$B$14,Assumptions!$B$17*Q132,0)</f>
        <v>188.825</v>
      </c>
      <c r="U132" s="4" t="n">
        <f aca="false">O132+L132+R132</f>
        <v>154.95</v>
      </c>
      <c r="V132" s="4" t="n">
        <f aca="false">P132+M132+S132</f>
        <v>328.4</v>
      </c>
      <c r="W132" s="4" t="n">
        <f aca="false">Q132+N132+T132</f>
        <v>749.325</v>
      </c>
      <c r="X132" s="4" t="n">
        <f aca="false">'City Data'!K132</f>
        <v>90</v>
      </c>
      <c r="Y132" s="4" t="n">
        <f aca="false">'City Data'!L132</f>
        <v>230</v>
      </c>
      <c r="Z132" s="4" t="n">
        <f aca="false">'City Data'!M132</f>
        <v>650</v>
      </c>
      <c r="AA132" s="4" t="n">
        <f aca="false">U132-X132</f>
        <v>64.95</v>
      </c>
      <c r="AB132" s="4" t="n">
        <f aca="false">V132-Y132</f>
        <v>98.4</v>
      </c>
      <c r="AC132" s="4" t="n">
        <f aca="false">W132-Z132</f>
        <v>99.3250000000001</v>
      </c>
      <c r="AD132" s="4" t="str">
        <f aca="false">IF(OR(AND(X132&lt;&gt;0,ABS(AA132)&gt;Assumptions!$B$18*X132),AND(Y132&lt;&gt;0,ABS(AB132)&gt;Assumptions!$B$18*Y132),AND(Z132&lt;&gt;0,ABS(AC132)&gt;Assumptions!$B$18*Z132)),"REVIEW","")</f>
        <v>REVIEW</v>
      </c>
    </row>
    <row r="133" customFormat="false" ht="15" hidden="false" customHeight="false" outlineLevel="0" collapsed="false">
      <c r="A133" s="0" t="str">
        <f aca="false">'City Data'!A133</f>
        <v>Libreville</v>
      </c>
      <c r="B133" s="4" t="n">
        <f aca="false">'City Data'!B133/Assumptions!$B$2</f>
        <v>22.5</v>
      </c>
      <c r="C133" s="4" t="n">
        <f aca="false">'City Data'!C133/Assumptions!$B$2</f>
        <v>45</v>
      </c>
      <c r="D133" s="4" t="n">
        <f aca="false">'City Data'!D133/Assumptions!$B$2</f>
        <v>110</v>
      </c>
      <c r="E133" s="4" t="n">
        <f aca="false">Assumptions!$B$3*Assumptions!$B$4*'City Data'!E133</f>
        <v>45</v>
      </c>
      <c r="F133" s="4" t="n">
        <f aca="false">Assumptions!$B$3*Assumptions!$B$5*'City Data'!E133</f>
        <v>81</v>
      </c>
      <c r="G133" s="4" t="n">
        <f aca="false">Assumptions!$B$3*Assumptions!$B$6*'City Data'!E133</f>
        <v>157.5</v>
      </c>
      <c r="H133" s="4" t="n">
        <f aca="false">Assumptions!$B$7*'City Data'!F133</f>
        <v>6</v>
      </c>
      <c r="I133" s="4" t="n">
        <f aca="false">Assumptions!$B$8*'City Data'!F133</f>
        <v>12</v>
      </c>
      <c r="J133" s="4" t="n">
        <f aca="false">Assumptions!$B$9*'City Data'!F133</f>
        <v>24</v>
      </c>
      <c r="K133" s="4" t="n">
        <f aca="false">'City Data'!G133+'City Data'!H133</f>
        <v>4</v>
      </c>
      <c r="L133" s="4" t="n">
        <f aca="false">IF(AND(Assumptions!$B$13,ISNUMBER('City Data'!I133)),Assumptions!$B$10*'City Data'!I133,0)</f>
        <v>3.5</v>
      </c>
      <c r="M133" s="4" t="n">
        <f aca="false">IF(AND(Assumptions!$B$13,ISNUMBER('City Data'!I133)),Assumptions!$B$11*'City Data'!I133,0)</f>
        <v>7</v>
      </c>
      <c r="N133" s="4" t="n">
        <f aca="false">IF(AND(Assumptions!$B$13,ISNUMBER('City Data'!I133)),Assumptions!$B$12*'City Data'!I133,0)</f>
        <v>10.5</v>
      </c>
      <c r="O133" s="4" t="n">
        <f aca="false">B133+E133+H133+K133</f>
        <v>77.5</v>
      </c>
      <c r="P133" s="4" t="n">
        <f aca="false">C133+F133+I133+K133</f>
        <v>142</v>
      </c>
      <c r="Q133" s="4" t="n">
        <f aca="false">D133+G133+J133+K133</f>
        <v>295.5</v>
      </c>
      <c r="R133" s="4" t="n">
        <f aca="false">IF(Assumptions!$B$14,Assumptions!$B$15*O133,0)</f>
        <v>7.75</v>
      </c>
      <c r="S133" s="4" t="n">
        <f aca="false">IF(Assumptions!$B$14,Assumptions!$B$16*P133,0)</f>
        <v>28.4</v>
      </c>
      <c r="T133" s="4" t="n">
        <f aca="false">IF(Assumptions!$B$14,Assumptions!$B$17*Q133,0)</f>
        <v>103.425</v>
      </c>
      <c r="U133" s="4" t="n">
        <f aca="false">O133+L133+R133</f>
        <v>88.75</v>
      </c>
      <c r="V133" s="4" t="n">
        <f aca="false">P133+M133+S133</f>
        <v>177.4</v>
      </c>
      <c r="W133" s="4" t="n">
        <f aca="false">Q133+N133+T133</f>
        <v>409.425</v>
      </c>
      <c r="X133" s="4" t="n">
        <f aca="false">'City Data'!K133</f>
        <v>50</v>
      </c>
      <c r="Y133" s="4" t="n">
        <f aca="false">'City Data'!L133</f>
        <v>125</v>
      </c>
      <c r="Z133" s="4" t="n">
        <f aca="false">'City Data'!M133</f>
        <v>365</v>
      </c>
      <c r="AA133" s="4" t="n">
        <f aca="false">U133-X133</f>
        <v>38.75</v>
      </c>
      <c r="AB133" s="4" t="n">
        <f aca="false">V133-Y133</f>
        <v>52.4</v>
      </c>
      <c r="AC133" s="4" t="n">
        <f aca="false">W133-Z133</f>
        <v>44.425</v>
      </c>
      <c r="AD133" s="4" t="str">
        <f aca="false">IF(OR(AND(X133&lt;&gt;0,ABS(AA133)&gt;Assumptions!$B$18*X133),AND(Y133&lt;&gt;0,ABS(AB133)&gt;Assumptions!$B$18*Y133),AND(Z133&lt;&gt;0,ABS(AC133)&gt;Assumptions!$B$18*Z133)),"REVIEW","")</f>
        <v>REVIEW</v>
      </c>
    </row>
    <row r="134" customFormat="false" ht="15" hidden="false" customHeight="false" outlineLevel="0" collapsed="false">
      <c r="A134" s="0" t="str">
        <f aca="false">'City Data'!A134</f>
        <v>Lilongwe</v>
      </c>
      <c r="B134" s="4" t="n">
        <f aca="false">'City Data'!B134/Assumptions!$B$2</f>
        <v>9</v>
      </c>
      <c r="C134" s="4" t="n">
        <f aca="false">'City Data'!C134/Assumptions!$B$2</f>
        <v>35</v>
      </c>
      <c r="D134" s="4" t="n">
        <f aca="false">'City Data'!D134/Assumptions!$B$2</f>
        <v>90</v>
      </c>
      <c r="E134" s="4" t="n">
        <f aca="false">Assumptions!$B$3*Assumptions!$B$4*'City Data'!E134</f>
        <v>24</v>
      </c>
      <c r="F134" s="4" t="n">
        <f aca="false">Assumptions!$B$3*Assumptions!$B$5*'City Data'!E134</f>
        <v>43.2</v>
      </c>
      <c r="G134" s="4" t="n">
        <f aca="false">Assumptions!$B$3*Assumptions!$B$6*'City Data'!E134</f>
        <v>84</v>
      </c>
      <c r="H134" s="4" t="n">
        <f aca="false">Assumptions!$B$7*'City Data'!F134</f>
        <v>6</v>
      </c>
      <c r="I134" s="4" t="n">
        <f aca="false">Assumptions!$B$8*'City Data'!F134</f>
        <v>12</v>
      </c>
      <c r="J134" s="4" t="n">
        <f aca="false">Assumptions!$B$9*'City Data'!F134</f>
        <v>24</v>
      </c>
      <c r="K134" s="4" t="n">
        <f aca="false">'City Data'!G134+'City Data'!H134</f>
        <v>3.1</v>
      </c>
      <c r="L134" s="4" t="n">
        <f aca="false">IF(AND(Assumptions!$B$13,ISNUMBER('City Data'!I134)),Assumptions!$B$10*'City Data'!I134,0)</f>
        <v>2</v>
      </c>
      <c r="M134" s="4" t="n">
        <f aca="false">IF(AND(Assumptions!$B$13,ISNUMBER('City Data'!I134)),Assumptions!$B$11*'City Data'!I134,0)</f>
        <v>4</v>
      </c>
      <c r="N134" s="4" t="n">
        <f aca="false">IF(AND(Assumptions!$B$13,ISNUMBER('City Data'!I134)),Assumptions!$B$12*'City Data'!I134,0)</f>
        <v>6</v>
      </c>
      <c r="O134" s="4" t="n">
        <f aca="false">B134+E134+H134+K134</f>
        <v>42.1</v>
      </c>
      <c r="P134" s="4" t="n">
        <f aca="false">C134+F134+I134+K134</f>
        <v>93.3</v>
      </c>
      <c r="Q134" s="4" t="n">
        <f aca="false">D134+G134+J134+K134</f>
        <v>201.1</v>
      </c>
      <c r="R134" s="4" t="n">
        <f aca="false">IF(Assumptions!$B$14,Assumptions!$B$15*O134,0)</f>
        <v>4.21</v>
      </c>
      <c r="S134" s="4" t="n">
        <f aca="false">IF(Assumptions!$B$14,Assumptions!$B$16*P134,0)</f>
        <v>18.66</v>
      </c>
      <c r="T134" s="4" t="n">
        <f aca="false">IF(Assumptions!$B$14,Assumptions!$B$17*Q134,0)</f>
        <v>70.385</v>
      </c>
      <c r="U134" s="4" t="n">
        <f aca="false">O134+L134+R134</f>
        <v>48.31</v>
      </c>
      <c r="V134" s="4" t="n">
        <f aca="false">P134+M134+S134</f>
        <v>115.96</v>
      </c>
      <c r="W134" s="4" t="n">
        <f aca="false">Q134+N134+T134</f>
        <v>277.485</v>
      </c>
      <c r="X134" s="4" t="n">
        <f aca="false">'City Data'!K134</f>
        <v>35</v>
      </c>
      <c r="Y134" s="4" t="n">
        <f aca="false">'City Data'!L134</f>
        <v>85</v>
      </c>
      <c r="Z134" s="4" t="n">
        <f aca="false">'City Data'!M134</f>
        <v>255</v>
      </c>
      <c r="AA134" s="4" t="n">
        <f aca="false">U134-X134</f>
        <v>13.31</v>
      </c>
      <c r="AB134" s="4" t="n">
        <f aca="false">V134-Y134</f>
        <v>30.96</v>
      </c>
      <c r="AC134" s="4" t="n">
        <f aca="false">W134-Z134</f>
        <v>22.485</v>
      </c>
      <c r="AD134" s="4" t="str">
        <f aca="false">IF(OR(AND(X134&lt;&gt;0,ABS(AA134)&gt;Assumptions!$B$18*X134),AND(Y134&lt;&gt;0,ABS(AB134)&gt;Assumptions!$B$18*Y134),AND(Z134&lt;&gt;0,ABS(AC134)&gt;Assumptions!$B$18*Z134)),"REVIEW","")</f>
        <v>REVIEW</v>
      </c>
    </row>
    <row r="135" customFormat="false" ht="15" hidden="false" customHeight="false" outlineLevel="0" collapsed="false">
      <c r="A135" s="0" t="str">
        <f aca="false">'City Data'!A135</f>
        <v>Lima</v>
      </c>
      <c r="B135" s="4" t="n">
        <f aca="false">'City Data'!B135/Assumptions!$B$2</f>
        <v>17.5</v>
      </c>
      <c r="C135" s="4" t="n">
        <f aca="false">'City Data'!C135/Assumptions!$B$2</f>
        <v>40</v>
      </c>
      <c r="D135" s="4" t="n">
        <f aca="false">'City Data'!D135/Assumptions!$B$2</f>
        <v>80</v>
      </c>
      <c r="E135" s="4" t="n">
        <f aca="false">Assumptions!$B$3*Assumptions!$B$4*'City Data'!E135</f>
        <v>45</v>
      </c>
      <c r="F135" s="4" t="n">
        <f aca="false">Assumptions!$B$3*Assumptions!$B$5*'City Data'!E135</f>
        <v>81</v>
      </c>
      <c r="G135" s="4" t="n">
        <f aca="false">Assumptions!$B$3*Assumptions!$B$6*'City Data'!E135</f>
        <v>157.5</v>
      </c>
      <c r="H135" s="4" t="n">
        <f aca="false">Assumptions!$B$7*'City Data'!F135</f>
        <v>10</v>
      </c>
      <c r="I135" s="4" t="n">
        <f aca="false">Assumptions!$B$8*'City Data'!F135</f>
        <v>20</v>
      </c>
      <c r="J135" s="4" t="n">
        <f aca="false">Assumptions!$B$9*'City Data'!F135</f>
        <v>40</v>
      </c>
      <c r="K135" s="4" t="n">
        <f aca="false">'City Data'!G135+'City Data'!H135</f>
        <v>3.3</v>
      </c>
      <c r="L135" s="4" t="n">
        <f aca="false">IF(AND(Assumptions!$B$13,ISNUMBER('City Data'!I135)),Assumptions!$B$10*'City Data'!I135,0)</f>
        <v>3</v>
      </c>
      <c r="M135" s="4" t="n">
        <f aca="false">IF(AND(Assumptions!$B$13,ISNUMBER('City Data'!I135)),Assumptions!$B$11*'City Data'!I135,0)</f>
        <v>6</v>
      </c>
      <c r="N135" s="4" t="n">
        <f aca="false">IF(AND(Assumptions!$B$13,ISNUMBER('City Data'!I135)),Assumptions!$B$12*'City Data'!I135,0)</f>
        <v>9</v>
      </c>
      <c r="O135" s="4" t="n">
        <f aca="false">B135+E135+H135+K135</f>
        <v>75.8</v>
      </c>
      <c r="P135" s="4" t="n">
        <f aca="false">C135+F135+I135+K135</f>
        <v>144.3</v>
      </c>
      <c r="Q135" s="4" t="n">
        <f aca="false">D135+G135+J135+K135</f>
        <v>280.8</v>
      </c>
      <c r="R135" s="4" t="n">
        <f aca="false">IF(Assumptions!$B$14,Assumptions!$B$15*O135,0)</f>
        <v>7.58</v>
      </c>
      <c r="S135" s="4" t="n">
        <f aca="false">IF(Assumptions!$B$14,Assumptions!$B$16*P135,0)</f>
        <v>28.86</v>
      </c>
      <c r="T135" s="4" t="n">
        <f aca="false">IF(Assumptions!$B$14,Assumptions!$B$17*Q135,0)</f>
        <v>98.28</v>
      </c>
      <c r="U135" s="4" t="n">
        <f aca="false">O135+L135+R135</f>
        <v>86.38</v>
      </c>
      <c r="V135" s="4" t="n">
        <f aca="false">P135+M135+S135</f>
        <v>179.16</v>
      </c>
      <c r="W135" s="4" t="n">
        <f aca="false">Q135+N135+T135</f>
        <v>388.08</v>
      </c>
      <c r="X135" s="4" t="n">
        <f aca="false">'City Data'!K135</f>
        <v>45</v>
      </c>
      <c r="Y135" s="4" t="n">
        <f aca="false">'City Data'!L135</f>
        <v>110</v>
      </c>
      <c r="Z135" s="4" t="n">
        <f aca="false">'City Data'!M135</f>
        <v>320</v>
      </c>
      <c r="AA135" s="4" t="n">
        <f aca="false">U135-X135</f>
        <v>41.38</v>
      </c>
      <c r="AB135" s="4" t="n">
        <f aca="false">V135-Y135</f>
        <v>69.16</v>
      </c>
      <c r="AC135" s="4" t="n">
        <f aca="false">W135-Z135</f>
        <v>68.08</v>
      </c>
      <c r="AD135" s="4" t="str">
        <f aca="false">IF(OR(AND(X135&lt;&gt;0,ABS(AA135)&gt;Assumptions!$B$18*X135),AND(Y135&lt;&gt;0,ABS(AB135)&gt;Assumptions!$B$18*Y135),AND(Z135&lt;&gt;0,ABS(AC135)&gt;Assumptions!$B$18*Z135)),"REVIEW","")</f>
        <v>REVIEW</v>
      </c>
    </row>
    <row r="136" customFormat="false" ht="15" hidden="false" customHeight="false" outlineLevel="0" collapsed="false">
      <c r="A136" s="0" t="str">
        <f aca="false">'City Data'!A136</f>
        <v>Lisbon</v>
      </c>
      <c r="B136" s="4" t="n">
        <f aca="false">'City Data'!B136/Assumptions!$B$2</f>
        <v>32.5</v>
      </c>
      <c r="C136" s="4" t="n">
        <f aca="false">'City Data'!C136/Assumptions!$B$2</f>
        <v>60</v>
      </c>
      <c r="D136" s="4" t="n">
        <f aca="false">'City Data'!D136/Assumptions!$B$2</f>
        <v>140</v>
      </c>
      <c r="E136" s="4" t="n">
        <f aca="false">Assumptions!$B$3*Assumptions!$B$4*'City Data'!E136</f>
        <v>54</v>
      </c>
      <c r="F136" s="4" t="n">
        <f aca="false">Assumptions!$B$3*Assumptions!$B$5*'City Data'!E136</f>
        <v>97.2</v>
      </c>
      <c r="G136" s="4" t="n">
        <f aca="false">Assumptions!$B$3*Assumptions!$B$6*'City Data'!E136</f>
        <v>189</v>
      </c>
      <c r="H136" s="4" t="n">
        <f aca="false">Assumptions!$B$7*'City Data'!F136</f>
        <v>20</v>
      </c>
      <c r="I136" s="4" t="n">
        <f aca="false">Assumptions!$B$8*'City Data'!F136</f>
        <v>40</v>
      </c>
      <c r="J136" s="4" t="n">
        <f aca="false">Assumptions!$B$9*'City Data'!F136</f>
        <v>80</v>
      </c>
      <c r="K136" s="4" t="n">
        <f aca="false">'City Data'!G136+'City Data'!H136</f>
        <v>2.1</v>
      </c>
      <c r="L136" s="4" t="n">
        <f aca="false">IF(AND(Assumptions!$B$13,ISNUMBER('City Data'!I136)),Assumptions!$B$10*'City Data'!I136,0)</f>
        <v>2.5</v>
      </c>
      <c r="M136" s="4" t="n">
        <f aca="false">IF(AND(Assumptions!$B$13,ISNUMBER('City Data'!I136)),Assumptions!$B$11*'City Data'!I136,0)</f>
        <v>5</v>
      </c>
      <c r="N136" s="4" t="n">
        <f aca="false">IF(AND(Assumptions!$B$13,ISNUMBER('City Data'!I136)),Assumptions!$B$12*'City Data'!I136,0)</f>
        <v>7.5</v>
      </c>
      <c r="O136" s="4" t="n">
        <f aca="false">B136+E136+H136+K136</f>
        <v>108.6</v>
      </c>
      <c r="P136" s="4" t="n">
        <f aca="false">C136+F136+I136+K136</f>
        <v>199.3</v>
      </c>
      <c r="Q136" s="4" t="n">
        <f aca="false">D136+G136+J136+K136</f>
        <v>411.1</v>
      </c>
      <c r="R136" s="4" t="n">
        <f aca="false">IF(Assumptions!$B$14,Assumptions!$B$15*O136,0)</f>
        <v>10.86</v>
      </c>
      <c r="S136" s="4" t="n">
        <f aca="false">IF(Assumptions!$B$14,Assumptions!$B$16*P136,0)</f>
        <v>39.86</v>
      </c>
      <c r="T136" s="4" t="n">
        <f aca="false">IF(Assumptions!$B$14,Assumptions!$B$17*Q136,0)</f>
        <v>143.885</v>
      </c>
      <c r="U136" s="4" t="n">
        <f aca="false">O136+L136+R136</f>
        <v>121.96</v>
      </c>
      <c r="V136" s="4" t="n">
        <f aca="false">P136+M136+S136</f>
        <v>244.16</v>
      </c>
      <c r="W136" s="4" t="n">
        <f aca="false">Q136+N136+T136</f>
        <v>562.485</v>
      </c>
      <c r="X136" s="4" t="n">
        <f aca="false">'City Data'!K136</f>
        <v>65</v>
      </c>
      <c r="Y136" s="4" t="n">
        <f aca="false">'City Data'!L136</f>
        <v>160</v>
      </c>
      <c r="Z136" s="4" t="n">
        <f aca="false">'City Data'!M136</f>
        <v>440</v>
      </c>
      <c r="AA136" s="4" t="n">
        <f aca="false">U136-X136</f>
        <v>56.96</v>
      </c>
      <c r="AB136" s="4" t="n">
        <f aca="false">V136-Y136</f>
        <v>84.16</v>
      </c>
      <c r="AC136" s="4" t="n">
        <f aca="false">W136-Z136</f>
        <v>122.485</v>
      </c>
      <c r="AD136" s="4" t="str">
        <f aca="false">IF(OR(AND(X136&lt;&gt;0,ABS(AA136)&gt;Assumptions!$B$18*X136),AND(Y136&lt;&gt;0,ABS(AB136)&gt;Assumptions!$B$18*Y136),AND(Z136&lt;&gt;0,ABS(AC136)&gt;Assumptions!$B$18*Z136)),"REVIEW","")</f>
        <v>REVIEW</v>
      </c>
    </row>
    <row r="137" customFormat="false" ht="15" hidden="false" customHeight="false" outlineLevel="0" collapsed="false">
      <c r="A137" s="0" t="str">
        <f aca="false">'City Data'!A137</f>
        <v>Ljubljana</v>
      </c>
      <c r="B137" s="4" t="n">
        <f aca="false">'City Data'!B137/Assumptions!$B$2</f>
        <v>27.5</v>
      </c>
      <c r="C137" s="4" t="n">
        <f aca="false">'City Data'!C137/Assumptions!$B$2</f>
        <v>60</v>
      </c>
      <c r="D137" s="4" t="n">
        <f aca="false">'City Data'!D137/Assumptions!$B$2</f>
        <v>140</v>
      </c>
      <c r="E137" s="4" t="n">
        <f aca="false">Assumptions!$B$3*Assumptions!$B$4*'City Data'!E137</f>
        <v>66</v>
      </c>
      <c r="F137" s="4" t="n">
        <f aca="false">Assumptions!$B$3*Assumptions!$B$5*'City Data'!E137</f>
        <v>118.8</v>
      </c>
      <c r="G137" s="4" t="n">
        <f aca="false">Assumptions!$B$3*Assumptions!$B$6*'City Data'!E137</f>
        <v>231</v>
      </c>
      <c r="H137" s="4" t="n">
        <f aca="false">Assumptions!$B$7*'City Data'!F137</f>
        <v>9</v>
      </c>
      <c r="I137" s="4" t="n">
        <f aca="false">Assumptions!$B$8*'City Data'!F137</f>
        <v>18</v>
      </c>
      <c r="J137" s="4" t="n">
        <f aca="false">Assumptions!$B$9*'City Data'!F137</f>
        <v>36</v>
      </c>
      <c r="K137" s="4" t="n">
        <f aca="false">'City Data'!G137+'City Data'!H137</f>
        <v>4.6</v>
      </c>
      <c r="L137" s="4" t="n">
        <f aca="false">IF(AND(Assumptions!$B$13,ISNUMBER('City Data'!I137)),Assumptions!$B$10*'City Data'!I137,0)</f>
        <v>4.5</v>
      </c>
      <c r="M137" s="4" t="n">
        <f aca="false">IF(AND(Assumptions!$B$13,ISNUMBER('City Data'!I137)),Assumptions!$B$11*'City Data'!I137,0)</f>
        <v>9</v>
      </c>
      <c r="N137" s="4" t="n">
        <f aca="false">IF(AND(Assumptions!$B$13,ISNUMBER('City Data'!I137)),Assumptions!$B$12*'City Data'!I137,0)</f>
        <v>13.5</v>
      </c>
      <c r="O137" s="4" t="n">
        <f aca="false">B137+E137+H137+K137</f>
        <v>107.1</v>
      </c>
      <c r="P137" s="4" t="n">
        <f aca="false">C137+F137+I137+K137</f>
        <v>201.4</v>
      </c>
      <c r="Q137" s="4" t="n">
        <f aca="false">D137+G137+J137+K137</f>
        <v>411.6</v>
      </c>
      <c r="R137" s="4" t="n">
        <f aca="false">IF(Assumptions!$B$14,Assumptions!$B$15*O137,0)</f>
        <v>10.71</v>
      </c>
      <c r="S137" s="4" t="n">
        <f aca="false">IF(Assumptions!$B$14,Assumptions!$B$16*P137,0)</f>
        <v>40.28</v>
      </c>
      <c r="T137" s="4" t="n">
        <f aca="false">IF(Assumptions!$B$14,Assumptions!$B$17*Q137,0)</f>
        <v>144.06</v>
      </c>
      <c r="U137" s="4" t="n">
        <f aca="false">O137+L137+R137</f>
        <v>122.31</v>
      </c>
      <c r="V137" s="4" t="n">
        <f aca="false">P137+M137+S137</f>
        <v>250.68</v>
      </c>
      <c r="W137" s="4" t="n">
        <f aca="false">Q137+N137+T137</f>
        <v>569.16</v>
      </c>
      <c r="X137" s="4" t="n">
        <f aca="false">'City Data'!K137</f>
        <v>65</v>
      </c>
      <c r="Y137" s="4" t="n">
        <f aca="false">'City Data'!L137</f>
        <v>160</v>
      </c>
      <c r="Z137" s="4" t="n">
        <f aca="false">'City Data'!M137</f>
        <v>465</v>
      </c>
      <c r="AA137" s="4" t="n">
        <f aca="false">U137-X137</f>
        <v>57.31</v>
      </c>
      <c r="AB137" s="4" t="n">
        <f aca="false">V137-Y137</f>
        <v>90.68</v>
      </c>
      <c r="AC137" s="4" t="n">
        <f aca="false">W137-Z137</f>
        <v>104.16</v>
      </c>
      <c r="AD137" s="4" t="str">
        <f aca="false">IF(OR(AND(X137&lt;&gt;0,ABS(AA137)&gt;Assumptions!$B$18*X137),AND(Y137&lt;&gt;0,ABS(AB137)&gt;Assumptions!$B$18*Y137),AND(Z137&lt;&gt;0,ABS(AC137)&gt;Assumptions!$B$18*Z137)),"REVIEW","")</f>
        <v>REVIEW</v>
      </c>
    </row>
    <row r="138" customFormat="false" ht="15" hidden="false" customHeight="false" outlineLevel="0" collapsed="false">
      <c r="A138" s="0" t="str">
        <f aca="false">'City Data'!A138</f>
        <v>Lomé</v>
      </c>
      <c r="B138" s="4" t="n">
        <f aca="false">'City Data'!B138/Assumptions!$B$2</f>
        <v>10</v>
      </c>
      <c r="C138" s="4" t="n">
        <f aca="false">'City Data'!C138/Assumptions!$B$2</f>
        <v>35</v>
      </c>
      <c r="D138" s="4" t="n">
        <f aca="false">'City Data'!D138/Assumptions!$B$2</f>
        <v>100</v>
      </c>
      <c r="E138" s="4" t="n">
        <f aca="false">Assumptions!$B$3*Assumptions!$B$4*'City Data'!E138</f>
        <v>30</v>
      </c>
      <c r="F138" s="4" t="n">
        <f aca="false">Assumptions!$B$3*Assumptions!$B$5*'City Data'!E138</f>
        <v>54</v>
      </c>
      <c r="G138" s="4" t="n">
        <f aca="false">Assumptions!$B$3*Assumptions!$B$6*'City Data'!E138</f>
        <v>105</v>
      </c>
      <c r="H138" s="4" t="n">
        <f aca="false">Assumptions!$B$7*'City Data'!F138</f>
        <v>4</v>
      </c>
      <c r="I138" s="4" t="n">
        <f aca="false">Assumptions!$B$8*'City Data'!F138</f>
        <v>8</v>
      </c>
      <c r="J138" s="4" t="n">
        <f aca="false">Assumptions!$B$9*'City Data'!F138</f>
        <v>16</v>
      </c>
      <c r="K138" s="4" t="n">
        <f aca="false">'City Data'!G138+'City Data'!H138</f>
        <v>2.6</v>
      </c>
      <c r="L138" s="4" t="n">
        <f aca="false">IF(AND(Assumptions!$B$13,ISNUMBER('City Data'!I138)),Assumptions!$B$10*'City Data'!I138,0)</f>
        <v>1.5</v>
      </c>
      <c r="M138" s="4" t="n">
        <f aca="false">IF(AND(Assumptions!$B$13,ISNUMBER('City Data'!I138)),Assumptions!$B$11*'City Data'!I138,0)</f>
        <v>3</v>
      </c>
      <c r="N138" s="4" t="n">
        <f aca="false">IF(AND(Assumptions!$B$13,ISNUMBER('City Data'!I138)),Assumptions!$B$12*'City Data'!I138,0)</f>
        <v>4.5</v>
      </c>
      <c r="O138" s="4" t="n">
        <f aca="false">B138+E138+H138+K138</f>
        <v>46.6</v>
      </c>
      <c r="P138" s="4" t="n">
        <f aca="false">C138+F138+I138+K138</f>
        <v>99.6</v>
      </c>
      <c r="Q138" s="4" t="n">
        <f aca="false">D138+G138+J138+K138</f>
        <v>223.6</v>
      </c>
      <c r="R138" s="4" t="n">
        <f aca="false">IF(Assumptions!$B$14,Assumptions!$B$15*O138,0)</f>
        <v>4.66</v>
      </c>
      <c r="S138" s="4" t="n">
        <f aca="false">IF(Assumptions!$B$14,Assumptions!$B$16*P138,0)</f>
        <v>19.92</v>
      </c>
      <c r="T138" s="4" t="n">
        <f aca="false">IF(Assumptions!$B$14,Assumptions!$B$17*Q138,0)</f>
        <v>78.26</v>
      </c>
      <c r="U138" s="4" t="n">
        <f aca="false">O138+L138+R138</f>
        <v>52.76</v>
      </c>
      <c r="V138" s="4" t="n">
        <f aca="false">P138+M138+S138</f>
        <v>122.52</v>
      </c>
      <c r="W138" s="4" t="n">
        <f aca="false">Q138+N138+T138</f>
        <v>306.36</v>
      </c>
      <c r="X138" s="4" t="n">
        <f aca="false">'City Data'!K138</f>
        <v>35</v>
      </c>
      <c r="Y138" s="4" t="n">
        <f aca="false">'City Data'!L138</f>
        <v>90</v>
      </c>
      <c r="Z138" s="4" t="n">
        <f aca="false">'City Data'!M138</f>
        <v>280</v>
      </c>
      <c r="AA138" s="4" t="n">
        <f aca="false">U138-X138</f>
        <v>17.76</v>
      </c>
      <c r="AB138" s="4" t="n">
        <f aca="false">V138-Y138</f>
        <v>32.52</v>
      </c>
      <c r="AC138" s="4" t="n">
        <f aca="false">W138-Z138</f>
        <v>26.36</v>
      </c>
      <c r="AD138" s="4" t="str">
        <f aca="false">IF(OR(AND(X138&lt;&gt;0,ABS(AA138)&gt;Assumptions!$B$18*X138),AND(Y138&lt;&gt;0,ABS(AB138)&gt;Assumptions!$B$18*Y138),AND(Z138&lt;&gt;0,ABS(AC138)&gt;Assumptions!$B$18*Z138)),"REVIEW","")</f>
        <v>REVIEW</v>
      </c>
    </row>
    <row r="139" customFormat="false" ht="15" hidden="false" customHeight="false" outlineLevel="0" collapsed="false">
      <c r="A139" s="0" t="str">
        <f aca="false">'City Data'!A139</f>
        <v>London</v>
      </c>
      <c r="B139" s="4" t="n">
        <f aca="false">'City Data'!B139/Assumptions!$B$2</f>
        <v>40</v>
      </c>
      <c r="C139" s="4" t="n">
        <f aca="false">'City Data'!C139/Assumptions!$B$2</f>
        <v>82.5</v>
      </c>
      <c r="D139" s="4" t="n">
        <f aca="false">'City Data'!D139/Assumptions!$B$2</f>
        <v>200</v>
      </c>
      <c r="E139" s="4" t="n">
        <f aca="false">Assumptions!$B$3*Assumptions!$B$4*'City Data'!E139</f>
        <v>90</v>
      </c>
      <c r="F139" s="4" t="n">
        <f aca="false">Assumptions!$B$3*Assumptions!$B$5*'City Data'!E139</f>
        <v>162</v>
      </c>
      <c r="G139" s="4" t="n">
        <f aca="false">Assumptions!$B$3*Assumptions!$B$6*'City Data'!E139</f>
        <v>315</v>
      </c>
      <c r="H139" s="4" t="n">
        <f aca="false">Assumptions!$B$7*'City Data'!F139</f>
        <v>25</v>
      </c>
      <c r="I139" s="4" t="n">
        <f aca="false">Assumptions!$B$8*'City Data'!F139</f>
        <v>50</v>
      </c>
      <c r="J139" s="4" t="n">
        <f aca="false">Assumptions!$B$9*'City Data'!F139</f>
        <v>100</v>
      </c>
      <c r="K139" s="4" t="n">
        <f aca="false">'City Data'!G139+'City Data'!H139</f>
        <v>5.5</v>
      </c>
      <c r="L139" s="4" t="n">
        <f aca="false">IF(AND(Assumptions!$B$13,ISNUMBER('City Data'!I139)),Assumptions!$B$10*'City Data'!I139,0)</f>
        <v>7</v>
      </c>
      <c r="M139" s="4" t="n">
        <f aca="false">IF(AND(Assumptions!$B$13,ISNUMBER('City Data'!I139)),Assumptions!$B$11*'City Data'!I139,0)</f>
        <v>14</v>
      </c>
      <c r="N139" s="4" t="n">
        <f aca="false">IF(AND(Assumptions!$B$13,ISNUMBER('City Data'!I139)),Assumptions!$B$12*'City Data'!I139,0)</f>
        <v>21</v>
      </c>
      <c r="O139" s="4" t="n">
        <f aca="false">B139+E139+H139+K139</f>
        <v>160.5</v>
      </c>
      <c r="P139" s="4" t="n">
        <f aca="false">C139+F139+I139+K139</f>
        <v>300</v>
      </c>
      <c r="Q139" s="4" t="n">
        <f aca="false">D139+G139+J139+K139</f>
        <v>620.5</v>
      </c>
      <c r="R139" s="4" t="n">
        <f aca="false">IF(Assumptions!$B$14,Assumptions!$B$15*O139,0)</f>
        <v>16.05</v>
      </c>
      <c r="S139" s="4" t="n">
        <f aca="false">IF(Assumptions!$B$14,Assumptions!$B$16*P139,0)</f>
        <v>60</v>
      </c>
      <c r="T139" s="4" t="n">
        <f aca="false">IF(Assumptions!$B$14,Assumptions!$B$17*Q139,0)</f>
        <v>217.175</v>
      </c>
      <c r="U139" s="4" t="n">
        <f aca="false">O139+L139+R139</f>
        <v>183.55</v>
      </c>
      <c r="V139" s="4" t="n">
        <f aca="false">P139+M139+S139</f>
        <v>374</v>
      </c>
      <c r="W139" s="4" t="n">
        <f aca="false">Q139+N139+T139</f>
        <v>858.675</v>
      </c>
      <c r="X139" s="4" t="n">
        <f aca="false">'City Data'!K139</f>
        <v>110</v>
      </c>
      <c r="Y139" s="4" t="n">
        <f aca="false">'City Data'!L139</f>
        <v>290</v>
      </c>
      <c r="Z139" s="4" t="n">
        <f aca="false">'City Data'!M139</f>
        <v>830</v>
      </c>
      <c r="AA139" s="4" t="n">
        <f aca="false">U139-X139</f>
        <v>73.55</v>
      </c>
      <c r="AB139" s="4" t="n">
        <f aca="false">V139-Y139</f>
        <v>84</v>
      </c>
      <c r="AC139" s="4" t="n">
        <f aca="false">W139-Z139</f>
        <v>28.675</v>
      </c>
      <c r="AD139" s="4" t="str">
        <f aca="false">IF(OR(AND(X139&lt;&gt;0,ABS(AA139)&gt;Assumptions!$B$18*X139),AND(Y139&lt;&gt;0,ABS(AB139)&gt;Assumptions!$B$18*Y139),AND(Z139&lt;&gt;0,ABS(AC139)&gt;Assumptions!$B$18*Z139)),"REVIEW","")</f>
        <v>REVIEW</v>
      </c>
    </row>
    <row r="140" customFormat="false" ht="15" hidden="false" customHeight="false" outlineLevel="0" collapsed="false">
      <c r="A140" s="0" t="str">
        <f aca="false">'City Data'!A140</f>
        <v>Los Angeles</v>
      </c>
      <c r="B140" s="4" t="n">
        <f aca="false">'City Data'!B140/Assumptions!$B$2</f>
        <v>50</v>
      </c>
      <c r="C140" s="4" t="n">
        <f aca="false">'City Data'!C140/Assumptions!$B$2</f>
        <v>100</v>
      </c>
      <c r="D140" s="4" t="n">
        <f aca="false">'City Data'!D140/Assumptions!$B$2</f>
        <v>225</v>
      </c>
      <c r="E140" s="4" t="n">
        <f aca="false">Assumptions!$B$3*Assumptions!$B$4*'City Data'!E140</f>
        <v>90</v>
      </c>
      <c r="F140" s="4" t="n">
        <f aca="false">Assumptions!$B$3*Assumptions!$B$5*'City Data'!E140</f>
        <v>162</v>
      </c>
      <c r="G140" s="4" t="n">
        <f aca="false">Assumptions!$B$3*Assumptions!$B$6*'City Data'!E140</f>
        <v>315</v>
      </c>
      <c r="H140" s="4" t="n">
        <f aca="false">Assumptions!$B$7*'City Data'!F140</f>
        <v>25</v>
      </c>
      <c r="I140" s="4" t="n">
        <f aca="false">Assumptions!$B$8*'City Data'!F140</f>
        <v>50</v>
      </c>
      <c r="J140" s="4" t="n">
        <f aca="false">Assumptions!$B$9*'City Data'!F140</f>
        <v>100</v>
      </c>
      <c r="K140" s="4" t="n">
        <f aca="false">'City Data'!G140+'City Data'!H140</f>
        <v>6</v>
      </c>
      <c r="L140" s="4" t="n">
        <f aca="false">IF(AND(Assumptions!$B$13,ISNUMBER('City Data'!I140)),Assumptions!$B$10*'City Data'!I140,0)</f>
        <v>7</v>
      </c>
      <c r="M140" s="4" t="n">
        <f aca="false">IF(AND(Assumptions!$B$13,ISNUMBER('City Data'!I140)),Assumptions!$B$11*'City Data'!I140,0)</f>
        <v>14</v>
      </c>
      <c r="N140" s="4" t="n">
        <f aca="false">IF(AND(Assumptions!$B$13,ISNUMBER('City Data'!I140)),Assumptions!$B$12*'City Data'!I140,0)</f>
        <v>21</v>
      </c>
      <c r="O140" s="4" t="n">
        <f aca="false">B140+E140+H140+K140</f>
        <v>171</v>
      </c>
      <c r="P140" s="4" t="n">
        <f aca="false">C140+F140+I140+K140</f>
        <v>318</v>
      </c>
      <c r="Q140" s="4" t="n">
        <f aca="false">D140+G140+J140+K140</f>
        <v>646</v>
      </c>
      <c r="R140" s="4" t="n">
        <f aca="false">IF(Assumptions!$B$14,Assumptions!$B$15*O140,0)</f>
        <v>17.1</v>
      </c>
      <c r="S140" s="4" t="n">
        <f aca="false">IF(Assumptions!$B$14,Assumptions!$B$16*P140,0)</f>
        <v>63.6</v>
      </c>
      <c r="T140" s="4" t="n">
        <f aca="false">IF(Assumptions!$B$14,Assumptions!$B$17*Q140,0)</f>
        <v>226.1</v>
      </c>
      <c r="U140" s="4" t="n">
        <f aca="false">O140+L140+R140</f>
        <v>195.1</v>
      </c>
      <c r="V140" s="4" t="n">
        <f aca="false">P140+M140+S140</f>
        <v>395.6</v>
      </c>
      <c r="W140" s="4" t="n">
        <f aca="false">Q140+N140+T140</f>
        <v>893.1</v>
      </c>
      <c r="X140" s="4" t="n">
        <f aca="false">'City Data'!K140</f>
        <v>110</v>
      </c>
      <c r="Y140" s="4" t="n">
        <f aca="false">'City Data'!L140</f>
        <v>280</v>
      </c>
      <c r="Z140" s="4" t="n">
        <f aca="false">'City Data'!M140</f>
        <v>750</v>
      </c>
      <c r="AA140" s="4" t="n">
        <f aca="false">U140-X140</f>
        <v>85.1</v>
      </c>
      <c r="AB140" s="4" t="n">
        <f aca="false">V140-Y140</f>
        <v>115.6</v>
      </c>
      <c r="AC140" s="4" t="n">
        <f aca="false">W140-Z140</f>
        <v>143.1</v>
      </c>
      <c r="AD140" s="4" t="str">
        <f aca="false">IF(OR(AND(X140&lt;&gt;0,ABS(AA140)&gt;Assumptions!$B$18*X140),AND(Y140&lt;&gt;0,ABS(AB140)&gt;Assumptions!$B$18*Y140),AND(Z140&lt;&gt;0,ABS(AC140)&gt;Assumptions!$B$18*Z140)),"REVIEW","")</f>
        <v>REVIEW</v>
      </c>
    </row>
    <row r="141" customFormat="false" ht="15" hidden="false" customHeight="false" outlineLevel="0" collapsed="false">
      <c r="A141" s="0" t="str">
        <f aca="false">'City Data'!A141</f>
        <v>Luanda</v>
      </c>
      <c r="B141" s="4" t="n">
        <f aca="false">'City Data'!B141/Assumptions!$B$2</f>
        <v>35</v>
      </c>
      <c r="C141" s="4" t="n">
        <f aca="false">'City Data'!C141/Assumptions!$B$2</f>
        <v>90</v>
      </c>
      <c r="D141" s="4" t="n">
        <f aca="false">'City Data'!D141/Assumptions!$B$2</f>
        <v>175</v>
      </c>
      <c r="E141" s="4" t="n">
        <f aca="false">Assumptions!$B$3*Assumptions!$B$4*'City Data'!E141</f>
        <v>75</v>
      </c>
      <c r="F141" s="4" t="n">
        <f aca="false">Assumptions!$B$3*Assumptions!$B$5*'City Data'!E141</f>
        <v>135</v>
      </c>
      <c r="G141" s="4" t="n">
        <f aca="false">Assumptions!$B$3*Assumptions!$B$6*'City Data'!E141</f>
        <v>262.5</v>
      </c>
      <c r="H141" s="4" t="n">
        <f aca="false">Assumptions!$B$7*'City Data'!F141</f>
        <v>12</v>
      </c>
      <c r="I141" s="4" t="n">
        <f aca="false">Assumptions!$B$8*'City Data'!F141</f>
        <v>24</v>
      </c>
      <c r="J141" s="4" t="n">
        <f aca="false">Assumptions!$B$9*'City Data'!F141</f>
        <v>48</v>
      </c>
      <c r="K141" s="4" t="n">
        <f aca="false">'City Data'!G141+'City Data'!H141</f>
        <v>3.5</v>
      </c>
      <c r="L141" s="4" t="n">
        <f aca="false">IF(AND(Assumptions!$B$13,ISNUMBER('City Data'!I141)),Assumptions!$B$10*'City Data'!I141,0)</f>
        <v>3.5</v>
      </c>
      <c r="M141" s="4" t="n">
        <f aca="false">IF(AND(Assumptions!$B$13,ISNUMBER('City Data'!I141)),Assumptions!$B$11*'City Data'!I141,0)</f>
        <v>7</v>
      </c>
      <c r="N141" s="4" t="n">
        <f aca="false">IF(AND(Assumptions!$B$13,ISNUMBER('City Data'!I141)),Assumptions!$B$12*'City Data'!I141,0)</f>
        <v>10.5</v>
      </c>
      <c r="O141" s="4" t="n">
        <f aca="false">B141+E141+H141+K141</f>
        <v>125.5</v>
      </c>
      <c r="P141" s="4" t="n">
        <f aca="false">C141+F141+I141+K141</f>
        <v>252.5</v>
      </c>
      <c r="Q141" s="4" t="n">
        <f aca="false">D141+G141+J141+K141</f>
        <v>489</v>
      </c>
      <c r="R141" s="4" t="n">
        <f aca="false">IF(Assumptions!$B$14,Assumptions!$B$15*O141,0)</f>
        <v>12.55</v>
      </c>
      <c r="S141" s="4" t="n">
        <f aca="false">IF(Assumptions!$B$14,Assumptions!$B$16*P141,0)</f>
        <v>50.5</v>
      </c>
      <c r="T141" s="4" t="n">
        <f aca="false">IF(Assumptions!$B$14,Assumptions!$B$17*Q141,0)</f>
        <v>171.15</v>
      </c>
      <c r="U141" s="4" t="n">
        <f aca="false">O141+L141+R141</f>
        <v>141.55</v>
      </c>
      <c r="V141" s="4" t="n">
        <f aca="false">P141+M141+S141</f>
        <v>310</v>
      </c>
      <c r="W141" s="4" t="n">
        <f aca="false">Q141+N141+T141</f>
        <v>670.65</v>
      </c>
      <c r="X141" s="4" t="n">
        <f aca="false">'City Data'!K141</f>
        <v>75</v>
      </c>
      <c r="Y141" s="4" t="n">
        <f aca="false">'City Data'!L141</f>
        <v>185</v>
      </c>
      <c r="Z141" s="4" t="n">
        <f aca="false">'City Data'!M141</f>
        <v>545</v>
      </c>
      <c r="AA141" s="4" t="n">
        <f aca="false">U141-X141</f>
        <v>66.55</v>
      </c>
      <c r="AB141" s="4" t="n">
        <f aca="false">V141-Y141</f>
        <v>125</v>
      </c>
      <c r="AC141" s="4" t="n">
        <f aca="false">W141-Z141</f>
        <v>125.65</v>
      </c>
      <c r="AD141" s="4" t="str">
        <f aca="false">IF(OR(AND(X141&lt;&gt;0,ABS(AA141)&gt;Assumptions!$B$18*X141),AND(Y141&lt;&gt;0,ABS(AB141)&gt;Assumptions!$B$18*Y141),AND(Z141&lt;&gt;0,ABS(AC141)&gt;Assumptions!$B$18*Z141)),"REVIEW","")</f>
        <v>REVIEW</v>
      </c>
    </row>
    <row r="142" customFormat="false" ht="15" hidden="false" customHeight="false" outlineLevel="0" collapsed="false">
      <c r="A142" s="0" t="str">
        <f aca="false">'City Data'!A142</f>
        <v>Lusaka</v>
      </c>
      <c r="B142" s="4" t="n">
        <f aca="false">'City Data'!B142/Assumptions!$B$2</f>
        <v>15</v>
      </c>
      <c r="C142" s="4" t="n">
        <f aca="false">'City Data'!C142/Assumptions!$B$2</f>
        <v>45</v>
      </c>
      <c r="D142" s="4" t="n">
        <f aca="false">'City Data'!D142/Assumptions!$B$2</f>
        <v>110</v>
      </c>
      <c r="E142" s="4" t="n">
        <f aca="false">Assumptions!$B$3*Assumptions!$B$4*'City Data'!E142</f>
        <v>30</v>
      </c>
      <c r="F142" s="4" t="n">
        <f aca="false">Assumptions!$B$3*Assumptions!$B$5*'City Data'!E142</f>
        <v>54</v>
      </c>
      <c r="G142" s="4" t="n">
        <f aca="false">Assumptions!$B$3*Assumptions!$B$6*'City Data'!E142</f>
        <v>105</v>
      </c>
      <c r="H142" s="4" t="n">
        <f aca="false">Assumptions!$B$7*'City Data'!F142</f>
        <v>7</v>
      </c>
      <c r="I142" s="4" t="n">
        <f aca="false">Assumptions!$B$8*'City Data'!F142</f>
        <v>14</v>
      </c>
      <c r="J142" s="4" t="n">
        <f aca="false">Assumptions!$B$9*'City Data'!F142</f>
        <v>28</v>
      </c>
      <c r="K142" s="4" t="n">
        <f aca="false">'City Data'!G142+'City Data'!H142</f>
        <v>3.4</v>
      </c>
      <c r="L142" s="4" t="n">
        <f aca="false">IF(AND(Assumptions!$B$13,ISNUMBER('City Data'!I142)),Assumptions!$B$10*'City Data'!I142,0)</f>
        <v>1.6</v>
      </c>
      <c r="M142" s="4" t="n">
        <f aca="false">IF(AND(Assumptions!$B$13,ISNUMBER('City Data'!I142)),Assumptions!$B$11*'City Data'!I142,0)</f>
        <v>3.2</v>
      </c>
      <c r="N142" s="4" t="n">
        <f aca="false">IF(AND(Assumptions!$B$13,ISNUMBER('City Data'!I142)),Assumptions!$B$12*'City Data'!I142,0)</f>
        <v>4.8</v>
      </c>
      <c r="O142" s="4" t="n">
        <f aca="false">B142+E142+H142+K142</f>
        <v>55.4</v>
      </c>
      <c r="P142" s="4" t="n">
        <f aca="false">C142+F142+I142+K142</f>
        <v>116.4</v>
      </c>
      <c r="Q142" s="4" t="n">
        <f aca="false">D142+G142+J142+K142</f>
        <v>246.4</v>
      </c>
      <c r="R142" s="4" t="n">
        <f aca="false">IF(Assumptions!$B$14,Assumptions!$B$15*O142,0)</f>
        <v>5.54</v>
      </c>
      <c r="S142" s="4" t="n">
        <f aca="false">IF(Assumptions!$B$14,Assumptions!$B$16*P142,0)</f>
        <v>23.28</v>
      </c>
      <c r="T142" s="4" t="n">
        <f aca="false">IF(Assumptions!$B$14,Assumptions!$B$17*Q142,0)</f>
        <v>86.24</v>
      </c>
      <c r="U142" s="4" t="n">
        <f aca="false">O142+L142+R142</f>
        <v>62.54</v>
      </c>
      <c r="V142" s="4" t="n">
        <f aca="false">P142+M142+S142</f>
        <v>142.88</v>
      </c>
      <c r="W142" s="4" t="n">
        <f aca="false">Q142+N142+T142</f>
        <v>337.44</v>
      </c>
      <c r="X142" s="4" t="n">
        <f aca="false">'City Data'!K142</f>
        <v>40</v>
      </c>
      <c r="Y142" s="4" t="n">
        <f aca="false">'City Data'!L142</f>
        <v>105</v>
      </c>
      <c r="Z142" s="4" t="n">
        <f aca="false">'City Data'!M142</f>
        <v>305</v>
      </c>
      <c r="AA142" s="4" t="n">
        <f aca="false">U142-X142</f>
        <v>22.54</v>
      </c>
      <c r="AB142" s="4" t="n">
        <f aca="false">V142-Y142</f>
        <v>37.88</v>
      </c>
      <c r="AC142" s="4" t="n">
        <f aca="false">W142-Z142</f>
        <v>32.44</v>
      </c>
      <c r="AD142" s="4" t="str">
        <f aca="false">IF(OR(AND(X142&lt;&gt;0,ABS(AA142)&gt;Assumptions!$B$18*X142),AND(Y142&lt;&gt;0,ABS(AB142)&gt;Assumptions!$B$18*Y142),AND(Z142&lt;&gt;0,ABS(AC142)&gt;Assumptions!$B$18*Z142)),"REVIEW","")</f>
        <v>REVIEW</v>
      </c>
    </row>
    <row r="143" customFormat="false" ht="15" hidden="false" customHeight="false" outlineLevel="0" collapsed="false">
      <c r="A143" s="0" t="str">
        <f aca="false">'City Data'!A143</f>
        <v>Luxembourg City</v>
      </c>
      <c r="B143" s="4" t="n">
        <f aca="false">'City Data'!B143/Assumptions!$B$2</f>
        <v>47.5</v>
      </c>
      <c r="C143" s="4" t="n">
        <f aca="false">'City Data'!C143/Assumptions!$B$2</f>
        <v>90</v>
      </c>
      <c r="D143" s="4" t="n">
        <f aca="false">'City Data'!D143/Assumptions!$B$2</f>
        <v>160</v>
      </c>
      <c r="E143" s="4" t="n">
        <f aca="false">Assumptions!$B$3*Assumptions!$B$4*'City Data'!E143</f>
        <v>105</v>
      </c>
      <c r="F143" s="4" t="n">
        <f aca="false">Assumptions!$B$3*Assumptions!$B$5*'City Data'!E143</f>
        <v>189</v>
      </c>
      <c r="G143" s="4" t="n">
        <f aca="false">Assumptions!$B$3*Assumptions!$B$6*'City Data'!E143</f>
        <v>367.5</v>
      </c>
      <c r="H143" s="4" t="n">
        <f aca="false">Assumptions!$B$7*'City Data'!F143</f>
        <v>15</v>
      </c>
      <c r="I143" s="4" t="n">
        <f aca="false">Assumptions!$B$8*'City Data'!F143</f>
        <v>30</v>
      </c>
      <c r="J143" s="4" t="n">
        <f aca="false">Assumptions!$B$9*'City Data'!F143</f>
        <v>60</v>
      </c>
      <c r="K143" s="4" t="n">
        <f aca="false">'City Data'!G143+'City Data'!H143</f>
        <v>6</v>
      </c>
      <c r="L143" s="4" t="n">
        <f aca="false">IF(AND(Assumptions!$B$13,ISNUMBER('City Data'!I143)),Assumptions!$B$10*'City Data'!I143,0)</f>
        <v>6</v>
      </c>
      <c r="M143" s="4" t="n">
        <f aca="false">IF(AND(Assumptions!$B$13,ISNUMBER('City Data'!I143)),Assumptions!$B$11*'City Data'!I143,0)</f>
        <v>12</v>
      </c>
      <c r="N143" s="4" t="n">
        <f aca="false">IF(AND(Assumptions!$B$13,ISNUMBER('City Data'!I143)),Assumptions!$B$12*'City Data'!I143,0)</f>
        <v>18</v>
      </c>
      <c r="O143" s="4" t="n">
        <f aca="false">B143+E143+H143+K143</f>
        <v>173.5</v>
      </c>
      <c r="P143" s="4" t="n">
        <f aca="false">C143+F143+I143+K143</f>
        <v>315</v>
      </c>
      <c r="Q143" s="4" t="n">
        <f aca="false">D143+G143+J143+K143</f>
        <v>593.5</v>
      </c>
      <c r="R143" s="4" t="n">
        <f aca="false">IF(Assumptions!$B$14,Assumptions!$B$15*O143,0)</f>
        <v>17.35</v>
      </c>
      <c r="S143" s="4" t="n">
        <f aca="false">IF(Assumptions!$B$14,Assumptions!$B$16*P143,0)</f>
        <v>63</v>
      </c>
      <c r="T143" s="4" t="n">
        <f aca="false">IF(Assumptions!$B$14,Assumptions!$B$17*Q143,0)</f>
        <v>207.725</v>
      </c>
      <c r="U143" s="4" t="n">
        <f aca="false">O143+L143+R143</f>
        <v>196.85</v>
      </c>
      <c r="V143" s="4" t="n">
        <f aca="false">P143+M143+S143</f>
        <v>390</v>
      </c>
      <c r="W143" s="4" t="n">
        <f aca="false">Q143+N143+T143</f>
        <v>819.225</v>
      </c>
      <c r="X143" s="4" t="n">
        <f aca="false">'City Data'!K143</f>
        <v>95</v>
      </c>
      <c r="Y143" s="4" t="n">
        <f aca="false">'City Data'!L143</f>
        <v>230</v>
      </c>
      <c r="Z143" s="4" t="n">
        <f aca="false">'City Data'!M143</f>
        <v>645</v>
      </c>
      <c r="AA143" s="4" t="n">
        <f aca="false">U143-X143</f>
        <v>101.85</v>
      </c>
      <c r="AB143" s="4" t="n">
        <f aca="false">V143-Y143</f>
        <v>160</v>
      </c>
      <c r="AC143" s="4" t="n">
        <f aca="false">W143-Z143</f>
        <v>174.225</v>
      </c>
      <c r="AD143" s="4" t="str">
        <f aca="false">IF(OR(AND(X143&lt;&gt;0,ABS(AA143)&gt;Assumptions!$B$18*X143),AND(Y143&lt;&gt;0,ABS(AB143)&gt;Assumptions!$B$18*Y143),AND(Z143&lt;&gt;0,ABS(AC143)&gt;Assumptions!$B$18*Z143)),"REVIEW","")</f>
        <v>REVIEW</v>
      </c>
    </row>
    <row r="144" customFormat="false" ht="15" hidden="false" customHeight="false" outlineLevel="0" collapsed="false">
      <c r="A144" s="0" t="str">
        <f aca="false">'City Data'!A144</f>
        <v>Macau</v>
      </c>
      <c r="B144" s="4" t="n">
        <f aca="false">'City Data'!B144/Assumptions!$B$2</f>
        <v>27.5</v>
      </c>
      <c r="C144" s="4" t="n">
        <f aca="false">'City Data'!C144/Assumptions!$B$2</f>
        <v>65</v>
      </c>
      <c r="D144" s="4" t="n">
        <f aca="false">'City Data'!D144/Assumptions!$B$2</f>
        <v>160</v>
      </c>
      <c r="E144" s="4" t="n">
        <f aca="false">Assumptions!$B$3*Assumptions!$B$4*'City Data'!E144</f>
        <v>66</v>
      </c>
      <c r="F144" s="4" t="n">
        <f aca="false">Assumptions!$B$3*Assumptions!$B$5*'City Data'!E144</f>
        <v>118.8</v>
      </c>
      <c r="G144" s="4" t="n">
        <f aca="false">Assumptions!$B$3*Assumptions!$B$6*'City Data'!E144</f>
        <v>231</v>
      </c>
      <c r="H144" s="4" t="n">
        <f aca="false">Assumptions!$B$7*'City Data'!F144</f>
        <v>10</v>
      </c>
      <c r="I144" s="4" t="n">
        <f aca="false">Assumptions!$B$8*'City Data'!F144</f>
        <v>20</v>
      </c>
      <c r="J144" s="4" t="n">
        <f aca="false">Assumptions!$B$9*'City Data'!F144</f>
        <v>40</v>
      </c>
      <c r="K144" s="4" t="n">
        <f aca="false">'City Data'!G144+'City Data'!H144</f>
        <v>5</v>
      </c>
      <c r="L144" s="4" t="n">
        <f aca="false">IF(AND(Assumptions!$B$13,ISNUMBER('City Data'!I144)),Assumptions!$B$10*'City Data'!I144,0)</f>
        <v>5</v>
      </c>
      <c r="M144" s="4" t="n">
        <f aca="false">IF(AND(Assumptions!$B$13,ISNUMBER('City Data'!I144)),Assumptions!$B$11*'City Data'!I144,0)</f>
        <v>10</v>
      </c>
      <c r="N144" s="4" t="n">
        <f aca="false">IF(AND(Assumptions!$B$13,ISNUMBER('City Data'!I144)),Assumptions!$B$12*'City Data'!I144,0)</f>
        <v>15</v>
      </c>
      <c r="O144" s="4" t="n">
        <f aca="false">B144+E144+H144+K144</f>
        <v>108.5</v>
      </c>
      <c r="P144" s="4" t="n">
        <f aca="false">C144+F144+I144+K144</f>
        <v>208.8</v>
      </c>
      <c r="Q144" s="4" t="n">
        <f aca="false">D144+G144+J144+K144</f>
        <v>436</v>
      </c>
      <c r="R144" s="4" t="n">
        <f aca="false">IF(Assumptions!$B$14,Assumptions!$B$15*O144,0)</f>
        <v>10.85</v>
      </c>
      <c r="S144" s="4" t="n">
        <f aca="false">IF(Assumptions!$B$14,Assumptions!$B$16*P144,0)</f>
        <v>41.76</v>
      </c>
      <c r="T144" s="4" t="n">
        <f aca="false">IF(Assumptions!$B$14,Assumptions!$B$17*Q144,0)</f>
        <v>152.6</v>
      </c>
      <c r="U144" s="4" t="n">
        <f aca="false">O144+L144+R144</f>
        <v>124.35</v>
      </c>
      <c r="V144" s="4" t="n">
        <f aca="false">P144+M144+S144</f>
        <v>260.56</v>
      </c>
      <c r="W144" s="4" t="n">
        <f aca="false">Q144+N144+T144</f>
        <v>603.6</v>
      </c>
      <c r="X144" s="4" t="n">
        <f aca="false">'City Data'!K144</f>
        <v>55</v>
      </c>
      <c r="Y144" s="4" t="n">
        <f aca="false">'City Data'!L144</f>
        <v>140</v>
      </c>
      <c r="Z144" s="4" t="n">
        <f aca="false">'City Data'!M144</f>
        <v>400</v>
      </c>
      <c r="AA144" s="4" t="n">
        <f aca="false">U144-X144</f>
        <v>69.35</v>
      </c>
      <c r="AB144" s="4" t="n">
        <f aca="false">V144-Y144</f>
        <v>120.56</v>
      </c>
      <c r="AC144" s="4" t="n">
        <f aca="false">W144-Z144</f>
        <v>203.6</v>
      </c>
      <c r="AD144" s="4" t="str">
        <f aca="false">IF(OR(AND(X144&lt;&gt;0,ABS(AA144)&gt;Assumptions!$B$18*X144),AND(Y144&lt;&gt;0,ABS(AB144)&gt;Assumptions!$B$18*Y144),AND(Z144&lt;&gt;0,ABS(AC144)&gt;Assumptions!$B$18*Z144)),"REVIEW","")</f>
        <v>REVIEW</v>
      </c>
    </row>
    <row r="145" customFormat="false" ht="15" hidden="false" customHeight="false" outlineLevel="0" collapsed="false">
      <c r="A145" s="0" t="str">
        <f aca="false">'City Data'!A145</f>
        <v>Madrid</v>
      </c>
      <c r="B145" s="4" t="n">
        <f aca="false">'City Data'!B145/Assumptions!$B$2</f>
        <v>35</v>
      </c>
      <c r="C145" s="4" t="n">
        <f aca="false">'City Data'!C145/Assumptions!$B$2</f>
        <v>65</v>
      </c>
      <c r="D145" s="4" t="n">
        <f aca="false">'City Data'!D145/Assumptions!$B$2</f>
        <v>150</v>
      </c>
      <c r="E145" s="4" t="n">
        <f aca="false">Assumptions!$B$3*Assumptions!$B$4*'City Data'!E145</f>
        <v>60</v>
      </c>
      <c r="F145" s="4" t="n">
        <f aca="false">Assumptions!$B$3*Assumptions!$B$5*'City Data'!E145</f>
        <v>108</v>
      </c>
      <c r="G145" s="4" t="n">
        <f aca="false">Assumptions!$B$3*Assumptions!$B$6*'City Data'!E145</f>
        <v>210</v>
      </c>
      <c r="H145" s="4" t="n">
        <f aca="false">Assumptions!$B$7*'City Data'!F145</f>
        <v>25</v>
      </c>
      <c r="I145" s="4" t="n">
        <f aca="false">Assumptions!$B$8*'City Data'!F145</f>
        <v>50</v>
      </c>
      <c r="J145" s="4" t="n">
        <f aca="false">Assumptions!$B$9*'City Data'!F145</f>
        <v>100</v>
      </c>
      <c r="K145" s="4" t="n">
        <f aca="false">'City Data'!G145+'City Data'!H145</f>
        <v>2.6</v>
      </c>
      <c r="L145" s="4" t="n">
        <f aca="false">IF(AND(Assumptions!$B$13,ISNUMBER('City Data'!I145)),Assumptions!$B$10*'City Data'!I145,0)</f>
        <v>2.5</v>
      </c>
      <c r="M145" s="4" t="n">
        <f aca="false">IF(AND(Assumptions!$B$13,ISNUMBER('City Data'!I145)),Assumptions!$B$11*'City Data'!I145,0)</f>
        <v>5</v>
      </c>
      <c r="N145" s="4" t="n">
        <f aca="false">IF(AND(Assumptions!$B$13,ISNUMBER('City Data'!I145)),Assumptions!$B$12*'City Data'!I145,0)</f>
        <v>7.5</v>
      </c>
      <c r="O145" s="4" t="n">
        <f aca="false">B145+E145+H145+K145</f>
        <v>122.6</v>
      </c>
      <c r="P145" s="4" t="n">
        <f aca="false">C145+F145+I145+K145</f>
        <v>225.6</v>
      </c>
      <c r="Q145" s="4" t="n">
        <f aca="false">D145+G145+J145+K145</f>
        <v>462.6</v>
      </c>
      <c r="R145" s="4" t="n">
        <f aca="false">IF(Assumptions!$B$14,Assumptions!$B$15*O145,0)</f>
        <v>12.26</v>
      </c>
      <c r="S145" s="4" t="n">
        <f aca="false">IF(Assumptions!$B$14,Assumptions!$B$16*P145,0)</f>
        <v>45.12</v>
      </c>
      <c r="T145" s="4" t="n">
        <f aca="false">IF(Assumptions!$B$14,Assumptions!$B$17*Q145,0)</f>
        <v>161.91</v>
      </c>
      <c r="U145" s="4" t="n">
        <f aca="false">O145+L145+R145</f>
        <v>137.36</v>
      </c>
      <c r="V145" s="4" t="n">
        <f aca="false">P145+M145+S145</f>
        <v>275.72</v>
      </c>
      <c r="W145" s="4" t="n">
        <f aca="false">Q145+N145+T145</f>
        <v>632.01</v>
      </c>
      <c r="X145" s="4" t="n">
        <f aca="false">'City Data'!K145</f>
        <v>70</v>
      </c>
      <c r="Y145" s="4" t="n">
        <f aca="false">'City Data'!L145</f>
        <v>170</v>
      </c>
      <c r="Z145" s="4" t="n">
        <f aca="false">'City Data'!M145</f>
        <v>470</v>
      </c>
      <c r="AA145" s="4" t="n">
        <f aca="false">U145-X145</f>
        <v>67.36</v>
      </c>
      <c r="AB145" s="4" t="n">
        <f aca="false">V145-Y145</f>
        <v>105.72</v>
      </c>
      <c r="AC145" s="4" t="n">
        <f aca="false">W145-Z145</f>
        <v>162.01</v>
      </c>
      <c r="AD145" s="4" t="str">
        <f aca="false">IF(OR(AND(X145&lt;&gt;0,ABS(AA145)&gt;Assumptions!$B$18*X145),AND(Y145&lt;&gt;0,ABS(AB145)&gt;Assumptions!$B$18*Y145),AND(Z145&lt;&gt;0,ABS(AC145)&gt;Assumptions!$B$18*Z145)),"REVIEW","")</f>
        <v>REVIEW</v>
      </c>
    </row>
    <row r="146" customFormat="false" ht="15" hidden="false" customHeight="false" outlineLevel="0" collapsed="false">
      <c r="A146" s="0" t="str">
        <f aca="false">'City Data'!A146</f>
        <v>Majuro</v>
      </c>
      <c r="B146" s="4" t="n">
        <f aca="false">'City Data'!B146/Assumptions!$B$2</f>
        <v>22.5</v>
      </c>
      <c r="C146" s="4" t="n">
        <f aca="false">'City Data'!C146/Assumptions!$B$2</f>
        <v>45</v>
      </c>
      <c r="D146" s="4" t="n">
        <f aca="false">'City Data'!D146/Assumptions!$B$2</f>
        <v>75</v>
      </c>
      <c r="E146" s="4" t="n">
        <f aca="false">Assumptions!$B$3*Assumptions!$B$4*'City Data'!E146</f>
        <v>45</v>
      </c>
      <c r="F146" s="4" t="n">
        <f aca="false">Assumptions!$B$3*Assumptions!$B$5*'City Data'!E146</f>
        <v>81</v>
      </c>
      <c r="G146" s="4" t="n">
        <f aca="false">Assumptions!$B$3*Assumptions!$B$6*'City Data'!E146</f>
        <v>157.5</v>
      </c>
      <c r="H146" s="4" t="n">
        <f aca="false">Assumptions!$B$7*'City Data'!F146</f>
        <v>5</v>
      </c>
      <c r="I146" s="4" t="n">
        <f aca="false">Assumptions!$B$8*'City Data'!F146</f>
        <v>10</v>
      </c>
      <c r="J146" s="4" t="n">
        <f aca="false">Assumptions!$B$9*'City Data'!F146</f>
        <v>20</v>
      </c>
      <c r="K146" s="4" t="n">
        <f aca="false">'City Data'!G146+'City Data'!H146</f>
        <v>5.5</v>
      </c>
      <c r="L146" s="4" t="n">
        <f aca="false">IF(AND(Assumptions!$B$13,ISNUMBER('City Data'!I146)),Assumptions!$B$10*'City Data'!I146,0)</f>
        <v>4</v>
      </c>
      <c r="M146" s="4" t="n">
        <f aca="false">IF(AND(Assumptions!$B$13,ISNUMBER('City Data'!I146)),Assumptions!$B$11*'City Data'!I146,0)</f>
        <v>8</v>
      </c>
      <c r="N146" s="4" t="n">
        <f aca="false">IF(AND(Assumptions!$B$13,ISNUMBER('City Data'!I146)),Assumptions!$B$12*'City Data'!I146,0)</f>
        <v>12</v>
      </c>
      <c r="O146" s="4" t="n">
        <f aca="false">B146+E146+H146+K146</f>
        <v>78</v>
      </c>
      <c r="P146" s="4" t="n">
        <f aca="false">C146+F146+I146+K146</f>
        <v>141.5</v>
      </c>
      <c r="Q146" s="4" t="n">
        <f aca="false">D146+G146+J146+K146</f>
        <v>258</v>
      </c>
      <c r="R146" s="4" t="n">
        <f aca="false">IF(Assumptions!$B$14,Assumptions!$B$15*O146,0)</f>
        <v>7.8</v>
      </c>
      <c r="S146" s="4" t="n">
        <f aca="false">IF(Assumptions!$B$14,Assumptions!$B$16*P146,0)</f>
        <v>28.3</v>
      </c>
      <c r="T146" s="4" t="n">
        <f aca="false">IF(Assumptions!$B$14,Assumptions!$B$17*Q146,0)</f>
        <v>90.3</v>
      </c>
      <c r="U146" s="4" t="n">
        <f aca="false">O146+L146+R146</f>
        <v>89.8</v>
      </c>
      <c r="V146" s="4" t="n">
        <f aca="false">P146+M146+S146</f>
        <v>177.8</v>
      </c>
      <c r="W146" s="4" t="n">
        <f aca="false">Q146+N146+T146</f>
        <v>360.3</v>
      </c>
      <c r="X146" s="4" t="n">
        <f aca="false">'City Data'!K146</f>
        <v>50</v>
      </c>
      <c r="Y146" s="4" t="n">
        <f aca="false">'City Data'!L146</f>
        <v>120</v>
      </c>
      <c r="Z146" s="4" t="n">
        <f aca="false">'City Data'!M146</f>
        <v>335</v>
      </c>
      <c r="AA146" s="4" t="n">
        <f aca="false">U146-X146</f>
        <v>39.8</v>
      </c>
      <c r="AB146" s="4" t="n">
        <f aca="false">V146-Y146</f>
        <v>57.8</v>
      </c>
      <c r="AC146" s="4" t="n">
        <f aca="false">W146-Z146</f>
        <v>25.3</v>
      </c>
      <c r="AD146" s="4" t="str">
        <f aca="false">IF(OR(AND(X146&lt;&gt;0,ABS(AA146)&gt;Assumptions!$B$18*X146),AND(Y146&lt;&gt;0,ABS(AB146)&gt;Assumptions!$B$18*Y146),AND(Z146&lt;&gt;0,ABS(AC146)&gt;Assumptions!$B$18*Z146)),"REVIEW","")</f>
        <v>REVIEW</v>
      </c>
    </row>
    <row r="147" customFormat="false" ht="15" hidden="false" customHeight="false" outlineLevel="0" collapsed="false">
      <c r="A147" s="0" t="str">
        <f aca="false">'City Data'!A147</f>
        <v>Malabo</v>
      </c>
      <c r="B147" s="4" t="n">
        <f aca="false">'City Data'!B147/Assumptions!$B$2</f>
        <v>30</v>
      </c>
      <c r="C147" s="4" t="n">
        <f aca="false">'City Data'!C147/Assumptions!$B$2</f>
        <v>80</v>
      </c>
      <c r="D147" s="4" t="n">
        <f aca="false">'City Data'!D147/Assumptions!$B$2</f>
        <v>150</v>
      </c>
      <c r="E147" s="4" t="n">
        <f aca="false">Assumptions!$B$3*Assumptions!$B$4*'City Data'!E147</f>
        <v>90</v>
      </c>
      <c r="F147" s="4" t="n">
        <f aca="false">Assumptions!$B$3*Assumptions!$B$5*'City Data'!E147</f>
        <v>162</v>
      </c>
      <c r="G147" s="4" t="n">
        <f aca="false">Assumptions!$B$3*Assumptions!$B$6*'City Data'!E147</f>
        <v>315</v>
      </c>
      <c r="H147" s="4" t="n">
        <f aca="false">Assumptions!$B$7*'City Data'!F147</f>
        <v>8</v>
      </c>
      <c r="I147" s="4" t="n">
        <f aca="false">Assumptions!$B$8*'City Data'!F147</f>
        <v>16</v>
      </c>
      <c r="J147" s="4" t="n">
        <f aca="false">Assumptions!$B$9*'City Data'!F147</f>
        <v>32</v>
      </c>
      <c r="K147" s="4" t="n">
        <f aca="false">'City Data'!G147+'City Data'!H147</f>
        <v>5</v>
      </c>
      <c r="L147" s="4" t="n">
        <f aca="false">IF(AND(Assumptions!$B$13,ISNUMBER('City Data'!I147)),Assumptions!$B$10*'City Data'!I147,0)</f>
        <v>4.5</v>
      </c>
      <c r="M147" s="4" t="n">
        <f aca="false">IF(AND(Assumptions!$B$13,ISNUMBER('City Data'!I147)),Assumptions!$B$11*'City Data'!I147,0)</f>
        <v>9</v>
      </c>
      <c r="N147" s="4" t="n">
        <f aca="false">IF(AND(Assumptions!$B$13,ISNUMBER('City Data'!I147)),Assumptions!$B$12*'City Data'!I147,0)</f>
        <v>13.5</v>
      </c>
      <c r="O147" s="4" t="n">
        <f aca="false">B147+E147+H147+K147</f>
        <v>133</v>
      </c>
      <c r="P147" s="4" t="n">
        <f aca="false">C147+F147+I147+K147</f>
        <v>263</v>
      </c>
      <c r="Q147" s="4" t="n">
        <f aca="false">D147+G147+J147+K147</f>
        <v>502</v>
      </c>
      <c r="R147" s="4" t="n">
        <f aca="false">IF(Assumptions!$B$14,Assumptions!$B$15*O147,0)</f>
        <v>13.3</v>
      </c>
      <c r="S147" s="4" t="n">
        <f aca="false">IF(Assumptions!$B$14,Assumptions!$B$16*P147,0)</f>
        <v>52.6</v>
      </c>
      <c r="T147" s="4" t="n">
        <f aca="false">IF(Assumptions!$B$14,Assumptions!$B$17*Q147,0)</f>
        <v>175.7</v>
      </c>
      <c r="U147" s="4" t="n">
        <f aca="false">O147+L147+R147</f>
        <v>150.8</v>
      </c>
      <c r="V147" s="4" t="n">
        <f aca="false">P147+M147+S147</f>
        <v>324.6</v>
      </c>
      <c r="W147" s="4" t="n">
        <f aca="false">Q147+N147+T147</f>
        <v>691.2</v>
      </c>
      <c r="X147" s="4" t="n">
        <f aca="false">'City Data'!K147</f>
        <v>75</v>
      </c>
      <c r="Y147" s="4" t="n">
        <f aca="false">'City Data'!L147</f>
        <v>185</v>
      </c>
      <c r="Z147" s="4" t="n">
        <f aca="false">'City Data'!M147</f>
        <v>545</v>
      </c>
      <c r="AA147" s="4" t="n">
        <f aca="false">U147-X147</f>
        <v>75.8</v>
      </c>
      <c r="AB147" s="4" t="n">
        <f aca="false">V147-Y147</f>
        <v>139.6</v>
      </c>
      <c r="AC147" s="4" t="n">
        <f aca="false">W147-Z147</f>
        <v>146.2</v>
      </c>
      <c r="AD147" s="4" t="str">
        <f aca="false">IF(OR(AND(X147&lt;&gt;0,ABS(AA147)&gt;Assumptions!$B$18*X147),AND(Y147&lt;&gt;0,ABS(AB147)&gt;Assumptions!$B$18*Y147),AND(Z147&lt;&gt;0,ABS(AC147)&gt;Assumptions!$B$18*Z147)),"REVIEW","")</f>
        <v>REVIEW</v>
      </c>
    </row>
    <row r="148" customFormat="false" ht="15" hidden="false" customHeight="false" outlineLevel="0" collapsed="false">
      <c r="A148" s="0" t="str">
        <f aca="false">'City Data'!A148</f>
        <v>Malé</v>
      </c>
      <c r="B148" s="4" t="n">
        <f aca="false">'City Data'!B148/Assumptions!$B$2</f>
        <v>12.5</v>
      </c>
      <c r="C148" s="4" t="n">
        <f aca="false">'City Data'!C148/Assumptions!$B$2</f>
        <v>45</v>
      </c>
      <c r="D148" s="4" t="n">
        <f aca="false">'City Data'!D148/Assumptions!$B$2</f>
        <v>140</v>
      </c>
      <c r="E148" s="4" t="n">
        <f aca="false">Assumptions!$B$3*Assumptions!$B$4*'City Data'!E148</f>
        <v>45</v>
      </c>
      <c r="F148" s="4" t="n">
        <f aca="false">Assumptions!$B$3*Assumptions!$B$5*'City Data'!E148</f>
        <v>81</v>
      </c>
      <c r="G148" s="4" t="n">
        <f aca="false">Assumptions!$B$3*Assumptions!$B$6*'City Data'!E148</f>
        <v>157.5</v>
      </c>
      <c r="H148" s="4" t="n">
        <f aca="false">Assumptions!$B$7*'City Data'!F148</f>
        <v>5</v>
      </c>
      <c r="I148" s="4" t="n">
        <f aca="false">Assumptions!$B$8*'City Data'!F148</f>
        <v>10</v>
      </c>
      <c r="J148" s="4" t="n">
        <f aca="false">Assumptions!$B$9*'City Data'!F148</f>
        <v>20</v>
      </c>
      <c r="K148" s="4" t="n">
        <f aca="false">'City Data'!G148+'City Data'!H148</f>
        <v>4</v>
      </c>
      <c r="L148" s="4" t="n">
        <f aca="false">IF(AND(Assumptions!$B$13,ISNUMBER('City Data'!I148)),Assumptions!$B$10*'City Data'!I148,0)</f>
        <v>0</v>
      </c>
      <c r="M148" s="4" t="n">
        <f aca="false">IF(AND(Assumptions!$B$13,ISNUMBER('City Data'!I148)),Assumptions!$B$11*'City Data'!I148,0)</f>
        <v>0</v>
      </c>
      <c r="N148" s="4" t="n">
        <f aca="false">IF(AND(Assumptions!$B$13,ISNUMBER('City Data'!I148)),Assumptions!$B$12*'City Data'!I148,0)</f>
        <v>0</v>
      </c>
      <c r="O148" s="4" t="n">
        <f aca="false">B148+E148+H148+K148</f>
        <v>66.5</v>
      </c>
      <c r="P148" s="4" t="n">
        <f aca="false">C148+F148+I148+K148</f>
        <v>140</v>
      </c>
      <c r="Q148" s="4" t="n">
        <f aca="false">D148+G148+J148+K148</f>
        <v>321.5</v>
      </c>
      <c r="R148" s="4" t="n">
        <f aca="false">IF(Assumptions!$B$14,Assumptions!$B$15*O148,0)</f>
        <v>6.65</v>
      </c>
      <c r="S148" s="4" t="n">
        <f aca="false">IF(Assumptions!$B$14,Assumptions!$B$16*P148,0)</f>
        <v>28</v>
      </c>
      <c r="T148" s="4" t="n">
        <f aca="false">IF(Assumptions!$B$14,Assumptions!$B$17*Q148,0)</f>
        <v>112.525</v>
      </c>
      <c r="U148" s="4" t="n">
        <f aca="false">O148+L148+R148</f>
        <v>73.15</v>
      </c>
      <c r="V148" s="4" t="n">
        <f aca="false">P148+M148+S148</f>
        <v>168</v>
      </c>
      <c r="W148" s="4" t="n">
        <f aca="false">Q148+N148+T148</f>
        <v>434.025</v>
      </c>
      <c r="X148" s="4" t="n">
        <f aca="false">'City Data'!K148</f>
        <v>45</v>
      </c>
      <c r="Y148" s="4" t="n">
        <f aca="false">'City Data'!L148</f>
        <v>115</v>
      </c>
      <c r="Z148" s="4" t="n">
        <f aca="false">'City Data'!M148</f>
        <v>365</v>
      </c>
      <c r="AA148" s="4" t="n">
        <f aca="false">U148-X148</f>
        <v>28.15</v>
      </c>
      <c r="AB148" s="4" t="n">
        <f aca="false">V148-Y148</f>
        <v>53</v>
      </c>
      <c r="AC148" s="4" t="n">
        <f aca="false">W148-Z148</f>
        <v>69.025</v>
      </c>
      <c r="AD148" s="4" t="str">
        <f aca="false">IF(OR(AND(X148&lt;&gt;0,ABS(AA148)&gt;Assumptions!$B$18*X148),AND(Y148&lt;&gt;0,ABS(AB148)&gt;Assumptions!$B$18*Y148),AND(Z148&lt;&gt;0,ABS(AC148)&gt;Assumptions!$B$18*Z148)),"REVIEW","")</f>
        <v>REVIEW</v>
      </c>
    </row>
    <row r="149" customFormat="false" ht="15" hidden="false" customHeight="false" outlineLevel="0" collapsed="false">
      <c r="A149" s="0" t="str">
        <f aca="false">'City Data'!A149</f>
        <v>Managua</v>
      </c>
      <c r="B149" s="4" t="n">
        <f aca="false">'City Data'!B149/Assumptions!$B$2</f>
        <v>7.5</v>
      </c>
      <c r="C149" s="4" t="n">
        <f aca="false">'City Data'!C149/Assumptions!$B$2</f>
        <v>35</v>
      </c>
      <c r="D149" s="4" t="n">
        <f aca="false">'City Data'!D149/Assumptions!$B$2</f>
        <v>65</v>
      </c>
      <c r="E149" s="4" t="n">
        <f aca="false">Assumptions!$B$3*Assumptions!$B$4*'City Data'!E149</f>
        <v>24</v>
      </c>
      <c r="F149" s="4" t="n">
        <f aca="false">Assumptions!$B$3*Assumptions!$B$5*'City Data'!E149</f>
        <v>43.2</v>
      </c>
      <c r="G149" s="4" t="n">
        <f aca="false">Assumptions!$B$3*Assumptions!$B$6*'City Data'!E149</f>
        <v>84</v>
      </c>
      <c r="H149" s="4" t="n">
        <f aca="false">Assumptions!$B$7*'City Data'!F149</f>
        <v>4</v>
      </c>
      <c r="I149" s="4" t="n">
        <f aca="false">Assumptions!$B$8*'City Data'!F149</f>
        <v>8</v>
      </c>
      <c r="J149" s="4" t="n">
        <f aca="false">Assumptions!$B$9*'City Data'!F149</f>
        <v>16</v>
      </c>
      <c r="K149" s="4" t="n">
        <f aca="false">'City Data'!G149+'City Data'!H149</f>
        <v>3.5</v>
      </c>
      <c r="L149" s="4" t="n">
        <f aca="false">IF(AND(Assumptions!$B$13,ISNUMBER('City Data'!I149)),Assumptions!$B$10*'City Data'!I149,0)</f>
        <v>2</v>
      </c>
      <c r="M149" s="4" t="n">
        <f aca="false">IF(AND(Assumptions!$B$13,ISNUMBER('City Data'!I149)),Assumptions!$B$11*'City Data'!I149,0)</f>
        <v>4</v>
      </c>
      <c r="N149" s="4" t="n">
        <f aca="false">IF(AND(Assumptions!$B$13,ISNUMBER('City Data'!I149)),Assumptions!$B$12*'City Data'!I149,0)</f>
        <v>6</v>
      </c>
      <c r="O149" s="4" t="n">
        <f aca="false">B149+E149+H149+K149</f>
        <v>39</v>
      </c>
      <c r="P149" s="4" t="n">
        <f aca="false">C149+F149+I149+K149</f>
        <v>89.7</v>
      </c>
      <c r="Q149" s="4" t="n">
        <f aca="false">D149+G149+J149+K149</f>
        <v>168.5</v>
      </c>
      <c r="R149" s="4" t="n">
        <f aca="false">IF(Assumptions!$B$14,Assumptions!$B$15*O149,0)</f>
        <v>3.9</v>
      </c>
      <c r="S149" s="4" t="n">
        <f aca="false">IF(Assumptions!$B$14,Assumptions!$B$16*P149,0)</f>
        <v>17.94</v>
      </c>
      <c r="T149" s="4" t="n">
        <f aca="false">IF(Assumptions!$B$14,Assumptions!$B$17*Q149,0)</f>
        <v>58.975</v>
      </c>
      <c r="U149" s="4" t="n">
        <f aca="false">O149+L149+R149</f>
        <v>44.9</v>
      </c>
      <c r="V149" s="4" t="n">
        <f aca="false">P149+M149+S149</f>
        <v>111.64</v>
      </c>
      <c r="W149" s="4" t="n">
        <f aca="false">Q149+N149+T149</f>
        <v>233.475</v>
      </c>
      <c r="X149" s="4" t="n">
        <f aca="false">'City Data'!K149</f>
        <v>30</v>
      </c>
      <c r="Y149" s="4" t="n">
        <f aca="false">'City Data'!L149</f>
        <v>75</v>
      </c>
      <c r="Z149" s="4" t="n">
        <f aca="false">'City Data'!M149</f>
        <v>225</v>
      </c>
      <c r="AA149" s="4" t="n">
        <f aca="false">U149-X149</f>
        <v>14.9</v>
      </c>
      <c r="AB149" s="4" t="n">
        <f aca="false">V149-Y149</f>
        <v>36.64</v>
      </c>
      <c r="AC149" s="4" t="n">
        <f aca="false">W149-Z149</f>
        <v>8.47499999999999</v>
      </c>
      <c r="AD149" s="4" t="str">
        <f aca="false">IF(OR(AND(X149&lt;&gt;0,ABS(AA149)&gt;Assumptions!$B$18*X149),AND(Y149&lt;&gt;0,ABS(AB149)&gt;Assumptions!$B$18*Y149),AND(Z149&lt;&gt;0,ABS(AC149)&gt;Assumptions!$B$18*Z149)),"REVIEW","")</f>
        <v>REVIEW</v>
      </c>
    </row>
    <row r="150" customFormat="false" ht="15" hidden="false" customHeight="false" outlineLevel="0" collapsed="false">
      <c r="A150" s="0" t="str">
        <f aca="false">'City Data'!A150</f>
        <v>Manama</v>
      </c>
      <c r="B150" s="4" t="n">
        <f aca="false">'City Data'!B150/Assumptions!$B$2</f>
        <v>17.5</v>
      </c>
      <c r="C150" s="4" t="n">
        <f aca="false">'City Data'!C150/Assumptions!$B$2</f>
        <v>45</v>
      </c>
      <c r="D150" s="4" t="n">
        <f aca="false">'City Data'!D150/Assumptions!$B$2</f>
        <v>140</v>
      </c>
      <c r="E150" s="4" t="n">
        <f aca="false">Assumptions!$B$3*Assumptions!$B$4*'City Data'!E150</f>
        <v>54</v>
      </c>
      <c r="F150" s="4" t="n">
        <f aca="false">Assumptions!$B$3*Assumptions!$B$5*'City Data'!E150</f>
        <v>97.2</v>
      </c>
      <c r="G150" s="4" t="n">
        <f aca="false">Assumptions!$B$3*Assumptions!$B$6*'City Data'!E150</f>
        <v>189</v>
      </c>
      <c r="H150" s="4" t="n">
        <f aca="false">Assumptions!$B$7*'City Data'!F150</f>
        <v>6</v>
      </c>
      <c r="I150" s="4" t="n">
        <f aca="false">Assumptions!$B$8*'City Data'!F150</f>
        <v>12</v>
      </c>
      <c r="J150" s="4" t="n">
        <f aca="false">Assumptions!$B$9*'City Data'!F150</f>
        <v>24</v>
      </c>
      <c r="K150" s="4" t="n">
        <f aca="false">'City Data'!G150+'City Data'!H150</f>
        <v>4.6</v>
      </c>
      <c r="L150" s="4" t="n">
        <f aca="false">IF(AND(Assumptions!$B$13,ISNUMBER('City Data'!I150)),Assumptions!$B$10*'City Data'!I150,0)</f>
        <v>9</v>
      </c>
      <c r="M150" s="4" t="n">
        <f aca="false">IF(AND(Assumptions!$B$13,ISNUMBER('City Data'!I150)),Assumptions!$B$11*'City Data'!I150,0)</f>
        <v>18</v>
      </c>
      <c r="N150" s="4" t="n">
        <f aca="false">IF(AND(Assumptions!$B$13,ISNUMBER('City Data'!I150)),Assumptions!$B$12*'City Data'!I150,0)</f>
        <v>27</v>
      </c>
      <c r="O150" s="4" t="n">
        <f aca="false">B150+E150+H150+K150</f>
        <v>82.1</v>
      </c>
      <c r="P150" s="4" t="n">
        <f aca="false">C150+F150+I150+K150</f>
        <v>158.8</v>
      </c>
      <c r="Q150" s="4" t="n">
        <f aca="false">D150+G150+J150+K150</f>
        <v>357.6</v>
      </c>
      <c r="R150" s="4" t="n">
        <f aca="false">IF(Assumptions!$B$14,Assumptions!$B$15*O150,0)</f>
        <v>8.21</v>
      </c>
      <c r="S150" s="4" t="n">
        <f aca="false">IF(Assumptions!$B$14,Assumptions!$B$16*P150,0)</f>
        <v>31.76</v>
      </c>
      <c r="T150" s="4" t="n">
        <f aca="false">IF(Assumptions!$B$14,Assumptions!$B$17*Q150,0)</f>
        <v>125.16</v>
      </c>
      <c r="U150" s="4" t="n">
        <f aca="false">O150+L150+R150</f>
        <v>99.31</v>
      </c>
      <c r="V150" s="4" t="n">
        <f aca="false">P150+M150+S150</f>
        <v>208.56</v>
      </c>
      <c r="W150" s="4" t="n">
        <f aca="false">Q150+N150+T150</f>
        <v>509.76</v>
      </c>
      <c r="X150" s="4" t="n">
        <f aca="false">'City Data'!K150</f>
        <v>50</v>
      </c>
      <c r="Y150" s="4" t="n">
        <f aca="false">'City Data'!L150</f>
        <v>135</v>
      </c>
      <c r="Z150" s="4" t="n">
        <f aca="false">'City Data'!M150</f>
        <v>405</v>
      </c>
      <c r="AA150" s="4" t="n">
        <f aca="false">U150-X150</f>
        <v>49.31</v>
      </c>
      <c r="AB150" s="4" t="n">
        <f aca="false">V150-Y150</f>
        <v>73.56</v>
      </c>
      <c r="AC150" s="4" t="n">
        <f aca="false">W150-Z150</f>
        <v>104.76</v>
      </c>
      <c r="AD150" s="4" t="str">
        <f aca="false">IF(OR(AND(X150&lt;&gt;0,ABS(AA150)&gt;Assumptions!$B$18*X150),AND(Y150&lt;&gt;0,ABS(AB150)&gt;Assumptions!$B$18*Y150),AND(Z150&lt;&gt;0,ABS(AC150)&gt;Assumptions!$B$18*Z150)),"REVIEW","")</f>
        <v>REVIEW</v>
      </c>
    </row>
    <row r="151" customFormat="false" ht="15" hidden="false" customHeight="false" outlineLevel="0" collapsed="false">
      <c r="A151" s="0" t="str">
        <f aca="false">'City Data'!A151</f>
        <v>Manila</v>
      </c>
      <c r="B151" s="4" t="n">
        <f aca="false">'City Data'!B151/Assumptions!$B$2</f>
        <v>10</v>
      </c>
      <c r="C151" s="4" t="n">
        <f aca="false">'City Data'!C151/Assumptions!$B$2</f>
        <v>35</v>
      </c>
      <c r="D151" s="4" t="n">
        <f aca="false">'City Data'!D151/Assumptions!$B$2</f>
        <v>100</v>
      </c>
      <c r="E151" s="4" t="n">
        <f aca="false">Assumptions!$B$3*Assumptions!$B$4*'City Data'!E151</f>
        <v>24</v>
      </c>
      <c r="F151" s="4" t="n">
        <f aca="false">Assumptions!$B$3*Assumptions!$B$5*'City Data'!E151</f>
        <v>43.2</v>
      </c>
      <c r="G151" s="4" t="n">
        <f aca="false">Assumptions!$B$3*Assumptions!$B$6*'City Data'!E151</f>
        <v>84</v>
      </c>
      <c r="H151" s="4" t="n">
        <f aca="false">Assumptions!$B$7*'City Data'!F151</f>
        <v>5</v>
      </c>
      <c r="I151" s="4" t="n">
        <f aca="false">Assumptions!$B$8*'City Data'!F151</f>
        <v>10</v>
      </c>
      <c r="J151" s="4" t="n">
        <f aca="false">Assumptions!$B$9*'City Data'!F151</f>
        <v>20</v>
      </c>
      <c r="K151" s="4" t="n">
        <f aca="false">'City Data'!G151+'City Data'!H151</f>
        <v>3.5</v>
      </c>
      <c r="L151" s="4" t="n">
        <f aca="false">IF(AND(Assumptions!$B$13,ISNUMBER('City Data'!I151)),Assumptions!$B$10*'City Data'!I151,0)</f>
        <v>2</v>
      </c>
      <c r="M151" s="4" t="n">
        <f aca="false">IF(AND(Assumptions!$B$13,ISNUMBER('City Data'!I151)),Assumptions!$B$11*'City Data'!I151,0)</f>
        <v>4</v>
      </c>
      <c r="N151" s="4" t="n">
        <f aca="false">IF(AND(Assumptions!$B$13,ISNUMBER('City Data'!I151)),Assumptions!$B$12*'City Data'!I151,0)</f>
        <v>6</v>
      </c>
      <c r="O151" s="4" t="n">
        <f aca="false">B151+E151+H151+K151</f>
        <v>42.5</v>
      </c>
      <c r="P151" s="4" t="n">
        <f aca="false">C151+F151+I151+K151</f>
        <v>91.7</v>
      </c>
      <c r="Q151" s="4" t="n">
        <f aca="false">D151+G151+J151+K151</f>
        <v>207.5</v>
      </c>
      <c r="R151" s="4" t="n">
        <f aca="false">IF(Assumptions!$B$14,Assumptions!$B$15*O151,0)</f>
        <v>4.25</v>
      </c>
      <c r="S151" s="4" t="n">
        <f aca="false">IF(Assumptions!$B$14,Assumptions!$B$16*P151,0)</f>
        <v>18.34</v>
      </c>
      <c r="T151" s="4" t="n">
        <f aca="false">IF(Assumptions!$B$14,Assumptions!$B$17*Q151,0)</f>
        <v>72.625</v>
      </c>
      <c r="U151" s="4" t="n">
        <f aca="false">O151+L151+R151</f>
        <v>48.75</v>
      </c>
      <c r="V151" s="4" t="n">
        <f aca="false">P151+M151+S151</f>
        <v>114.04</v>
      </c>
      <c r="W151" s="4" t="n">
        <f aca="false">Q151+N151+T151</f>
        <v>286.125</v>
      </c>
      <c r="X151" s="4" t="n">
        <f aca="false">'City Data'!K151</f>
        <v>35</v>
      </c>
      <c r="Y151" s="4" t="n">
        <f aca="false">'City Data'!L151</f>
        <v>85</v>
      </c>
      <c r="Z151" s="4" t="n">
        <f aca="false">'City Data'!M151</f>
        <v>265</v>
      </c>
      <c r="AA151" s="4" t="n">
        <f aca="false">U151-X151</f>
        <v>13.75</v>
      </c>
      <c r="AB151" s="4" t="n">
        <f aca="false">V151-Y151</f>
        <v>29.04</v>
      </c>
      <c r="AC151" s="4" t="n">
        <f aca="false">W151-Z151</f>
        <v>21.125</v>
      </c>
      <c r="AD151" s="4" t="str">
        <f aca="false">IF(OR(AND(X151&lt;&gt;0,ABS(AA151)&gt;Assumptions!$B$18*X151),AND(Y151&lt;&gt;0,ABS(AB151)&gt;Assumptions!$B$18*Y151),AND(Z151&lt;&gt;0,ABS(AC151)&gt;Assumptions!$B$18*Z151)),"REVIEW","")</f>
        <v>REVIEW</v>
      </c>
    </row>
    <row r="152" customFormat="false" ht="15" hidden="false" customHeight="false" outlineLevel="0" collapsed="false">
      <c r="A152" s="0" t="str">
        <f aca="false">'City Data'!A152</f>
        <v>Maputo</v>
      </c>
      <c r="B152" s="4" t="n">
        <f aca="false">'City Data'!B152/Assumptions!$B$2</f>
        <v>12.5</v>
      </c>
      <c r="C152" s="4" t="n">
        <f aca="false">'City Data'!C152/Assumptions!$B$2</f>
        <v>45</v>
      </c>
      <c r="D152" s="4" t="n">
        <f aca="false">'City Data'!D152/Assumptions!$B$2</f>
        <v>90</v>
      </c>
      <c r="E152" s="4" t="n">
        <f aca="false">Assumptions!$B$3*Assumptions!$B$4*'City Data'!E152</f>
        <v>36</v>
      </c>
      <c r="F152" s="4" t="n">
        <f aca="false">Assumptions!$B$3*Assumptions!$B$5*'City Data'!E152</f>
        <v>64.8</v>
      </c>
      <c r="G152" s="4" t="n">
        <f aca="false">Assumptions!$B$3*Assumptions!$B$6*'City Data'!E152</f>
        <v>126</v>
      </c>
      <c r="H152" s="4" t="n">
        <f aca="false">Assumptions!$B$7*'City Data'!F152</f>
        <v>6</v>
      </c>
      <c r="I152" s="4" t="n">
        <f aca="false">Assumptions!$B$8*'City Data'!F152</f>
        <v>12</v>
      </c>
      <c r="J152" s="4" t="n">
        <f aca="false">Assumptions!$B$9*'City Data'!F152</f>
        <v>24</v>
      </c>
      <c r="K152" s="4" t="n">
        <f aca="false">'City Data'!G152+'City Data'!H152</f>
        <v>2.3</v>
      </c>
      <c r="L152" s="4" t="n">
        <f aca="false">IF(AND(Assumptions!$B$13,ISNUMBER('City Data'!I152)),Assumptions!$B$10*'City Data'!I152,0)</f>
        <v>2</v>
      </c>
      <c r="M152" s="4" t="n">
        <f aca="false">IF(AND(Assumptions!$B$13,ISNUMBER('City Data'!I152)),Assumptions!$B$11*'City Data'!I152,0)</f>
        <v>4</v>
      </c>
      <c r="N152" s="4" t="n">
        <f aca="false">IF(AND(Assumptions!$B$13,ISNUMBER('City Data'!I152)),Assumptions!$B$12*'City Data'!I152,0)</f>
        <v>6</v>
      </c>
      <c r="O152" s="4" t="n">
        <f aca="false">B152+E152+H152+K152</f>
        <v>56.8</v>
      </c>
      <c r="P152" s="4" t="n">
        <f aca="false">C152+F152+I152+K152</f>
        <v>124.1</v>
      </c>
      <c r="Q152" s="4" t="n">
        <f aca="false">D152+G152+J152+K152</f>
        <v>242.3</v>
      </c>
      <c r="R152" s="4" t="n">
        <f aca="false">IF(Assumptions!$B$14,Assumptions!$B$15*O152,0)</f>
        <v>5.68</v>
      </c>
      <c r="S152" s="4" t="n">
        <f aca="false">IF(Assumptions!$B$14,Assumptions!$B$16*P152,0)</f>
        <v>24.82</v>
      </c>
      <c r="T152" s="4" t="n">
        <f aca="false">IF(Assumptions!$B$14,Assumptions!$B$17*Q152,0)</f>
        <v>84.805</v>
      </c>
      <c r="U152" s="4" t="n">
        <f aca="false">O152+L152+R152</f>
        <v>64.48</v>
      </c>
      <c r="V152" s="4" t="n">
        <f aca="false">P152+M152+S152</f>
        <v>152.92</v>
      </c>
      <c r="W152" s="4" t="n">
        <f aca="false">Q152+N152+T152</f>
        <v>333.105</v>
      </c>
      <c r="X152" s="4" t="n">
        <f aca="false">'City Data'!K152</f>
        <v>40</v>
      </c>
      <c r="Y152" s="4" t="n">
        <f aca="false">'City Data'!L152</f>
        <v>100</v>
      </c>
      <c r="Z152" s="4" t="n">
        <f aca="false">'City Data'!M152</f>
        <v>295</v>
      </c>
      <c r="AA152" s="4" t="n">
        <f aca="false">U152-X152</f>
        <v>24.48</v>
      </c>
      <c r="AB152" s="4" t="n">
        <f aca="false">V152-Y152</f>
        <v>52.92</v>
      </c>
      <c r="AC152" s="4" t="n">
        <f aca="false">W152-Z152</f>
        <v>38.105</v>
      </c>
      <c r="AD152" s="4" t="str">
        <f aca="false">IF(OR(AND(X152&lt;&gt;0,ABS(AA152)&gt;Assumptions!$B$18*X152),AND(Y152&lt;&gt;0,ABS(AB152)&gt;Assumptions!$B$18*Y152),AND(Z152&lt;&gt;0,ABS(AC152)&gt;Assumptions!$B$18*Z152)),"REVIEW","")</f>
        <v>REVIEW</v>
      </c>
    </row>
    <row r="153" customFormat="false" ht="15" hidden="false" customHeight="false" outlineLevel="0" collapsed="false">
      <c r="A153" s="0" t="str">
        <f aca="false">'City Data'!A153</f>
        <v>Marne-la-Vallée</v>
      </c>
      <c r="B153" s="4" t="n">
        <f aca="false">'City Data'!B153/Assumptions!$B$2</f>
        <v>55</v>
      </c>
      <c r="C153" s="4" t="n">
        <f aca="false">'City Data'!C153/Assumptions!$B$2</f>
        <v>100</v>
      </c>
      <c r="D153" s="4" t="n">
        <f aca="false">'City Data'!D153/Assumptions!$B$2</f>
        <v>250</v>
      </c>
      <c r="E153" s="4" t="n">
        <f aca="false">Assumptions!$B$3*Assumptions!$B$4*'City Data'!E153</f>
        <v>90</v>
      </c>
      <c r="F153" s="4" t="n">
        <f aca="false">Assumptions!$B$3*Assumptions!$B$5*'City Data'!E153</f>
        <v>162</v>
      </c>
      <c r="G153" s="4" t="n">
        <f aca="false">Assumptions!$B$3*Assumptions!$B$6*'City Data'!E153</f>
        <v>315</v>
      </c>
      <c r="H153" s="4" t="n">
        <f aca="false">Assumptions!$B$7*'City Data'!F153</f>
        <v>30</v>
      </c>
      <c r="I153" s="4" t="n">
        <f aca="false">Assumptions!$B$8*'City Data'!F153</f>
        <v>60</v>
      </c>
      <c r="J153" s="4" t="n">
        <f aca="false">Assumptions!$B$9*'City Data'!F153</f>
        <v>120</v>
      </c>
      <c r="K153" s="4" t="n">
        <f aca="false">'City Data'!G153+'City Data'!H153</f>
        <v>6</v>
      </c>
      <c r="L153" s="4" t="n">
        <f aca="false">IF(AND(Assumptions!$B$13,ISNUMBER('City Data'!I153)),Assumptions!$B$10*'City Data'!I153,0)</f>
        <v>7.5</v>
      </c>
      <c r="M153" s="4" t="n">
        <f aca="false">IF(AND(Assumptions!$B$13,ISNUMBER('City Data'!I153)),Assumptions!$B$11*'City Data'!I153,0)</f>
        <v>15</v>
      </c>
      <c r="N153" s="4" t="n">
        <f aca="false">IF(AND(Assumptions!$B$13,ISNUMBER('City Data'!I153)),Assumptions!$B$12*'City Data'!I153,0)</f>
        <v>22.5</v>
      </c>
      <c r="O153" s="4" t="n">
        <f aca="false">B153+E153+H153+K153</f>
        <v>181</v>
      </c>
      <c r="P153" s="4" t="n">
        <f aca="false">C153+F153+I153+K153</f>
        <v>328</v>
      </c>
      <c r="Q153" s="4" t="n">
        <f aca="false">D153+G153+J153+K153</f>
        <v>691</v>
      </c>
      <c r="R153" s="4" t="n">
        <f aca="false">IF(Assumptions!$B$14,Assumptions!$B$15*O153,0)</f>
        <v>18.1</v>
      </c>
      <c r="S153" s="4" t="n">
        <f aca="false">IF(Assumptions!$B$14,Assumptions!$B$16*P153,0)</f>
        <v>65.6</v>
      </c>
      <c r="T153" s="4" t="n">
        <f aca="false">IF(Assumptions!$B$14,Assumptions!$B$17*Q153,0)</f>
        <v>241.85</v>
      </c>
      <c r="U153" s="4" t="n">
        <f aca="false">O153+L153+R153</f>
        <v>206.6</v>
      </c>
      <c r="V153" s="4" t="n">
        <f aca="false">P153+M153+S153</f>
        <v>408.6</v>
      </c>
      <c r="W153" s="4" t="n">
        <f aca="false">Q153+N153+T153</f>
        <v>955.35</v>
      </c>
      <c r="X153" s="4" t="n">
        <f aca="false">'City Data'!K153</f>
        <v>90</v>
      </c>
      <c r="Y153" s="4" t="n">
        <f aca="false">'City Data'!L153</f>
        <v>220</v>
      </c>
      <c r="Z153" s="4" t="n">
        <f aca="false">'City Data'!M153</f>
        <v>600</v>
      </c>
      <c r="AA153" s="4" t="n">
        <f aca="false">U153-X153</f>
        <v>116.6</v>
      </c>
      <c r="AB153" s="4" t="n">
        <f aca="false">V153-Y153</f>
        <v>188.6</v>
      </c>
      <c r="AC153" s="4" t="n">
        <f aca="false">W153-Z153</f>
        <v>355.35</v>
      </c>
      <c r="AD153" s="4" t="str">
        <f aca="false">IF(OR(AND(X153&lt;&gt;0,ABS(AA153)&gt;Assumptions!$B$18*X153),AND(Y153&lt;&gt;0,ABS(AB153)&gt;Assumptions!$B$18*Y153),AND(Z153&lt;&gt;0,ABS(AC153)&gt;Assumptions!$B$18*Z153)),"REVIEW","")</f>
        <v>REVIEW</v>
      </c>
    </row>
    <row r="154" customFormat="false" ht="15" hidden="false" customHeight="false" outlineLevel="0" collapsed="false">
      <c r="A154" s="0" t="str">
        <f aca="false">'City Data'!A154</f>
        <v>Marrakech</v>
      </c>
      <c r="B154" s="4" t="n">
        <f aca="false">'City Data'!B154/Assumptions!$B$2</f>
        <v>15</v>
      </c>
      <c r="C154" s="4" t="n">
        <f aca="false">'City Data'!C154/Assumptions!$B$2</f>
        <v>35</v>
      </c>
      <c r="D154" s="4" t="n">
        <f aca="false">'City Data'!D154/Assumptions!$B$2</f>
        <v>125</v>
      </c>
      <c r="E154" s="4" t="n">
        <f aca="false">Assumptions!$B$3*Assumptions!$B$4*'City Data'!E154</f>
        <v>36</v>
      </c>
      <c r="F154" s="4" t="n">
        <f aca="false">Assumptions!$B$3*Assumptions!$B$5*'City Data'!E154</f>
        <v>64.8</v>
      </c>
      <c r="G154" s="4" t="n">
        <f aca="false">Assumptions!$B$3*Assumptions!$B$6*'City Data'!E154</f>
        <v>126</v>
      </c>
      <c r="H154" s="4" t="n">
        <f aca="false">Assumptions!$B$7*'City Data'!F154</f>
        <v>6</v>
      </c>
      <c r="I154" s="4" t="n">
        <f aca="false">Assumptions!$B$8*'City Data'!F154</f>
        <v>12</v>
      </c>
      <c r="J154" s="4" t="n">
        <f aca="false">Assumptions!$B$9*'City Data'!F154</f>
        <v>24</v>
      </c>
      <c r="K154" s="4" t="n">
        <f aca="false">'City Data'!G154+'City Data'!H154</f>
        <v>1.9</v>
      </c>
      <c r="L154" s="4" t="n">
        <f aca="false">IF(AND(Assumptions!$B$13,ISNUMBER('City Data'!I154)),Assumptions!$B$10*'City Data'!I154,0)</f>
        <v>0</v>
      </c>
      <c r="M154" s="4" t="n">
        <f aca="false">IF(AND(Assumptions!$B$13,ISNUMBER('City Data'!I154)),Assumptions!$B$11*'City Data'!I154,0)</f>
        <v>0</v>
      </c>
      <c r="N154" s="4" t="n">
        <f aca="false">IF(AND(Assumptions!$B$13,ISNUMBER('City Data'!I154)),Assumptions!$B$12*'City Data'!I154,0)</f>
        <v>0</v>
      </c>
      <c r="O154" s="4" t="n">
        <f aca="false">B154+E154+H154+K154</f>
        <v>58.9</v>
      </c>
      <c r="P154" s="4" t="n">
        <f aca="false">C154+F154+I154+K154</f>
        <v>113.7</v>
      </c>
      <c r="Q154" s="4" t="n">
        <f aca="false">D154+G154+J154+K154</f>
        <v>276.9</v>
      </c>
      <c r="R154" s="4" t="n">
        <f aca="false">IF(Assumptions!$B$14,Assumptions!$B$15*O154,0)</f>
        <v>5.89</v>
      </c>
      <c r="S154" s="4" t="n">
        <f aca="false">IF(Assumptions!$B$14,Assumptions!$B$16*P154,0)</f>
        <v>22.74</v>
      </c>
      <c r="T154" s="4" t="n">
        <f aca="false">IF(Assumptions!$B$14,Assumptions!$B$17*Q154,0)</f>
        <v>96.915</v>
      </c>
      <c r="U154" s="4" t="n">
        <f aca="false">O154+L154+R154</f>
        <v>64.79</v>
      </c>
      <c r="V154" s="4" t="n">
        <f aca="false">P154+M154+S154</f>
        <v>136.44</v>
      </c>
      <c r="W154" s="4" t="n">
        <f aca="false">Q154+N154+T154</f>
        <v>373.815</v>
      </c>
      <c r="X154" s="4" t="n">
        <f aca="false">'City Data'!K154</f>
        <v>40</v>
      </c>
      <c r="Y154" s="4" t="n">
        <f aca="false">'City Data'!L154</f>
        <v>95</v>
      </c>
      <c r="Z154" s="4" t="n">
        <f aca="false">'City Data'!M154</f>
        <v>300</v>
      </c>
      <c r="AA154" s="4" t="n">
        <f aca="false">U154-X154</f>
        <v>24.79</v>
      </c>
      <c r="AB154" s="4" t="n">
        <f aca="false">V154-Y154</f>
        <v>41.44</v>
      </c>
      <c r="AC154" s="4" t="n">
        <f aca="false">W154-Z154</f>
        <v>73.8149999999999</v>
      </c>
      <c r="AD154" s="4" t="str">
        <f aca="false">IF(OR(AND(X154&lt;&gt;0,ABS(AA154)&gt;Assumptions!$B$18*X154),AND(Y154&lt;&gt;0,ABS(AB154)&gt;Assumptions!$B$18*Y154),AND(Z154&lt;&gt;0,ABS(AC154)&gt;Assumptions!$B$18*Z154)),"REVIEW","")</f>
        <v>REVIEW</v>
      </c>
    </row>
    <row r="155" customFormat="false" ht="15" hidden="false" customHeight="false" outlineLevel="0" collapsed="false">
      <c r="A155" s="0" t="str">
        <f aca="false">'City Data'!A155</f>
        <v>Maseru</v>
      </c>
      <c r="B155" s="4" t="n">
        <f aca="false">'City Data'!B155/Assumptions!$B$2</f>
        <v>20</v>
      </c>
      <c r="C155" s="4" t="n">
        <f aca="false">'City Data'!C155/Assumptions!$B$2</f>
        <v>37.5</v>
      </c>
      <c r="D155" s="4" t="n">
        <f aca="false">'City Data'!D155/Assumptions!$B$2</f>
        <v>105</v>
      </c>
      <c r="E155" s="4" t="n">
        <f aca="false">Assumptions!$B$3*Assumptions!$B$4*'City Data'!E155</f>
        <v>27</v>
      </c>
      <c r="F155" s="4" t="n">
        <f aca="false">Assumptions!$B$3*Assumptions!$B$5*'City Data'!E155</f>
        <v>48.6</v>
      </c>
      <c r="G155" s="4" t="n">
        <f aca="false">Assumptions!$B$3*Assumptions!$B$6*'City Data'!E155</f>
        <v>94.5</v>
      </c>
      <c r="H155" s="4" t="n">
        <f aca="false">Assumptions!$B$7*'City Data'!F155</f>
        <v>4</v>
      </c>
      <c r="I155" s="4" t="n">
        <f aca="false">Assumptions!$B$8*'City Data'!F155</f>
        <v>8</v>
      </c>
      <c r="J155" s="4" t="n">
        <f aca="false">Assumptions!$B$9*'City Data'!F155</f>
        <v>16</v>
      </c>
      <c r="K155" s="4" t="n">
        <f aca="false">'City Data'!G155+'City Data'!H155</f>
        <v>3</v>
      </c>
      <c r="L155" s="4" t="n">
        <f aca="false">IF(AND(Assumptions!$B$13,ISNUMBER('City Data'!I155)),Assumptions!$B$10*'City Data'!I155,0)</f>
        <v>2</v>
      </c>
      <c r="M155" s="4" t="n">
        <f aca="false">IF(AND(Assumptions!$B$13,ISNUMBER('City Data'!I155)),Assumptions!$B$11*'City Data'!I155,0)</f>
        <v>4</v>
      </c>
      <c r="N155" s="4" t="n">
        <f aca="false">IF(AND(Assumptions!$B$13,ISNUMBER('City Data'!I155)),Assumptions!$B$12*'City Data'!I155,0)</f>
        <v>6</v>
      </c>
      <c r="O155" s="4" t="n">
        <f aca="false">B155+E155+H155+K155</f>
        <v>54</v>
      </c>
      <c r="P155" s="4" t="n">
        <f aca="false">C155+F155+I155+K155</f>
        <v>97.1</v>
      </c>
      <c r="Q155" s="4" t="n">
        <f aca="false">D155+G155+J155+K155</f>
        <v>218.5</v>
      </c>
      <c r="R155" s="4" t="n">
        <f aca="false">IF(Assumptions!$B$14,Assumptions!$B$15*O155,0)</f>
        <v>5.4</v>
      </c>
      <c r="S155" s="4" t="n">
        <f aca="false">IF(Assumptions!$B$14,Assumptions!$B$16*P155,0)</f>
        <v>19.42</v>
      </c>
      <c r="T155" s="4" t="n">
        <f aca="false">IF(Assumptions!$B$14,Assumptions!$B$17*Q155,0)</f>
        <v>76.475</v>
      </c>
      <c r="U155" s="4" t="n">
        <f aca="false">O155+L155+R155</f>
        <v>61.4</v>
      </c>
      <c r="V155" s="4" t="n">
        <f aca="false">P155+M155+S155</f>
        <v>120.52</v>
      </c>
      <c r="W155" s="4" t="n">
        <f aca="false">Q155+N155+T155</f>
        <v>300.975</v>
      </c>
      <c r="X155" s="4" t="n">
        <f aca="false">'City Data'!K155</f>
        <v>45</v>
      </c>
      <c r="Y155" s="4" t="n">
        <f aca="false">'City Data'!L155</f>
        <v>105</v>
      </c>
      <c r="Z155" s="4" t="n">
        <f aca="false">'City Data'!M155</f>
        <v>305</v>
      </c>
      <c r="AA155" s="4" t="n">
        <f aca="false">U155-X155</f>
        <v>16.4</v>
      </c>
      <c r="AB155" s="4" t="n">
        <f aca="false">V155-Y155</f>
        <v>15.52</v>
      </c>
      <c r="AC155" s="4" t="n">
        <f aca="false">W155-Z155</f>
        <v>-4.02499999999998</v>
      </c>
      <c r="AD155" s="4" t="str">
        <f aca="false">IF(OR(AND(X155&lt;&gt;0,ABS(AA155)&gt;Assumptions!$B$18*X155),AND(Y155&lt;&gt;0,ABS(AB155)&gt;Assumptions!$B$18*Y155),AND(Z155&lt;&gt;0,ABS(AC155)&gt;Assumptions!$B$18*Z155)),"REVIEW","")</f>
        <v>REVIEW</v>
      </c>
    </row>
    <row r="156" customFormat="false" ht="15" hidden="false" customHeight="false" outlineLevel="0" collapsed="false">
      <c r="A156" s="0" t="str">
        <f aca="false">'City Data'!A156</f>
        <v>Mbabane</v>
      </c>
      <c r="B156" s="4" t="n">
        <f aca="false">'City Data'!B156/Assumptions!$B$2</f>
        <v>12.5</v>
      </c>
      <c r="C156" s="4" t="n">
        <f aca="false">'City Data'!C156/Assumptions!$B$2</f>
        <v>45</v>
      </c>
      <c r="D156" s="4" t="n">
        <f aca="false">'City Data'!D156/Assumptions!$B$2</f>
        <v>110</v>
      </c>
      <c r="E156" s="4" t="n">
        <f aca="false">Assumptions!$B$3*Assumptions!$B$4*'City Data'!E156</f>
        <v>36</v>
      </c>
      <c r="F156" s="4" t="n">
        <f aca="false">Assumptions!$B$3*Assumptions!$B$5*'City Data'!E156</f>
        <v>64.8</v>
      </c>
      <c r="G156" s="4" t="n">
        <f aca="false">Assumptions!$B$3*Assumptions!$B$6*'City Data'!E156</f>
        <v>126</v>
      </c>
      <c r="H156" s="4" t="n">
        <f aca="false">Assumptions!$B$7*'City Data'!F156</f>
        <v>6</v>
      </c>
      <c r="I156" s="4" t="n">
        <f aca="false">Assumptions!$B$8*'City Data'!F156</f>
        <v>12</v>
      </c>
      <c r="J156" s="4" t="n">
        <f aca="false">Assumptions!$B$9*'City Data'!F156</f>
        <v>24</v>
      </c>
      <c r="K156" s="4" t="n">
        <f aca="false">'City Data'!G156+'City Data'!H156</f>
        <v>3.5</v>
      </c>
      <c r="L156" s="4" t="n">
        <f aca="false">IF(AND(Assumptions!$B$13,ISNUMBER('City Data'!I156)),Assumptions!$B$10*'City Data'!I156,0)</f>
        <v>2.5</v>
      </c>
      <c r="M156" s="4" t="n">
        <f aca="false">IF(AND(Assumptions!$B$13,ISNUMBER('City Data'!I156)),Assumptions!$B$11*'City Data'!I156,0)</f>
        <v>5</v>
      </c>
      <c r="N156" s="4" t="n">
        <f aca="false">IF(AND(Assumptions!$B$13,ISNUMBER('City Data'!I156)),Assumptions!$B$12*'City Data'!I156,0)</f>
        <v>7.5</v>
      </c>
      <c r="O156" s="4" t="n">
        <f aca="false">B156+E156+H156+K156</f>
        <v>58</v>
      </c>
      <c r="P156" s="4" t="n">
        <f aca="false">C156+F156+I156+K156</f>
        <v>125.3</v>
      </c>
      <c r="Q156" s="4" t="n">
        <f aca="false">D156+G156+J156+K156</f>
        <v>263.5</v>
      </c>
      <c r="R156" s="4" t="n">
        <f aca="false">IF(Assumptions!$B$14,Assumptions!$B$15*O156,0)</f>
        <v>5.8</v>
      </c>
      <c r="S156" s="4" t="n">
        <f aca="false">IF(Assumptions!$B$14,Assumptions!$B$16*P156,0)</f>
        <v>25.06</v>
      </c>
      <c r="T156" s="4" t="n">
        <f aca="false">IF(Assumptions!$B$14,Assumptions!$B$17*Q156,0)</f>
        <v>92.225</v>
      </c>
      <c r="U156" s="4" t="n">
        <f aca="false">O156+L156+R156</f>
        <v>66.3</v>
      </c>
      <c r="V156" s="4" t="n">
        <f aca="false">P156+M156+S156</f>
        <v>155.36</v>
      </c>
      <c r="W156" s="4" t="n">
        <f aca="false">Q156+N156+T156</f>
        <v>363.225</v>
      </c>
      <c r="X156" s="4" t="n">
        <f aca="false">'City Data'!K156</f>
        <v>40</v>
      </c>
      <c r="Y156" s="4" t="n">
        <f aca="false">'City Data'!L156</f>
        <v>105</v>
      </c>
      <c r="Z156" s="4" t="n">
        <f aca="false">'City Data'!M156</f>
        <v>315</v>
      </c>
      <c r="AA156" s="4" t="n">
        <f aca="false">U156-X156</f>
        <v>26.3</v>
      </c>
      <c r="AB156" s="4" t="n">
        <f aca="false">V156-Y156</f>
        <v>50.36</v>
      </c>
      <c r="AC156" s="4" t="n">
        <f aca="false">W156-Z156</f>
        <v>48.225</v>
      </c>
      <c r="AD156" s="4" t="str">
        <f aca="false">IF(OR(AND(X156&lt;&gt;0,ABS(AA156)&gt;Assumptions!$B$18*X156),AND(Y156&lt;&gt;0,ABS(AB156)&gt;Assumptions!$B$18*Y156),AND(Z156&lt;&gt;0,ABS(AC156)&gt;Assumptions!$B$18*Z156)),"REVIEW","")</f>
        <v>REVIEW</v>
      </c>
    </row>
    <row r="157" customFormat="false" ht="15" hidden="false" customHeight="false" outlineLevel="0" collapsed="false">
      <c r="A157" s="0" t="str">
        <f aca="false">'City Data'!A157</f>
        <v>Mecca</v>
      </c>
      <c r="B157" s="4" t="n">
        <f aca="false">'City Data'!B157/Assumptions!$B$2</f>
        <v>22.5</v>
      </c>
      <c r="C157" s="4" t="n">
        <f aca="false">'City Data'!C157/Assumptions!$B$2</f>
        <v>60</v>
      </c>
      <c r="D157" s="4" t="n">
        <f aca="false">'City Data'!D157/Assumptions!$B$2</f>
        <v>150</v>
      </c>
      <c r="E157" s="4" t="n">
        <f aca="false">Assumptions!$B$3*Assumptions!$B$4*'City Data'!E157</f>
        <v>36</v>
      </c>
      <c r="F157" s="4" t="n">
        <f aca="false">Assumptions!$B$3*Assumptions!$B$5*'City Data'!E157</f>
        <v>64.8</v>
      </c>
      <c r="G157" s="4" t="n">
        <f aca="false">Assumptions!$B$3*Assumptions!$B$6*'City Data'!E157</f>
        <v>126</v>
      </c>
      <c r="H157" s="4" t="n">
        <f aca="false">Assumptions!$B$7*'City Data'!F157</f>
        <v>10</v>
      </c>
      <c r="I157" s="4" t="n">
        <f aca="false">Assumptions!$B$8*'City Data'!F157</f>
        <v>20</v>
      </c>
      <c r="J157" s="4" t="n">
        <f aca="false">Assumptions!$B$9*'City Data'!F157</f>
        <v>40</v>
      </c>
      <c r="K157" s="4" t="n">
        <f aca="false">'City Data'!G157+'City Data'!H157</f>
        <v>2.3</v>
      </c>
      <c r="L157" s="4" t="n">
        <f aca="false">IF(AND(Assumptions!$B$13,ISNUMBER('City Data'!I157)),Assumptions!$B$10*'City Data'!I157,0)</f>
        <v>0</v>
      </c>
      <c r="M157" s="4" t="n">
        <f aca="false">IF(AND(Assumptions!$B$13,ISNUMBER('City Data'!I157)),Assumptions!$B$11*'City Data'!I157,0)</f>
        <v>0</v>
      </c>
      <c r="N157" s="4" t="n">
        <f aca="false">IF(AND(Assumptions!$B$13,ISNUMBER('City Data'!I157)),Assumptions!$B$12*'City Data'!I157,0)</f>
        <v>0</v>
      </c>
      <c r="O157" s="4" t="n">
        <f aca="false">B157+E157+H157+K157</f>
        <v>70.8</v>
      </c>
      <c r="P157" s="4" t="n">
        <f aca="false">C157+F157+I157+K157</f>
        <v>147.1</v>
      </c>
      <c r="Q157" s="4" t="n">
        <f aca="false">D157+G157+J157+K157</f>
        <v>318.3</v>
      </c>
      <c r="R157" s="4" t="n">
        <f aca="false">IF(Assumptions!$B$14,Assumptions!$B$15*O157,0)</f>
        <v>7.08</v>
      </c>
      <c r="S157" s="4" t="n">
        <f aca="false">IF(Assumptions!$B$14,Assumptions!$B$16*P157,0)</f>
        <v>29.42</v>
      </c>
      <c r="T157" s="4" t="n">
        <f aca="false">IF(Assumptions!$B$14,Assumptions!$B$17*Q157,0)</f>
        <v>111.405</v>
      </c>
      <c r="U157" s="4" t="n">
        <f aca="false">O157+L157+R157</f>
        <v>77.88</v>
      </c>
      <c r="V157" s="4" t="n">
        <f aca="false">P157+M157+S157</f>
        <v>176.52</v>
      </c>
      <c r="W157" s="4" t="n">
        <f aca="false">Q157+N157+T157</f>
        <v>429.705</v>
      </c>
      <c r="X157" s="4" t="n">
        <f aca="false">'City Data'!K157</f>
        <v>60</v>
      </c>
      <c r="Y157" s="4" t="n">
        <f aca="false">'City Data'!L157</f>
        <v>150</v>
      </c>
      <c r="Z157" s="4" t="n">
        <f aca="false">'City Data'!M157</f>
        <v>500</v>
      </c>
      <c r="AA157" s="4" t="n">
        <f aca="false">U157-X157</f>
        <v>17.88</v>
      </c>
      <c r="AB157" s="4" t="n">
        <f aca="false">V157-Y157</f>
        <v>26.52</v>
      </c>
      <c r="AC157" s="4" t="n">
        <f aca="false">W157-Z157</f>
        <v>-70.295</v>
      </c>
      <c r="AD157" s="4" t="str">
        <f aca="false">IF(OR(AND(X157&lt;&gt;0,ABS(AA157)&gt;Assumptions!$B$18*X157),AND(Y157&lt;&gt;0,ABS(AB157)&gt;Assumptions!$B$18*Y157),AND(Z157&lt;&gt;0,ABS(AC157)&gt;Assumptions!$B$18*Z157)),"REVIEW","")</f>
        <v>REVIEW</v>
      </c>
    </row>
    <row r="158" customFormat="false" ht="15" hidden="false" customHeight="false" outlineLevel="0" collapsed="false">
      <c r="A158" s="0" t="str">
        <f aca="false">'City Data'!A158</f>
        <v>Medina</v>
      </c>
      <c r="B158" s="4" t="n">
        <f aca="false">'City Data'!B158/Assumptions!$B$2</f>
        <v>20</v>
      </c>
      <c r="C158" s="4" t="n">
        <f aca="false">'City Data'!C158/Assumptions!$B$2</f>
        <v>45</v>
      </c>
      <c r="D158" s="4" t="n">
        <f aca="false">'City Data'!D158/Assumptions!$B$2</f>
        <v>100</v>
      </c>
      <c r="E158" s="4" t="n">
        <f aca="false">Assumptions!$B$3*Assumptions!$B$4*'City Data'!E158</f>
        <v>36</v>
      </c>
      <c r="F158" s="4" t="n">
        <f aca="false">Assumptions!$B$3*Assumptions!$B$5*'City Data'!E158</f>
        <v>64.8</v>
      </c>
      <c r="G158" s="4" t="n">
        <f aca="false">Assumptions!$B$3*Assumptions!$B$6*'City Data'!E158</f>
        <v>126</v>
      </c>
      <c r="H158" s="4" t="n">
        <f aca="false">Assumptions!$B$7*'City Data'!F158</f>
        <v>10</v>
      </c>
      <c r="I158" s="4" t="n">
        <f aca="false">Assumptions!$B$8*'City Data'!F158</f>
        <v>20</v>
      </c>
      <c r="J158" s="4" t="n">
        <f aca="false">Assumptions!$B$9*'City Data'!F158</f>
        <v>40</v>
      </c>
      <c r="K158" s="4" t="n">
        <f aca="false">'City Data'!G158+'City Data'!H158</f>
        <v>2.3</v>
      </c>
      <c r="L158" s="4" t="n">
        <f aca="false">IF(AND(Assumptions!$B$13,ISNUMBER('City Data'!I158)),Assumptions!$B$10*'City Data'!I158,0)</f>
        <v>0</v>
      </c>
      <c r="M158" s="4" t="n">
        <f aca="false">IF(AND(Assumptions!$B$13,ISNUMBER('City Data'!I158)),Assumptions!$B$11*'City Data'!I158,0)</f>
        <v>0</v>
      </c>
      <c r="N158" s="4" t="n">
        <f aca="false">IF(AND(Assumptions!$B$13,ISNUMBER('City Data'!I158)),Assumptions!$B$12*'City Data'!I158,0)</f>
        <v>0</v>
      </c>
      <c r="O158" s="4" t="n">
        <f aca="false">B158+E158+H158+K158</f>
        <v>68.3</v>
      </c>
      <c r="P158" s="4" t="n">
        <f aca="false">C158+F158+I158+K158</f>
        <v>132.1</v>
      </c>
      <c r="Q158" s="4" t="n">
        <f aca="false">D158+G158+J158+K158</f>
        <v>268.3</v>
      </c>
      <c r="R158" s="4" t="n">
        <f aca="false">IF(Assumptions!$B$14,Assumptions!$B$15*O158,0)</f>
        <v>6.83</v>
      </c>
      <c r="S158" s="4" t="n">
        <f aca="false">IF(Assumptions!$B$14,Assumptions!$B$16*P158,0)</f>
        <v>26.42</v>
      </c>
      <c r="T158" s="4" t="n">
        <f aca="false">IF(Assumptions!$B$14,Assumptions!$B$17*Q158,0)</f>
        <v>93.905</v>
      </c>
      <c r="U158" s="4" t="n">
        <f aca="false">O158+L158+R158</f>
        <v>75.13</v>
      </c>
      <c r="V158" s="4" t="n">
        <f aca="false">P158+M158+S158</f>
        <v>158.52</v>
      </c>
      <c r="W158" s="4" t="n">
        <f aca="false">Q158+N158+T158</f>
        <v>362.205</v>
      </c>
      <c r="X158" s="4" t="n">
        <f aca="false">'City Data'!K158</f>
        <v>55</v>
      </c>
      <c r="Y158" s="4" t="n">
        <f aca="false">'City Data'!L158</f>
        <v>140</v>
      </c>
      <c r="Z158" s="4" t="n">
        <f aca="false">'City Data'!M158</f>
        <v>450</v>
      </c>
      <c r="AA158" s="4" t="n">
        <f aca="false">U158-X158</f>
        <v>20.13</v>
      </c>
      <c r="AB158" s="4" t="n">
        <f aca="false">V158-Y158</f>
        <v>18.52</v>
      </c>
      <c r="AC158" s="4" t="n">
        <f aca="false">W158-Z158</f>
        <v>-87.795</v>
      </c>
      <c r="AD158" s="4" t="str">
        <f aca="false">IF(OR(AND(X158&lt;&gt;0,ABS(AA158)&gt;Assumptions!$B$18*X158),AND(Y158&lt;&gt;0,ABS(AB158)&gt;Assumptions!$B$18*Y158),AND(Z158&lt;&gt;0,ABS(AC158)&gt;Assumptions!$B$18*Z158)),"REVIEW","")</f>
        <v>REVIEW</v>
      </c>
    </row>
    <row r="159" customFormat="false" ht="15" hidden="false" customHeight="false" outlineLevel="0" collapsed="false">
      <c r="A159" s="0" t="str">
        <f aca="false">'City Data'!A159</f>
        <v>Melbourne</v>
      </c>
      <c r="B159" s="4" t="n">
        <f aca="false">'City Data'!B159/Assumptions!$B$2</f>
        <v>37.5</v>
      </c>
      <c r="C159" s="4" t="n">
        <f aca="false">'City Data'!C159/Assumptions!$B$2</f>
        <v>65</v>
      </c>
      <c r="D159" s="4" t="n">
        <f aca="false">'City Data'!D159/Assumptions!$B$2</f>
        <v>150</v>
      </c>
      <c r="E159" s="4" t="n">
        <f aca="false">Assumptions!$B$3*Assumptions!$B$4*'City Data'!E159</f>
        <v>66</v>
      </c>
      <c r="F159" s="4" t="n">
        <f aca="false">Assumptions!$B$3*Assumptions!$B$5*'City Data'!E159</f>
        <v>118.8</v>
      </c>
      <c r="G159" s="4" t="n">
        <f aca="false">Assumptions!$B$3*Assumptions!$B$6*'City Data'!E159</f>
        <v>231</v>
      </c>
      <c r="H159" s="4" t="n">
        <f aca="false">Assumptions!$B$7*'City Data'!F159</f>
        <v>22</v>
      </c>
      <c r="I159" s="4" t="n">
        <f aca="false">Assumptions!$B$8*'City Data'!F159</f>
        <v>44</v>
      </c>
      <c r="J159" s="4" t="n">
        <f aca="false">Assumptions!$B$9*'City Data'!F159</f>
        <v>88</v>
      </c>
      <c r="K159" s="4" t="n">
        <f aca="false">'City Data'!G159+'City Data'!H159</f>
        <v>5.5</v>
      </c>
      <c r="L159" s="4" t="n">
        <f aca="false">IF(AND(Assumptions!$B$13,ISNUMBER('City Data'!I159)),Assumptions!$B$10*'City Data'!I159,0)</f>
        <v>6</v>
      </c>
      <c r="M159" s="4" t="n">
        <f aca="false">IF(AND(Assumptions!$B$13,ISNUMBER('City Data'!I159)),Assumptions!$B$11*'City Data'!I159,0)</f>
        <v>12</v>
      </c>
      <c r="N159" s="4" t="n">
        <f aca="false">IF(AND(Assumptions!$B$13,ISNUMBER('City Data'!I159)),Assumptions!$B$12*'City Data'!I159,0)</f>
        <v>18</v>
      </c>
      <c r="O159" s="4" t="n">
        <f aca="false">B159+E159+H159+K159</f>
        <v>131</v>
      </c>
      <c r="P159" s="4" t="n">
        <f aca="false">C159+F159+I159+K159</f>
        <v>233.3</v>
      </c>
      <c r="Q159" s="4" t="n">
        <f aca="false">D159+G159+J159+K159</f>
        <v>474.5</v>
      </c>
      <c r="R159" s="4" t="n">
        <f aca="false">IF(Assumptions!$B$14,Assumptions!$B$15*O159,0)</f>
        <v>13.1</v>
      </c>
      <c r="S159" s="4" t="n">
        <f aca="false">IF(Assumptions!$B$14,Assumptions!$B$16*P159,0)</f>
        <v>46.66</v>
      </c>
      <c r="T159" s="4" t="n">
        <f aca="false">IF(Assumptions!$B$14,Assumptions!$B$17*Q159,0)</f>
        <v>166.075</v>
      </c>
      <c r="U159" s="4" t="n">
        <f aca="false">O159+L159+R159</f>
        <v>150.1</v>
      </c>
      <c r="V159" s="4" t="n">
        <f aca="false">P159+M159+S159</f>
        <v>291.96</v>
      </c>
      <c r="W159" s="4" t="n">
        <f aca="false">Q159+N159+T159</f>
        <v>658.575</v>
      </c>
      <c r="X159" s="4" t="n">
        <f aca="false">'City Data'!K159</f>
        <v>85</v>
      </c>
      <c r="Y159" s="4" t="n">
        <f aca="false">'City Data'!L159</f>
        <v>210</v>
      </c>
      <c r="Z159" s="4" t="n">
        <f aca="false">'City Data'!M159</f>
        <v>570</v>
      </c>
      <c r="AA159" s="4" t="n">
        <f aca="false">U159-X159</f>
        <v>65.1</v>
      </c>
      <c r="AB159" s="4" t="n">
        <f aca="false">V159-Y159</f>
        <v>81.96</v>
      </c>
      <c r="AC159" s="4" t="n">
        <f aca="false">W159-Z159</f>
        <v>88.5750000000001</v>
      </c>
      <c r="AD159" s="4" t="str">
        <f aca="false">IF(OR(AND(X159&lt;&gt;0,ABS(AA159)&gt;Assumptions!$B$18*X159),AND(Y159&lt;&gt;0,ABS(AB159)&gt;Assumptions!$B$18*Y159),AND(Z159&lt;&gt;0,ABS(AC159)&gt;Assumptions!$B$18*Z159)),"REVIEW","")</f>
        <v>REVIEW</v>
      </c>
    </row>
    <row r="160" customFormat="false" ht="15" hidden="false" customHeight="false" outlineLevel="0" collapsed="false">
      <c r="A160" s="0" t="str">
        <f aca="false">'City Data'!A160</f>
        <v>Mexico City</v>
      </c>
      <c r="B160" s="4" t="n">
        <f aca="false">'City Data'!B160/Assumptions!$B$2</f>
        <v>20</v>
      </c>
      <c r="C160" s="4" t="n">
        <f aca="false">'City Data'!C160/Assumptions!$B$2</f>
        <v>45</v>
      </c>
      <c r="D160" s="4" t="n">
        <f aca="false">'City Data'!D160/Assumptions!$B$2</f>
        <v>150</v>
      </c>
      <c r="E160" s="4" t="n">
        <f aca="false">Assumptions!$B$3*Assumptions!$B$4*'City Data'!E160</f>
        <v>45</v>
      </c>
      <c r="F160" s="4" t="n">
        <f aca="false">Assumptions!$B$3*Assumptions!$B$5*'City Data'!E160</f>
        <v>81</v>
      </c>
      <c r="G160" s="4" t="n">
        <f aca="false">Assumptions!$B$3*Assumptions!$B$6*'City Data'!E160</f>
        <v>157.5</v>
      </c>
      <c r="H160" s="4" t="n">
        <f aca="false">Assumptions!$B$7*'City Data'!F160</f>
        <v>12</v>
      </c>
      <c r="I160" s="4" t="n">
        <f aca="false">Assumptions!$B$8*'City Data'!F160</f>
        <v>24</v>
      </c>
      <c r="J160" s="4" t="n">
        <f aca="false">Assumptions!$B$9*'City Data'!F160</f>
        <v>48</v>
      </c>
      <c r="K160" s="4" t="n">
        <f aca="false">'City Data'!G160+'City Data'!H160</f>
        <v>3.2</v>
      </c>
      <c r="L160" s="4" t="n">
        <f aca="false">IF(AND(Assumptions!$B$13,ISNUMBER('City Data'!I160)),Assumptions!$B$10*'City Data'!I160,0)</f>
        <v>2</v>
      </c>
      <c r="M160" s="4" t="n">
        <f aca="false">IF(AND(Assumptions!$B$13,ISNUMBER('City Data'!I160)),Assumptions!$B$11*'City Data'!I160,0)</f>
        <v>4</v>
      </c>
      <c r="N160" s="4" t="n">
        <f aca="false">IF(AND(Assumptions!$B$13,ISNUMBER('City Data'!I160)),Assumptions!$B$12*'City Data'!I160,0)</f>
        <v>6</v>
      </c>
      <c r="O160" s="4" t="n">
        <f aca="false">B160+E160+H160+K160</f>
        <v>80.2</v>
      </c>
      <c r="P160" s="4" t="n">
        <f aca="false">C160+F160+I160+K160</f>
        <v>153.2</v>
      </c>
      <c r="Q160" s="4" t="n">
        <f aca="false">D160+G160+J160+K160</f>
        <v>358.7</v>
      </c>
      <c r="R160" s="4" t="n">
        <f aca="false">IF(Assumptions!$B$14,Assumptions!$B$15*O160,0)</f>
        <v>8.02</v>
      </c>
      <c r="S160" s="4" t="n">
        <f aca="false">IF(Assumptions!$B$14,Assumptions!$B$16*P160,0)</f>
        <v>30.64</v>
      </c>
      <c r="T160" s="4" t="n">
        <f aca="false">IF(Assumptions!$B$14,Assumptions!$B$17*Q160,0)</f>
        <v>125.545</v>
      </c>
      <c r="U160" s="4" t="n">
        <f aca="false">O160+L160+R160</f>
        <v>90.22</v>
      </c>
      <c r="V160" s="4" t="n">
        <f aca="false">P160+M160+S160</f>
        <v>187.84</v>
      </c>
      <c r="W160" s="4" t="n">
        <f aca="false">Q160+N160+T160</f>
        <v>490.245</v>
      </c>
      <c r="X160" s="4" t="n">
        <f aca="false">'City Data'!K160</f>
        <v>40</v>
      </c>
      <c r="Y160" s="4" t="n">
        <f aca="false">'City Data'!L160</f>
        <v>100</v>
      </c>
      <c r="Z160" s="4" t="n">
        <f aca="false">'City Data'!M160</f>
        <v>300</v>
      </c>
      <c r="AA160" s="4" t="n">
        <f aca="false">U160-X160</f>
        <v>50.22</v>
      </c>
      <c r="AB160" s="4" t="n">
        <f aca="false">V160-Y160</f>
        <v>87.84</v>
      </c>
      <c r="AC160" s="4" t="n">
        <f aca="false">W160-Z160</f>
        <v>190.245</v>
      </c>
      <c r="AD160" s="4" t="str">
        <f aca="false">IF(OR(AND(X160&lt;&gt;0,ABS(AA160)&gt;Assumptions!$B$18*X160),AND(Y160&lt;&gt;0,ABS(AB160)&gt;Assumptions!$B$18*Y160),AND(Z160&lt;&gt;0,ABS(AC160)&gt;Assumptions!$B$18*Z160)),"REVIEW","")</f>
        <v>REVIEW</v>
      </c>
    </row>
    <row r="161" customFormat="false" ht="15" hidden="false" customHeight="false" outlineLevel="0" collapsed="false">
      <c r="A161" s="0" t="str">
        <f aca="false">'City Data'!A161</f>
        <v>Miami</v>
      </c>
      <c r="B161" s="4" t="n">
        <f aca="false">'City Data'!B161/Assumptions!$B$2</f>
        <v>45</v>
      </c>
      <c r="C161" s="4" t="n">
        <f aca="false">'City Data'!C161/Assumptions!$B$2</f>
        <v>90</v>
      </c>
      <c r="D161" s="4" t="n">
        <f aca="false">'City Data'!D161/Assumptions!$B$2</f>
        <v>200</v>
      </c>
      <c r="E161" s="4" t="n">
        <f aca="false">Assumptions!$B$3*Assumptions!$B$4*'City Data'!E161</f>
        <v>90</v>
      </c>
      <c r="F161" s="4" t="n">
        <f aca="false">Assumptions!$B$3*Assumptions!$B$5*'City Data'!E161</f>
        <v>162</v>
      </c>
      <c r="G161" s="4" t="n">
        <f aca="false">Assumptions!$B$3*Assumptions!$B$6*'City Data'!E161</f>
        <v>315</v>
      </c>
      <c r="H161" s="4" t="n">
        <f aca="false">Assumptions!$B$7*'City Data'!F161</f>
        <v>30</v>
      </c>
      <c r="I161" s="4" t="n">
        <f aca="false">Assumptions!$B$8*'City Data'!F161</f>
        <v>60</v>
      </c>
      <c r="J161" s="4" t="n">
        <f aca="false">Assumptions!$B$9*'City Data'!F161</f>
        <v>120</v>
      </c>
      <c r="K161" s="4" t="n">
        <f aca="false">'City Data'!G161+'City Data'!H161</f>
        <v>6</v>
      </c>
      <c r="L161" s="4" t="n">
        <f aca="false">IF(AND(Assumptions!$B$13,ISNUMBER('City Data'!I161)),Assumptions!$B$10*'City Data'!I161,0)</f>
        <v>6</v>
      </c>
      <c r="M161" s="4" t="n">
        <f aca="false">IF(AND(Assumptions!$B$13,ISNUMBER('City Data'!I161)),Assumptions!$B$11*'City Data'!I161,0)</f>
        <v>12</v>
      </c>
      <c r="N161" s="4" t="n">
        <f aca="false">IF(AND(Assumptions!$B$13,ISNUMBER('City Data'!I161)),Assumptions!$B$12*'City Data'!I161,0)</f>
        <v>18</v>
      </c>
      <c r="O161" s="4" t="n">
        <f aca="false">B161+E161+H161+K161</f>
        <v>171</v>
      </c>
      <c r="P161" s="4" t="n">
        <f aca="false">C161+F161+I161+K161</f>
        <v>318</v>
      </c>
      <c r="Q161" s="4" t="n">
        <f aca="false">D161+G161+J161+K161</f>
        <v>641</v>
      </c>
      <c r="R161" s="4" t="n">
        <f aca="false">IF(Assumptions!$B$14,Assumptions!$B$15*O161,0)</f>
        <v>17.1</v>
      </c>
      <c r="S161" s="4" t="n">
        <f aca="false">IF(Assumptions!$B$14,Assumptions!$B$16*P161,0)</f>
        <v>63.6</v>
      </c>
      <c r="T161" s="4" t="n">
        <f aca="false">IF(Assumptions!$B$14,Assumptions!$B$17*Q161,0)</f>
        <v>224.35</v>
      </c>
      <c r="U161" s="4" t="n">
        <f aca="false">O161+L161+R161</f>
        <v>194.1</v>
      </c>
      <c r="V161" s="4" t="n">
        <f aca="false">P161+M161+S161</f>
        <v>393.6</v>
      </c>
      <c r="W161" s="4" t="n">
        <f aca="false">Q161+N161+T161</f>
        <v>883.35</v>
      </c>
      <c r="X161" s="4" t="n">
        <f aca="false">'City Data'!K161</f>
        <v>100</v>
      </c>
      <c r="Y161" s="4" t="n">
        <f aca="false">'City Data'!L161</f>
        <v>250</v>
      </c>
      <c r="Z161" s="4" t="n">
        <f aca="false">'City Data'!M161</f>
        <v>700</v>
      </c>
      <c r="AA161" s="4" t="n">
        <f aca="false">U161-X161</f>
        <v>94.1</v>
      </c>
      <c r="AB161" s="4" t="n">
        <f aca="false">V161-Y161</f>
        <v>143.6</v>
      </c>
      <c r="AC161" s="4" t="n">
        <f aca="false">W161-Z161</f>
        <v>183.35</v>
      </c>
      <c r="AD161" s="4" t="str">
        <f aca="false">IF(OR(AND(X161&lt;&gt;0,ABS(AA161)&gt;Assumptions!$B$18*X161),AND(Y161&lt;&gt;0,ABS(AB161)&gt;Assumptions!$B$18*Y161),AND(Z161&lt;&gt;0,ABS(AC161)&gt;Assumptions!$B$18*Z161)),"REVIEW","")</f>
        <v>REVIEW</v>
      </c>
    </row>
    <row r="162" customFormat="false" ht="15" hidden="false" customHeight="false" outlineLevel="0" collapsed="false">
      <c r="A162" s="0" t="str">
        <f aca="false">'City Data'!A162</f>
        <v>Milan</v>
      </c>
      <c r="B162" s="4" t="n">
        <f aca="false">'City Data'!B162/Assumptions!$B$2</f>
        <v>32.5</v>
      </c>
      <c r="C162" s="4" t="n">
        <f aca="false">'City Data'!C162/Assumptions!$B$2</f>
        <v>65</v>
      </c>
      <c r="D162" s="4" t="n">
        <f aca="false">'City Data'!D162/Assumptions!$B$2</f>
        <v>165</v>
      </c>
      <c r="E162" s="4" t="n">
        <f aca="false">Assumptions!$B$3*Assumptions!$B$4*'City Data'!E162</f>
        <v>75</v>
      </c>
      <c r="F162" s="4" t="n">
        <f aca="false">Assumptions!$B$3*Assumptions!$B$5*'City Data'!E162</f>
        <v>135</v>
      </c>
      <c r="G162" s="4" t="n">
        <f aca="false">Assumptions!$B$3*Assumptions!$B$6*'City Data'!E162</f>
        <v>262.5</v>
      </c>
      <c r="H162" s="4" t="n">
        <f aca="false">Assumptions!$B$7*'City Data'!F162</f>
        <v>18</v>
      </c>
      <c r="I162" s="4" t="n">
        <f aca="false">Assumptions!$B$8*'City Data'!F162</f>
        <v>36</v>
      </c>
      <c r="J162" s="4" t="n">
        <f aca="false">Assumptions!$B$9*'City Data'!F162</f>
        <v>72</v>
      </c>
      <c r="K162" s="4" t="n">
        <f aca="false">'City Data'!G162+'City Data'!H162</f>
        <v>2.5</v>
      </c>
      <c r="L162" s="4" t="n">
        <f aca="false">IF(AND(Assumptions!$B$13,ISNUMBER('City Data'!I162)),Assumptions!$B$10*'City Data'!I162,0)</f>
        <v>6</v>
      </c>
      <c r="M162" s="4" t="n">
        <f aca="false">IF(AND(Assumptions!$B$13,ISNUMBER('City Data'!I162)),Assumptions!$B$11*'City Data'!I162,0)</f>
        <v>12</v>
      </c>
      <c r="N162" s="4" t="n">
        <f aca="false">IF(AND(Assumptions!$B$13,ISNUMBER('City Data'!I162)),Assumptions!$B$12*'City Data'!I162,0)</f>
        <v>18</v>
      </c>
      <c r="O162" s="4" t="n">
        <f aca="false">B162+E162+H162+K162</f>
        <v>128</v>
      </c>
      <c r="P162" s="4" t="n">
        <f aca="false">C162+F162+I162+K162</f>
        <v>238.5</v>
      </c>
      <c r="Q162" s="4" t="n">
        <f aca="false">D162+G162+J162+K162</f>
        <v>502</v>
      </c>
      <c r="R162" s="4" t="n">
        <f aca="false">IF(Assumptions!$B$14,Assumptions!$B$15*O162,0)</f>
        <v>12.8</v>
      </c>
      <c r="S162" s="4" t="n">
        <f aca="false">IF(Assumptions!$B$14,Assumptions!$B$16*P162,0)</f>
        <v>47.7</v>
      </c>
      <c r="T162" s="4" t="n">
        <f aca="false">IF(Assumptions!$B$14,Assumptions!$B$17*Q162,0)</f>
        <v>175.7</v>
      </c>
      <c r="U162" s="4" t="n">
        <f aca="false">O162+L162+R162</f>
        <v>146.8</v>
      </c>
      <c r="V162" s="4" t="n">
        <f aca="false">P162+M162+S162</f>
        <v>298.2</v>
      </c>
      <c r="W162" s="4" t="n">
        <f aca="false">Q162+N162+T162</f>
        <v>695.7</v>
      </c>
      <c r="X162" s="4" t="n">
        <f aca="false">'City Data'!K162</f>
        <v>85</v>
      </c>
      <c r="Y162" s="4" t="n">
        <f aca="false">'City Data'!L162</f>
        <v>200</v>
      </c>
      <c r="Z162" s="4" t="n">
        <f aca="false">'City Data'!M162</f>
        <v>550</v>
      </c>
      <c r="AA162" s="4" t="n">
        <f aca="false">U162-X162</f>
        <v>61.8</v>
      </c>
      <c r="AB162" s="4" t="n">
        <f aca="false">V162-Y162</f>
        <v>98.2</v>
      </c>
      <c r="AC162" s="4" t="n">
        <f aca="false">W162-Z162</f>
        <v>145.7</v>
      </c>
      <c r="AD162" s="4" t="str">
        <f aca="false">IF(OR(AND(X162&lt;&gt;0,ABS(AA162)&gt;Assumptions!$B$18*X162),AND(Y162&lt;&gt;0,ABS(AB162)&gt;Assumptions!$B$18*Y162),AND(Z162&lt;&gt;0,ABS(AC162)&gt;Assumptions!$B$18*Z162)),"REVIEW","")</f>
        <v>REVIEW</v>
      </c>
    </row>
    <row r="163" customFormat="false" ht="15" hidden="false" customHeight="false" outlineLevel="0" collapsed="false">
      <c r="A163" s="0" t="str">
        <f aca="false">'City Data'!A163</f>
        <v>Minsk</v>
      </c>
      <c r="B163" s="4" t="n">
        <f aca="false">'City Data'!B163/Assumptions!$B$2</f>
        <v>17.5</v>
      </c>
      <c r="C163" s="4" t="n">
        <f aca="false">'City Data'!C163/Assumptions!$B$2</f>
        <v>37.5</v>
      </c>
      <c r="D163" s="4" t="n">
        <f aca="false">'City Data'!D163/Assumptions!$B$2</f>
        <v>75</v>
      </c>
      <c r="E163" s="4" t="n">
        <f aca="false">Assumptions!$B$3*Assumptions!$B$4*'City Data'!E163</f>
        <v>45</v>
      </c>
      <c r="F163" s="4" t="n">
        <f aca="false">Assumptions!$B$3*Assumptions!$B$5*'City Data'!E163</f>
        <v>81</v>
      </c>
      <c r="G163" s="4" t="n">
        <f aca="false">Assumptions!$B$3*Assumptions!$B$6*'City Data'!E163</f>
        <v>157.5</v>
      </c>
      <c r="H163" s="4" t="n">
        <f aca="false">Assumptions!$B$7*'City Data'!F163</f>
        <v>5</v>
      </c>
      <c r="I163" s="4" t="n">
        <f aca="false">Assumptions!$B$8*'City Data'!F163</f>
        <v>10</v>
      </c>
      <c r="J163" s="4" t="n">
        <f aca="false">Assumptions!$B$9*'City Data'!F163</f>
        <v>20</v>
      </c>
      <c r="K163" s="4" t="n">
        <f aca="false">'City Data'!G163+'City Data'!H163</f>
        <v>3.2</v>
      </c>
      <c r="L163" s="4" t="n">
        <f aca="false">IF(AND(Assumptions!$B$13,ISNUMBER('City Data'!I163)),Assumptions!$B$10*'City Data'!I163,0)</f>
        <v>2</v>
      </c>
      <c r="M163" s="4" t="n">
        <f aca="false">IF(AND(Assumptions!$B$13,ISNUMBER('City Data'!I163)),Assumptions!$B$11*'City Data'!I163,0)</f>
        <v>4</v>
      </c>
      <c r="N163" s="4" t="n">
        <f aca="false">IF(AND(Assumptions!$B$13,ISNUMBER('City Data'!I163)),Assumptions!$B$12*'City Data'!I163,0)</f>
        <v>6</v>
      </c>
      <c r="O163" s="4" t="n">
        <f aca="false">B163+E163+H163+K163</f>
        <v>70.7</v>
      </c>
      <c r="P163" s="4" t="n">
        <f aca="false">C163+F163+I163+K163</f>
        <v>131.7</v>
      </c>
      <c r="Q163" s="4" t="n">
        <f aca="false">D163+G163+J163+K163</f>
        <v>255.7</v>
      </c>
      <c r="R163" s="4" t="n">
        <f aca="false">IF(Assumptions!$B$14,Assumptions!$B$15*O163,0)</f>
        <v>7.07</v>
      </c>
      <c r="S163" s="4" t="n">
        <f aca="false">IF(Assumptions!$B$14,Assumptions!$B$16*P163,0)</f>
        <v>26.34</v>
      </c>
      <c r="T163" s="4" t="n">
        <f aca="false">IF(Assumptions!$B$14,Assumptions!$B$17*Q163,0)</f>
        <v>89.495</v>
      </c>
      <c r="U163" s="4" t="n">
        <f aca="false">O163+L163+R163</f>
        <v>79.77</v>
      </c>
      <c r="V163" s="4" t="n">
        <f aca="false">P163+M163+S163</f>
        <v>162.04</v>
      </c>
      <c r="W163" s="4" t="n">
        <f aca="false">Q163+N163+T163</f>
        <v>351.195</v>
      </c>
      <c r="X163" s="4" t="n">
        <f aca="false">'City Data'!K163</f>
        <v>45</v>
      </c>
      <c r="Y163" s="4" t="n">
        <f aca="false">'City Data'!L163</f>
        <v>110</v>
      </c>
      <c r="Z163" s="4" t="n">
        <f aca="false">'City Data'!M163</f>
        <v>320</v>
      </c>
      <c r="AA163" s="4" t="n">
        <f aca="false">U163-X163</f>
        <v>34.77</v>
      </c>
      <c r="AB163" s="4" t="n">
        <f aca="false">V163-Y163</f>
        <v>52.04</v>
      </c>
      <c r="AC163" s="4" t="n">
        <f aca="false">W163-Z163</f>
        <v>31.195</v>
      </c>
      <c r="AD163" s="4" t="str">
        <f aca="false">IF(OR(AND(X163&lt;&gt;0,ABS(AA163)&gt;Assumptions!$B$18*X163),AND(Y163&lt;&gt;0,ABS(AB163)&gt;Assumptions!$B$18*Y163),AND(Z163&lt;&gt;0,ABS(AC163)&gt;Assumptions!$B$18*Z163)),"REVIEW","")</f>
        <v>REVIEW</v>
      </c>
    </row>
    <row r="164" customFormat="false" ht="15" hidden="false" customHeight="false" outlineLevel="0" collapsed="false">
      <c r="A164" s="0" t="str">
        <f aca="false">'City Data'!A164</f>
        <v>Mogadishu</v>
      </c>
      <c r="B164" s="4" t="n">
        <f aca="false">'City Data'!B164/Assumptions!$B$2</f>
        <v>17.5</v>
      </c>
      <c r="C164" s="4" t="n">
        <f aca="false">'City Data'!C164/Assumptions!$B$2</f>
        <v>45</v>
      </c>
      <c r="D164" s="4" t="n">
        <f aca="false">'City Data'!D164/Assumptions!$B$2</f>
        <v>90</v>
      </c>
      <c r="E164" s="4" t="n">
        <f aca="false">Assumptions!$B$3*Assumptions!$B$4*'City Data'!E164</f>
        <v>36</v>
      </c>
      <c r="F164" s="4" t="n">
        <f aca="false">Assumptions!$B$3*Assumptions!$B$5*'City Data'!E164</f>
        <v>64.8</v>
      </c>
      <c r="G164" s="4" t="n">
        <f aca="false">Assumptions!$B$3*Assumptions!$B$6*'City Data'!E164</f>
        <v>126</v>
      </c>
      <c r="H164" s="4" t="n">
        <f aca="false">Assumptions!$B$7*'City Data'!F164</f>
        <v>10</v>
      </c>
      <c r="I164" s="4" t="n">
        <f aca="false">Assumptions!$B$8*'City Data'!F164</f>
        <v>20</v>
      </c>
      <c r="J164" s="4" t="n">
        <f aca="false">Assumptions!$B$9*'City Data'!F164</f>
        <v>40</v>
      </c>
      <c r="K164" s="4" t="n">
        <f aca="false">'City Data'!G164+'City Data'!H164</f>
        <v>3</v>
      </c>
      <c r="L164" s="4" t="n">
        <f aca="false">IF(AND(Assumptions!$B$13,ISNUMBER('City Data'!I164)),Assumptions!$B$10*'City Data'!I164,0)</f>
        <v>0</v>
      </c>
      <c r="M164" s="4" t="n">
        <f aca="false">IF(AND(Assumptions!$B$13,ISNUMBER('City Data'!I164)),Assumptions!$B$11*'City Data'!I164,0)</f>
        <v>0</v>
      </c>
      <c r="N164" s="4" t="n">
        <f aca="false">IF(AND(Assumptions!$B$13,ISNUMBER('City Data'!I164)),Assumptions!$B$12*'City Data'!I164,0)</f>
        <v>0</v>
      </c>
      <c r="O164" s="4" t="n">
        <f aca="false">B164+E164+H164+K164</f>
        <v>66.5</v>
      </c>
      <c r="P164" s="4" t="n">
        <f aca="false">C164+F164+I164+K164</f>
        <v>132.8</v>
      </c>
      <c r="Q164" s="4" t="n">
        <f aca="false">D164+G164+J164+K164</f>
        <v>259</v>
      </c>
      <c r="R164" s="4" t="n">
        <f aca="false">IF(Assumptions!$B$14,Assumptions!$B$15*O164,0)</f>
        <v>6.65</v>
      </c>
      <c r="S164" s="4" t="n">
        <f aca="false">IF(Assumptions!$B$14,Assumptions!$B$16*P164,0)</f>
        <v>26.56</v>
      </c>
      <c r="T164" s="4" t="n">
        <f aca="false">IF(Assumptions!$B$14,Assumptions!$B$17*Q164,0)</f>
        <v>90.65</v>
      </c>
      <c r="U164" s="4" t="n">
        <f aca="false">O164+L164+R164</f>
        <v>73.15</v>
      </c>
      <c r="V164" s="4" t="n">
        <f aca="false">P164+M164+S164</f>
        <v>159.36</v>
      </c>
      <c r="W164" s="4" t="n">
        <f aca="false">Q164+N164+T164</f>
        <v>349.65</v>
      </c>
      <c r="X164" s="4" t="n">
        <f aca="false">'City Data'!K164</f>
        <v>45</v>
      </c>
      <c r="Y164" s="4" t="n">
        <f aca="false">'City Data'!L164</f>
        <v>110</v>
      </c>
      <c r="Z164" s="4" t="n">
        <f aca="false">'City Data'!M164</f>
        <v>310</v>
      </c>
      <c r="AA164" s="4" t="n">
        <f aca="false">U164-X164</f>
        <v>28.15</v>
      </c>
      <c r="AB164" s="4" t="n">
        <f aca="false">V164-Y164</f>
        <v>49.36</v>
      </c>
      <c r="AC164" s="4" t="n">
        <f aca="false">W164-Z164</f>
        <v>39.65</v>
      </c>
      <c r="AD164" s="4" t="str">
        <f aca="false">IF(OR(AND(X164&lt;&gt;0,ABS(AA164)&gt;Assumptions!$B$18*X164),AND(Y164&lt;&gt;0,ABS(AB164)&gt;Assumptions!$B$18*Y164),AND(Z164&lt;&gt;0,ABS(AC164)&gt;Assumptions!$B$18*Z164)),"REVIEW","")</f>
        <v>REVIEW</v>
      </c>
    </row>
    <row r="165" customFormat="false" ht="15" hidden="false" customHeight="false" outlineLevel="0" collapsed="false">
      <c r="A165" s="0" t="str">
        <f aca="false">'City Data'!A165</f>
        <v>Monaco</v>
      </c>
      <c r="B165" s="4" t="n">
        <f aca="false">'City Data'!B165/Assumptions!$B$2</f>
        <v>90</v>
      </c>
      <c r="C165" s="4" t="n">
        <f aca="false">'City Data'!C165/Assumptions!$B$2</f>
        <v>190</v>
      </c>
      <c r="D165" s="4" t="n">
        <f aca="false">'City Data'!D165/Assumptions!$B$2</f>
        <v>600</v>
      </c>
      <c r="E165" s="4" t="n">
        <f aca="false">Assumptions!$B$3*Assumptions!$B$4*'City Data'!E165</f>
        <v>165</v>
      </c>
      <c r="F165" s="4" t="n">
        <f aca="false">Assumptions!$B$3*Assumptions!$B$5*'City Data'!E165</f>
        <v>297</v>
      </c>
      <c r="G165" s="4" t="n">
        <f aca="false">Assumptions!$B$3*Assumptions!$B$6*'City Data'!E165</f>
        <v>577.5</v>
      </c>
      <c r="H165" s="4" t="n">
        <f aca="false">Assumptions!$B$7*'City Data'!F165</f>
        <v>20</v>
      </c>
      <c r="I165" s="4" t="n">
        <f aca="false">Assumptions!$B$8*'City Data'!F165</f>
        <v>40</v>
      </c>
      <c r="J165" s="4" t="n">
        <f aca="false">Assumptions!$B$9*'City Data'!F165</f>
        <v>80</v>
      </c>
      <c r="K165" s="4" t="n">
        <f aca="false">'City Data'!G165+'City Data'!H165</f>
        <v>7.5</v>
      </c>
      <c r="L165" s="4" t="n">
        <f aca="false">IF(AND(Assumptions!$B$13,ISNUMBER('City Data'!I165)),Assumptions!$B$10*'City Data'!I165,0)</f>
        <v>9</v>
      </c>
      <c r="M165" s="4" t="n">
        <f aca="false">IF(AND(Assumptions!$B$13,ISNUMBER('City Data'!I165)),Assumptions!$B$11*'City Data'!I165,0)</f>
        <v>18</v>
      </c>
      <c r="N165" s="4" t="n">
        <f aca="false">IF(AND(Assumptions!$B$13,ISNUMBER('City Data'!I165)),Assumptions!$B$12*'City Data'!I165,0)</f>
        <v>27</v>
      </c>
      <c r="O165" s="4" t="n">
        <f aca="false">B165+E165+H165+K165</f>
        <v>282.5</v>
      </c>
      <c r="P165" s="4" t="n">
        <f aca="false">C165+F165+I165+K165</f>
        <v>534.5</v>
      </c>
      <c r="Q165" s="4" t="n">
        <f aca="false">D165+G165+J165+K165</f>
        <v>1265</v>
      </c>
      <c r="R165" s="4" t="n">
        <f aca="false">IF(Assumptions!$B$14,Assumptions!$B$15*O165,0)</f>
        <v>28.25</v>
      </c>
      <c r="S165" s="4" t="n">
        <f aca="false">IF(Assumptions!$B$14,Assumptions!$B$16*P165,0)</f>
        <v>106.9</v>
      </c>
      <c r="T165" s="4" t="n">
        <f aca="false">IF(Assumptions!$B$14,Assumptions!$B$17*Q165,0)</f>
        <v>442.75</v>
      </c>
      <c r="U165" s="4" t="n">
        <f aca="false">O165+L165+R165</f>
        <v>319.75</v>
      </c>
      <c r="V165" s="4" t="n">
        <f aca="false">P165+M165+S165</f>
        <v>659.4</v>
      </c>
      <c r="W165" s="4" t="n">
        <f aca="false">Q165+N165+T165</f>
        <v>1734.75</v>
      </c>
      <c r="X165" s="4" t="n">
        <f aca="false">'City Data'!K165</f>
        <v>165</v>
      </c>
      <c r="Y165" s="4" t="n">
        <f aca="false">'City Data'!L165</f>
        <v>440</v>
      </c>
      <c r="Z165" s="4" t="n">
        <f aca="false">'City Data'!M165</f>
        <v>1325</v>
      </c>
      <c r="AA165" s="4" t="n">
        <f aca="false">U165-X165</f>
        <v>154.75</v>
      </c>
      <c r="AB165" s="4" t="n">
        <f aca="false">V165-Y165</f>
        <v>219.4</v>
      </c>
      <c r="AC165" s="4" t="n">
        <f aca="false">W165-Z165</f>
        <v>409.75</v>
      </c>
      <c r="AD165" s="4" t="str">
        <f aca="false">IF(OR(AND(X165&lt;&gt;0,ABS(AA165)&gt;Assumptions!$B$18*X165),AND(Y165&lt;&gt;0,ABS(AB165)&gt;Assumptions!$B$18*Y165),AND(Z165&lt;&gt;0,ABS(AC165)&gt;Assumptions!$B$18*Z165)),"REVIEW","")</f>
        <v>REVIEW</v>
      </c>
    </row>
    <row r="166" customFormat="false" ht="15" hidden="false" customHeight="false" outlineLevel="0" collapsed="false">
      <c r="A166" s="0" t="str">
        <f aca="false">'City Data'!A166</f>
        <v>Monrovia</v>
      </c>
      <c r="B166" s="4" t="n">
        <f aca="false">'City Data'!B166/Assumptions!$B$2</f>
        <v>17.5</v>
      </c>
      <c r="C166" s="4" t="n">
        <f aca="false">'City Data'!C166/Assumptions!$B$2</f>
        <v>75</v>
      </c>
      <c r="D166" s="4" t="n">
        <f aca="false">'City Data'!D166/Assumptions!$B$2</f>
        <v>162.5</v>
      </c>
      <c r="E166" s="4" t="n">
        <f aca="false">Assumptions!$B$3*Assumptions!$B$4*'City Data'!E166</f>
        <v>54</v>
      </c>
      <c r="F166" s="4" t="n">
        <f aca="false">Assumptions!$B$3*Assumptions!$B$5*'City Data'!E166</f>
        <v>97.2</v>
      </c>
      <c r="G166" s="4" t="n">
        <f aca="false">Assumptions!$B$3*Assumptions!$B$6*'City Data'!E166</f>
        <v>189</v>
      </c>
      <c r="H166" s="4" t="n">
        <f aca="false">Assumptions!$B$7*'City Data'!F166</f>
        <v>6</v>
      </c>
      <c r="I166" s="4" t="n">
        <f aca="false">Assumptions!$B$8*'City Data'!F166</f>
        <v>12</v>
      </c>
      <c r="J166" s="4" t="n">
        <f aca="false">Assumptions!$B$9*'City Data'!F166</f>
        <v>24</v>
      </c>
      <c r="K166" s="4" t="n">
        <f aca="false">'City Data'!G166+'City Data'!H166</f>
        <v>4</v>
      </c>
      <c r="L166" s="4" t="n">
        <f aca="false">IF(AND(Assumptions!$B$13,ISNUMBER('City Data'!I166)),Assumptions!$B$10*'City Data'!I166,0)</f>
        <v>3</v>
      </c>
      <c r="M166" s="4" t="n">
        <f aca="false">IF(AND(Assumptions!$B$13,ISNUMBER('City Data'!I166)),Assumptions!$B$11*'City Data'!I166,0)</f>
        <v>6</v>
      </c>
      <c r="N166" s="4" t="n">
        <f aca="false">IF(AND(Assumptions!$B$13,ISNUMBER('City Data'!I166)),Assumptions!$B$12*'City Data'!I166,0)</f>
        <v>9</v>
      </c>
      <c r="O166" s="4" t="n">
        <f aca="false">B166+E166+H166+K166</f>
        <v>81.5</v>
      </c>
      <c r="P166" s="4" t="n">
        <f aca="false">C166+F166+I166+K166</f>
        <v>188.2</v>
      </c>
      <c r="Q166" s="4" t="n">
        <f aca="false">D166+G166+J166+K166</f>
        <v>379.5</v>
      </c>
      <c r="R166" s="4" t="n">
        <f aca="false">IF(Assumptions!$B$14,Assumptions!$B$15*O166,0)</f>
        <v>8.15</v>
      </c>
      <c r="S166" s="4" t="n">
        <f aca="false">IF(Assumptions!$B$14,Assumptions!$B$16*P166,0)</f>
        <v>37.64</v>
      </c>
      <c r="T166" s="4" t="n">
        <f aca="false">IF(Assumptions!$B$14,Assumptions!$B$17*Q166,0)</f>
        <v>132.825</v>
      </c>
      <c r="U166" s="4" t="n">
        <f aca="false">O166+L166+R166</f>
        <v>92.65</v>
      </c>
      <c r="V166" s="4" t="n">
        <f aca="false">P166+M166+S166</f>
        <v>231.84</v>
      </c>
      <c r="W166" s="4" t="n">
        <f aca="false">Q166+N166+T166</f>
        <v>521.325</v>
      </c>
      <c r="X166" s="4" t="n">
        <f aca="false">'City Data'!K166</f>
        <v>55</v>
      </c>
      <c r="Y166" s="4" t="n">
        <f aca="false">'City Data'!L166</f>
        <v>135</v>
      </c>
      <c r="Z166" s="4" t="n">
        <f aca="false">'City Data'!M166</f>
        <v>425</v>
      </c>
      <c r="AA166" s="4" t="n">
        <f aca="false">U166-X166</f>
        <v>37.65</v>
      </c>
      <c r="AB166" s="4" t="n">
        <f aca="false">V166-Y166</f>
        <v>96.84</v>
      </c>
      <c r="AC166" s="4" t="n">
        <f aca="false">W166-Z166</f>
        <v>96.3250000000001</v>
      </c>
      <c r="AD166" s="4" t="str">
        <f aca="false">IF(OR(AND(X166&lt;&gt;0,ABS(AA166)&gt;Assumptions!$B$18*X166),AND(Y166&lt;&gt;0,ABS(AB166)&gt;Assumptions!$B$18*Y166),AND(Z166&lt;&gt;0,ABS(AC166)&gt;Assumptions!$B$18*Z166)),"REVIEW","")</f>
        <v>REVIEW</v>
      </c>
    </row>
    <row r="167" customFormat="false" ht="15" hidden="false" customHeight="false" outlineLevel="0" collapsed="false">
      <c r="A167" s="0" t="str">
        <f aca="false">'City Data'!A167</f>
        <v>Montego Bay</v>
      </c>
      <c r="B167" s="4" t="n">
        <f aca="false">'City Data'!B167/Assumptions!$B$2</f>
        <v>27.5</v>
      </c>
      <c r="C167" s="4" t="n">
        <f aca="false">'City Data'!C167/Assumptions!$B$2</f>
        <v>70</v>
      </c>
      <c r="D167" s="4" t="n">
        <f aca="false">'City Data'!D167/Assumptions!$B$2</f>
        <v>250</v>
      </c>
      <c r="E167" s="4" t="n">
        <f aca="false">Assumptions!$B$3*Assumptions!$B$4*'City Data'!E167</f>
        <v>54</v>
      </c>
      <c r="F167" s="4" t="n">
        <f aca="false">Assumptions!$B$3*Assumptions!$B$5*'City Data'!E167</f>
        <v>97.2</v>
      </c>
      <c r="G167" s="4" t="n">
        <f aca="false">Assumptions!$B$3*Assumptions!$B$6*'City Data'!E167</f>
        <v>189</v>
      </c>
      <c r="H167" s="4" t="n">
        <f aca="false">Assumptions!$B$7*'City Data'!F167</f>
        <v>12</v>
      </c>
      <c r="I167" s="4" t="n">
        <f aca="false">Assumptions!$B$8*'City Data'!F167</f>
        <v>24</v>
      </c>
      <c r="J167" s="4" t="n">
        <f aca="false">Assumptions!$B$9*'City Data'!F167</f>
        <v>48</v>
      </c>
      <c r="K167" s="4" t="n">
        <f aca="false">'City Data'!G167+'City Data'!H167</f>
        <v>4.5</v>
      </c>
      <c r="L167" s="4" t="n">
        <f aca="false">IF(AND(Assumptions!$B$13,ISNUMBER('City Data'!I167)),Assumptions!$B$10*'City Data'!I167,0)</f>
        <v>4</v>
      </c>
      <c r="M167" s="4" t="n">
        <f aca="false">IF(AND(Assumptions!$B$13,ISNUMBER('City Data'!I167)),Assumptions!$B$11*'City Data'!I167,0)</f>
        <v>8</v>
      </c>
      <c r="N167" s="4" t="n">
        <f aca="false">IF(AND(Assumptions!$B$13,ISNUMBER('City Data'!I167)),Assumptions!$B$12*'City Data'!I167,0)</f>
        <v>12</v>
      </c>
      <c r="O167" s="4" t="n">
        <f aca="false">B167+E167+H167+K167</f>
        <v>98</v>
      </c>
      <c r="P167" s="4" t="n">
        <f aca="false">C167+F167+I167+K167</f>
        <v>195.7</v>
      </c>
      <c r="Q167" s="4" t="n">
        <f aca="false">D167+G167+J167+K167</f>
        <v>491.5</v>
      </c>
      <c r="R167" s="4" t="n">
        <f aca="false">IF(Assumptions!$B$14,Assumptions!$B$15*O167,0)</f>
        <v>9.8</v>
      </c>
      <c r="S167" s="4" t="n">
        <f aca="false">IF(Assumptions!$B$14,Assumptions!$B$16*P167,0)</f>
        <v>39.14</v>
      </c>
      <c r="T167" s="4" t="n">
        <f aca="false">IF(Assumptions!$B$14,Assumptions!$B$17*Q167,0)</f>
        <v>172.025</v>
      </c>
      <c r="U167" s="4" t="n">
        <f aca="false">O167+L167+R167</f>
        <v>111.8</v>
      </c>
      <c r="V167" s="4" t="n">
        <f aca="false">P167+M167+S167</f>
        <v>242.84</v>
      </c>
      <c r="W167" s="4" t="n">
        <f aca="false">Q167+N167+T167</f>
        <v>675.525</v>
      </c>
      <c r="X167" s="4" t="n">
        <f aca="false">'City Data'!K167</f>
        <v>65</v>
      </c>
      <c r="Y167" s="4" t="n">
        <f aca="false">'City Data'!L167</f>
        <v>175</v>
      </c>
      <c r="Z167" s="4" t="n">
        <f aca="false">'City Data'!M167</f>
        <v>535</v>
      </c>
      <c r="AA167" s="4" t="n">
        <f aca="false">U167-X167</f>
        <v>46.8</v>
      </c>
      <c r="AB167" s="4" t="n">
        <f aca="false">V167-Y167</f>
        <v>67.84</v>
      </c>
      <c r="AC167" s="4" t="n">
        <f aca="false">W167-Z167</f>
        <v>140.525</v>
      </c>
      <c r="AD167" s="4" t="str">
        <f aca="false">IF(OR(AND(X167&lt;&gt;0,ABS(AA167)&gt;Assumptions!$B$18*X167),AND(Y167&lt;&gt;0,ABS(AB167)&gt;Assumptions!$B$18*Y167),AND(Z167&lt;&gt;0,ABS(AC167)&gt;Assumptions!$B$18*Z167)),"REVIEW","")</f>
        <v>REVIEW</v>
      </c>
    </row>
    <row r="168" customFormat="false" ht="15" hidden="false" customHeight="false" outlineLevel="0" collapsed="false">
      <c r="A168" s="0" t="str">
        <f aca="false">'City Data'!A168</f>
        <v>Montevideo</v>
      </c>
      <c r="B168" s="4" t="n">
        <f aca="false">'City Data'!B168/Assumptions!$B$2</f>
        <v>17.5</v>
      </c>
      <c r="C168" s="4" t="n">
        <f aca="false">'City Data'!C168/Assumptions!$B$2</f>
        <v>50</v>
      </c>
      <c r="D168" s="4" t="n">
        <f aca="false">'City Data'!D168/Assumptions!$B$2</f>
        <v>150</v>
      </c>
      <c r="E168" s="4" t="n">
        <f aca="false">Assumptions!$B$3*Assumptions!$B$4*'City Data'!E168</f>
        <v>54</v>
      </c>
      <c r="F168" s="4" t="n">
        <f aca="false">Assumptions!$B$3*Assumptions!$B$5*'City Data'!E168</f>
        <v>97.2</v>
      </c>
      <c r="G168" s="4" t="n">
        <f aca="false">Assumptions!$B$3*Assumptions!$B$6*'City Data'!E168</f>
        <v>189</v>
      </c>
      <c r="H168" s="4" t="n">
        <f aca="false">Assumptions!$B$7*'City Data'!F168</f>
        <v>7</v>
      </c>
      <c r="I168" s="4" t="n">
        <f aca="false">Assumptions!$B$8*'City Data'!F168</f>
        <v>14</v>
      </c>
      <c r="J168" s="4" t="n">
        <f aca="false">Assumptions!$B$9*'City Data'!F168</f>
        <v>28</v>
      </c>
      <c r="K168" s="4" t="n">
        <f aca="false">'City Data'!G168+'City Data'!H168</f>
        <v>3.8</v>
      </c>
      <c r="L168" s="4" t="n">
        <f aca="false">IF(AND(Assumptions!$B$13,ISNUMBER('City Data'!I168)),Assumptions!$B$10*'City Data'!I168,0)</f>
        <v>4</v>
      </c>
      <c r="M168" s="4" t="n">
        <f aca="false">IF(AND(Assumptions!$B$13,ISNUMBER('City Data'!I168)),Assumptions!$B$11*'City Data'!I168,0)</f>
        <v>8</v>
      </c>
      <c r="N168" s="4" t="n">
        <f aca="false">IF(AND(Assumptions!$B$13,ISNUMBER('City Data'!I168)),Assumptions!$B$12*'City Data'!I168,0)</f>
        <v>12</v>
      </c>
      <c r="O168" s="4" t="n">
        <f aca="false">B168+E168+H168+K168</f>
        <v>82.3</v>
      </c>
      <c r="P168" s="4" t="n">
        <f aca="false">C168+F168+I168+K168</f>
        <v>165</v>
      </c>
      <c r="Q168" s="4" t="n">
        <f aca="false">D168+G168+J168+K168</f>
        <v>370.8</v>
      </c>
      <c r="R168" s="4" t="n">
        <f aca="false">IF(Assumptions!$B$14,Assumptions!$B$15*O168,0)</f>
        <v>8.23</v>
      </c>
      <c r="S168" s="4" t="n">
        <f aca="false">IF(Assumptions!$B$14,Assumptions!$B$16*P168,0)</f>
        <v>33</v>
      </c>
      <c r="T168" s="4" t="n">
        <f aca="false">IF(Assumptions!$B$14,Assumptions!$B$17*Q168,0)</f>
        <v>129.78</v>
      </c>
      <c r="U168" s="4" t="n">
        <f aca="false">O168+L168+R168</f>
        <v>94.53</v>
      </c>
      <c r="V168" s="4" t="n">
        <f aca="false">P168+M168+S168</f>
        <v>206</v>
      </c>
      <c r="W168" s="4" t="n">
        <f aca="false">Q168+N168+T168</f>
        <v>512.58</v>
      </c>
      <c r="X168" s="4" t="n">
        <f aca="false">'City Data'!K168</f>
        <v>55</v>
      </c>
      <c r="Y168" s="4" t="n">
        <f aca="false">'City Data'!L168</f>
        <v>135</v>
      </c>
      <c r="Z168" s="4" t="n">
        <f aca="false">'City Data'!M168</f>
        <v>415</v>
      </c>
      <c r="AA168" s="4" t="n">
        <f aca="false">U168-X168</f>
        <v>39.53</v>
      </c>
      <c r="AB168" s="4" t="n">
        <f aca="false">V168-Y168</f>
        <v>71</v>
      </c>
      <c r="AC168" s="4" t="n">
        <f aca="false">W168-Z168</f>
        <v>97.58</v>
      </c>
      <c r="AD168" s="4" t="str">
        <f aca="false">IF(OR(AND(X168&lt;&gt;0,ABS(AA168)&gt;Assumptions!$B$18*X168),AND(Y168&lt;&gt;0,ABS(AB168)&gt;Assumptions!$B$18*Y168),AND(Z168&lt;&gt;0,ABS(AC168)&gt;Assumptions!$B$18*Z168)),"REVIEW","")</f>
        <v>REVIEW</v>
      </c>
    </row>
    <row r="169" customFormat="false" ht="15" hidden="false" customHeight="false" outlineLevel="0" collapsed="false">
      <c r="A169" s="0" t="str">
        <f aca="false">'City Data'!A169</f>
        <v>Montreal</v>
      </c>
      <c r="B169" s="4" t="n">
        <f aca="false">'City Data'!B169/Assumptions!$B$2</f>
        <v>45</v>
      </c>
      <c r="C169" s="4" t="n">
        <f aca="false">'City Data'!C169/Assumptions!$B$2</f>
        <v>90</v>
      </c>
      <c r="D169" s="4" t="n">
        <f aca="false">'City Data'!D169/Assumptions!$B$2</f>
        <v>200</v>
      </c>
      <c r="E169" s="4" t="n">
        <f aca="false">Assumptions!$B$3*Assumptions!$B$4*'City Data'!E169</f>
        <v>90</v>
      </c>
      <c r="F169" s="4" t="n">
        <f aca="false">Assumptions!$B$3*Assumptions!$B$5*'City Data'!E169</f>
        <v>162</v>
      </c>
      <c r="G169" s="4" t="n">
        <f aca="false">Assumptions!$B$3*Assumptions!$B$6*'City Data'!E169</f>
        <v>315</v>
      </c>
      <c r="H169" s="4" t="n">
        <f aca="false">Assumptions!$B$7*'City Data'!F169</f>
        <v>25</v>
      </c>
      <c r="I169" s="4" t="n">
        <f aca="false">Assumptions!$B$8*'City Data'!F169</f>
        <v>50</v>
      </c>
      <c r="J169" s="4" t="n">
        <f aca="false">Assumptions!$B$9*'City Data'!F169</f>
        <v>100</v>
      </c>
      <c r="K169" s="4" t="n">
        <f aca="false">'City Data'!G169+'City Data'!H169</f>
        <v>5.25</v>
      </c>
      <c r="L169" s="4" t="n">
        <f aca="false">IF(AND(Assumptions!$B$13,ISNUMBER('City Data'!I169)),Assumptions!$B$10*'City Data'!I169,0)</f>
        <v>6.5</v>
      </c>
      <c r="M169" s="4" t="n">
        <f aca="false">IF(AND(Assumptions!$B$13,ISNUMBER('City Data'!I169)),Assumptions!$B$11*'City Data'!I169,0)</f>
        <v>13</v>
      </c>
      <c r="N169" s="4" t="n">
        <f aca="false">IF(AND(Assumptions!$B$13,ISNUMBER('City Data'!I169)),Assumptions!$B$12*'City Data'!I169,0)</f>
        <v>19.5</v>
      </c>
      <c r="O169" s="4" t="n">
        <f aca="false">B169+E169+H169+K169</f>
        <v>165.25</v>
      </c>
      <c r="P169" s="4" t="n">
        <f aca="false">C169+F169+I169+K169</f>
        <v>307.25</v>
      </c>
      <c r="Q169" s="4" t="n">
        <f aca="false">D169+G169+J169+K169</f>
        <v>620.25</v>
      </c>
      <c r="R169" s="4" t="n">
        <f aca="false">IF(Assumptions!$B$14,Assumptions!$B$15*O169,0)</f>
        <v>16.525</v>
      </c>
      <c r="S169" s="4" t="n">
        <f aca="false">IF(Assumptions!$B$14,Assumptions!$B$16*P169,0)</f>
        <v>61.45</v>
      </c>
      <c r="T169" s="4" t="n">
        <f aca="false">IF(Assumptions!$B$14,Assumptions!$B$17*Q169,0)</f>
        <v>217.0875</v>
      </c>
      <c r="U169" s="4" t="n">
        <f aca="false">O169+L169+R169</f>
        <v>188.275</v>
      </c>
      <c r="V169" s="4" t="n">
        <f aca="false">P169+M169+S169</f>
        <v>381.7</v>
      </c>
      <c r="W169" s="4" t="n">
        <f aca="false">Q169+N169+T169</f>
        <v>856.8375</v>
      </c>
      <c r="X169" s="4" t="n">
        <f aca="false">'City Data'!K169</f>
        <v>80</v>
      </c>
      <c r="Y169" s="4" t="n">
        <f aca="false">'City Data'!L169</f>
        <v>190</v>
      </c>
      <c r="Z169" s="4" t="n">
        <f aca="false">'City Data'!M169</f>
        <v>520</v>
      </c>
      <c r="AA169" s="4" t="n">
        <f aca="false">U169-X169</f>
        <v>108.275</v>
      </c>
      <c r="AB169" s="4" t="n">
        <f aca="false">V169-Y169</f>
        <v>191.7</v>
      </c>
      <c r="AC169" s="4" t="n">
        <f aca="false">W169-Z169</f>
        <v>336.8375</v>
      </c>
      <c r="AD169" s="4" t="str">
        <f aca="false">IF(OR(AND(X169&lt;&gt;0,ABS(AA169)&gt;Assumptions!$B$18*X169),AND(Y169&lt;&gt;0,ABS(AB169)&gt;Assumptions!$B$18*Y169),AND(Z169&lt;&gt;0,ABS(AC169)&gt;Assumptions!$B$18*Z169)),"REVIEW","")</f>
        <v>REVIEW</v>
      </c>
    </row>
    <row r="170" customFormat="false" ht="15" hidden="false" customHeight="false" outlineLevel="0" collapsed="false">
      <c r="A170" s="0" t="str">
        <f aca="false">'City Data'!A170</f>
        <v>Moroni</v>
      </c>
      <c r="B170" s="4" t="n">
        <f aca="false">'City Data'!B170/Assumptions!$B$2</f>
        <v>12.5</v>
      </c>
      <c r="C170" s="4" t="n">
        <f aca="false">'City Data'!C170/Assumptions!$B$2</f>
        <v>30</v>
      </c>
      <c r="D170" s="4" t="n">
        <f aca="false">'City Data'!D170/Assumptions!$B$2</f>
        <v>90</v>
      </c>
      <c r="E170" s="4" t="n">
        <f aca="false">Assumptions!$B$3*Assumptions!$B$4*'City Data'!E170</f>
        <v>30</v>
      </c>
      <c r="F170" s="4" t="n">
        <f aca="false">Assumptions!$B$3*Assumptions!$B$5*'City Data'!E170</f>
        <v>54</v>
      </c>
      <c r="G170" s="4" t="n">
        <f aca="false">Assumptions!$B$3*Assumptions!$B$6*'City Data'!E170</f>
        <v>105</v>
      </c>
      <c r="H170" s="4" t="n">
        <f aca="false">Assumptions!$B$7*'City Data'!F170</f>
        <v>4</v>
      </c>
      <c r="I170" s="4" t="n">
        <f aca="false">Assumptions!$B$8*'City Data'!F170</f>
        <v>8</v>
      </c>
      <c r="J170" s="4" t="n">
        <f aca="false">Assumptions!$B$9*'City Data'!F170</f>
        <v>16</v>
      </c>
      <c r="K170" s="4" t="n">
        <f aca="false">'City Data'!G170+'City Data'!H170</f>
        <v>3</v>
      </c>
      <c r="L170" s="4" t="n">
        <f aca="false">IF(AND(Assumptions!$B$13,ISNUMBER('City Data'!I170)),Assumptions!$B$10*'City Data'!I170,0)</f>
        <v>4</v>
      </c>
      <c r="M170" s="4" t="n">
        <f aca="false">IF(AND(Assumptions!$B$13,ISNUMBER('City Data'!I170)),Assumptions!$B$11*'City Data'!I170,0)</f>
        <v>8</v>
      </c>
      <c r="N170" s="4" t="n">
        <f aca="false">IF(AND(Assumptions!$B$13,ISNUMBER('City Data'!I170)),Assumptions!$B$12*'City Data'!I170,0)</f>
        <v>12</v>
      </c>
      <c r="O170" s="4" t="n">
        <f aca="false">B170+E170+H170+K170</f>
        <v>49.5</v>
      </c>
      <c r="P170" s="4" t="n">
        <f aca="false">C170+F170+I170+K170</f>
        <v>95</v>
      </c>
      <c r="Q170" s="4" t="n">
        <f aca="false">D170+G170+J170+K170</f>
        <v>214</v>
      </c>
      <c r="R170" s="4" t="n">
        <f aca="false">IF(Assumptions!$B$14,Assumptions!$B$15*O170,0)</f>
        <v>4.95</v>
      </c>
      <c r="S170" s="4" t="n">
        <f aca="false">IF(Assumptions!$B$14,Assumptions!$B$16*P170,0)</f>
        <v>19</v>
      </c>
      <c r="T170" s="4" t="n">
        <f aca="false">IF(Assumptions!$B$14,Assumptions!$B$17*Q170,0)</f>
        <v>74.9</v>
      </c>
      <c r="U170" s="4" t="n">
        <f aca="false">O170+L170+R170</f>
        <v>58.45</v>
      </c>
      <c r="V170" s="4" t="n">
        <f aca="false">P170+M170+S170</f>
        <v>122</v>
      </c>
      <c r="W170" s="4" t="n">
        <f aca="false">Q170+N170+T170</f>
        <v>300.9</v>
      </c>
      <c r="X170" s="4" t="n">
        <f aca="false">'City Data'!K170</f>
        <v>40</v>
      </c>
      <c r="Y170" s="4" t="n">
        <f aca="false">'City Data'!L170</f>
        <v>95</v>
      </c>
      <c r="Z170" s="4" t="n">
        <f aca="false">'City Data'!M170</f>
        <v>280</v>
      </c>
      <c r="AA170" s="4" t="n">
        <f aca="false">U170-X170</f>
        <v>18.45</v>
      </c>
      <c r="AB170" s="4" t="n">
        <f aca="false">V170-Y170</f>
        <v>27</v>
      </c>
      <c r="AC170" s="4" t="n">
        <f aca="false">W170-Z170</f>
        <v>20.9</v>
      </c>
      <c r="AD170" s="4" t="str">
        <f aca="false">IF(OR(AND(X170&lt;&gt;0,ABS(AA170)&gt;Assumptions!$B$18*X170),AND(Y170&lt;&gt;0,ABS(AB170)&gt;Assumptions!$B$18*Y170),AND(Z170&lt;&gt;0,ABS(AC170)&gt;Assumptions!$B$18*Z170)),"REVIEW","")</f>
        <v>REVIEW</v>
      </c>
    </row>
    <row r="171" customFormat="false" ht="15" hidden="false" customHeight="false" outlineLevel="0" collapsed="false">
      <c r="A171" s="0" t="str">
        <f aca="false">'City Data'!A171</f>
        <v>Moscow</v>
      </c>
      <c r="B171" s="4" t="n">
        <f aca="false">'City Data'!B171/Assumptions!$B$2</f>
        <v>20</v>
      </c>
      <c r="C171" s="4" t="n">
        <f aca="false">'City Data'!C171/Assumptions!$B$2</f>
        <v>45</v>
      </c>
      <c r="D171" s="4" t="n">
        <f aca="false">'City Data'!D171/Assumptions!$B$2</f>
        <v>125</v>
      </c>
      <c r="E171" s="4" t="n">
        <f aca="false">Assumptions!$B$3*Assumptions!$B$4*'City Data'!E171</f>
        <v>45</v>
      </c>
      <c r="F171" s="4" t="n">
        <f aca="false">Assumptions!$B$3*Assumptions!$B$5*'City Data'!E171</f>
        <v>81</v>
      </c>
      <c r="G171" s="4" t="n">
        <f aca="false">Assumptions!$B$3*Assumptions!$B$6*'City Data'!E171</f>
        <v>157.5</v>
      </c>
      <c r="H171" s="4" t="n">
        <f aca="false">Assumptions!$B$7*'City Data'!F171</f>
        <v>6</v>
      </c>
      <c r="I171" s="4" t="n">
        <f aca="false">Assumptions!$B$8*'City Data'!F171</f>
        <v>12</v>
      </c>
      <c r="J171" s="4" t="n">
        <f aca="false">Assumptions!$B$9*'City Data'!F171</f>
        <v>24</v>
      </c>
      <c r="K171" s="4" t="n">
        <f aca="false">'City Data'!G171+'City Data'!H171</f>
        <v>4.5</v>
      </c>
      <c r="L171" s="4" t="n">
        <f aca="false">IF(AND(Assumptions!$B$13,ISNUMBER('City Data'!I171)),Assumptions!$B$10*'City Data'!I171,0)</f>
        <v>3</v>
      </c>
      <c r="M171" s="4" t="n">
        <f aca="false">IF(AND(Assumptions!$B$13,ISNUMBER('City Data'!I171)),Assumptions!$B$11*'City Data'!I171,0)</f>
        <v>6</v>
      </c>
      <c r="N171" s="4" t="n">
        <f aca="false">IF(AND(Assumptions!$B$13,ISNUMBER('City Data'!I171)),Assumptions!$B$12*'City Data'!I171,0)</f>
        <v>9</v>
      </c>
      <c r="O171" s="4" t="n">
        <f aca="false">B171+E171+H171+K171</f>
        <v>75.5</v>
      </c>
      <c r="P171" s="4" t="n">
        <f aca="false">C171+F171+I171+K171</f>
        <v>142.5</v>
      </c>
      <c r="Q171" s="4" t="n">
        <f aca="false">D171+G171+J171+K171</f>
        <v>311</v>
      </c>
      <c r="R171" s="4" t="n">
        <f aca="false">IF(Assumptions!$B$14,Assumptions!$B$15*O171,0)</f>
        <v>7.55</v>
      </c>
      <c r="S171" s="4" t="n">
        <f aca="false">IF(Assumptions!$B$14,Assumptions!$B$16*P171,0)</f>
        <v>28.5</v>
      </c>
      <c r="T171" s="4" t="n">
        <f aca="false">IF(Assumptions!$B$14,Assumptions!$B$17*Q171,0)</f>
        <v>108.85</v>
      </c>
      <c r="U171" s="4" t="n">
        <f aca="false">O171+L171+R171</f>
        <v>86.05</v>
      </c>
      <c r="V171" s="4" t="n">
        <f aca="false">P171+M171+S171</f>
        <v>177</v>
      </c>
      <c r="W171" s="4" t="n">
        <f aca="false">Q171+N171+T171</f>
        <v>428.85</v>
      </c>
      <c r="X171" s="4" t="n">
        <f aca="false">'City Data'!K171</f>
        <v>50</v>
      </c>
      <c r="Y171" s="4" t="n">
        <f aca="false">'City Data'!L171</f>
        <v>125</v>
      </c>
      <c r="Z171" s="4" t="n">
        <f aca="false">'City Data'!M171</f>
        <v>375</v>
      </c>
      <c r="AA171" s="4" t="n">
        <f aca="false">U171-X171</f>
        <v>36.05</v>
      </c>
      <c r="AB171" s="4" t="n">
        <f aca="false">V171-Y171</f>
        <v>52</v>
      </c>
      <c r="AC171" s="4" t="n">
        <f aca="false">W171-Z171</f>
        <v>53.85</v>
      </c>
      <c r="AD171" s="4" t="str">
        <f aca="false">IF(OR(AND(X171&lt;&gt;0,ABS(AA171)&gt;Assumptions!$B$18*X171),AND(Y171&lt;&gt;0,ABS(AB171)&gt;Assumptions!$B$18*Y171),AND(Z171&lt;&gt;0,ABS(AC171)&gt;Assumptions!$B$18*Z171)),"REVIEW","")</f>
        <v>REVIEW</v>
      </c>
    </row>
    <row r="172" customFormat="false" ht="15" hidden="false" customHeight="false" outlineLevel="0" collapsed="false">
      <c r="A172" s="0" t="str">
        <f aca="false">'City Data'!A172</f>
        <v>Mumbai</v>
      </c>
      <c r="B172" s="4" t="n">
        <f aca="false">'City Data'!B172/Assumptions!$B$2</f>
        <v>10</v>
      </c>
      <c r="C172" s="4" t="n">
        <f aca="false">'City Data'!C172/Assumptions!$B$2</f>
        <v>37.5</v>
      </c>
      <c r="D172" s="4" t="n">
        <f aca="false">'City Data'!D172/Assumptions!$B$2</f>
        <v>130</v>
      </c>
      <c r="E172" s="4" t="n">
        <f aca="false">Assumptions!$B$3*Assumptions!$B$4*'City Data'!E172</f>
        <v>18</v>
      </c>
      <c r="F172" s="4" t="n">
        <f aca="false">Assumptions!$B$3*Assumptions!$B$5*'City Data'!E172</f>
        <v>32.4</v>
      </c>
      <c r="G172" s="4" t="n">
        <f aca="false">Assumptions!$B$3*Assumptions!$B$6*'City Data'!E172</f>
        <v>63</v>
      </c>
      <c r="H172" s="4" t="n">
        <f aca="false">Assumptions!$B$7*'City Data'!F172</f>
        <v>4</v>
      </c>
      <c r="I172" s="4" t="n">
        <f aca="false">Assumptions!$B$8*'City Data'!F172</f>
        <v>8</v>
      </c>
      <c r="J172" s="4" t="n">
        <f aca="false">Assumptions!$B$9*'City Data'!F172</f>
        <v>16</v>
      </c>
      <c r="K172" s="4" t="n">
        <f aca="false">'City Data'!G172+'City Data'!H172</f>
        <v>2.8</v>
      </c>
      <c r="L172" s="4" t="n">
        <f aca="false">IF(AND(Assumptions!$B$13,ISNUMBER('City Data'!I172)),Assumptions!$B$10*'City Data'!I172,0)</f>
        <v>4</v>
      </c>
      <c r="M172" s="4" t="n">
        <f aca="false">IF(AND(Assumptions!$B$13,ISNUMBER('City Data'!I172)),Assumptions!$B$11*'City Data'!I172,0)</f>
        <v>8</v>
      </c>
      <c r="N172" s="4" t="n">
        <f aca="false">IF(AND(Assumptions!$B$13,ISNUMBER('City Data'!I172)),Assumptions!$B$12*'City Data'!I172,0)</f>
        <v>12</v>
      </c>
      <c r="O172" s="4" t="n">
        <f aca="false">B172+E172+H172+K172</f>
        <v>34.8</v>
      </c>
      <c r="P172" s="4" t="n">
        <f aca="false">C172+F172+I172+K172</f>
        <v>80.7</v>
      </c>
      <c r="Q172" s="4" t="n">
        <f aca="false">D172+G172+J172+K172</f>
        <v>211.8</v>
      </c>
      <c r="R172" s="4" t="n">
        <f aca="false">IF(Assumptions!$B$14,Assumptions!$B$15*O172,0)</f>
        <v>3.48</v>
      </c>
      <c r="S172" s="4" t="n">
        <f aca="false">IF(Assumptions!$B$14,Assumptions!$B$16*P172,0)</f>
        <v>16.14</v>
      </c>
      <c r="T172" s="4" t="n">
        <f aca="false">IF(Assumptions!$B$14,Assumptions!$B$17*Q172,0)</f>
        <v>74.13</v>
      </c>
      <c r="U172" s="4" t="n">
        <f aca="false">O172+L172+R172</f>
        <v>42.28</v>
      </c>
      <c r="V172" s="4" t="n">
        <f aca="false">P172+M172+S172</f>
        <v>104.84</v>
      </c>
      <c r="W172" s="4" t="n">
        <f aca="false">Q172+N172+T172</f>
        <v>297.93</v>
      </c>
      <c r="X172" s="4" t="n">
        <f aca="false">'City Data'!K172</f>
        <v>25</v>
      </c>
      <c r="Y172" s="4" t="n">
        <f aca="false">'City Data'!L172</f>
        <v>75</v>
      </c>
      <c r="Z172" s="4" t="n">
        <f aca="false">'City Data'!M172</f>
        <v>300</v>
      </c>
      <c r="AA172" s="4" t="n">
        <f aca="false">U172-X172</f>
        <v>17.28</v>
      </c>
      <c r="AB172" s="4" t="n">
        <f aca="false">V172-Y172</f>
        <v>29.84</v>
      </c>
      <c r="AC172" s="4" t="n">
        <f aca="false">W172-Z172</f>
        <v>-2.06999999999999</v>
      </c>
      <c r="AD172" s="4" t="str">
        <f aca="false">IF(OR(AND(X172&lt;&gt;0,ABS(AA172)&gt;Assumptions!$B$18*X172),AND(Y172&lt;&gt;0,ABS(AB172)&gt;Assumptions!$B$18*Y172),AND(Z172&lt;&gt;0,ABS(AC172)&gt;Assumptions!$B$18*Z172)),"REVIEW","")</f>
        <v>REVIEW</v>
      </c>
    </row>
    <row r="173" customFormat="false" ht="15" hidden="false" customHeight="false" outlineLevel="0" collapsed="false">
      <c r="A173" s="0" t="str">
        <f aca="false">'City Data'!A173</f>
        <v>Munich</v>
      </c>
      <c r="B173" s="4" t="n">
        <f aca="false">'City Data'!B173/Assumptions!$B$2</f>
        <v>37.5</v>
      </c>
      <c r="C173" s="4" t="n">
        <f aca="false">'City Data'!C173/Assumptions!$B$2</f>
        <v>70</v>
      </c>
      <c r="D173" s="4" t="n">
        <f aca="false">'City Data'!D173/Assumptions!$B$2</f>
        <v>160</v>
      </c>
      <c r="E173" s="4" t="n">
        <f aca="false">Assumptions!$B$3*Assumptions!$B$4*'City Data'!E173</f>
        <v>60</v>
      </c>
      <c r="F173" s="4" t="n">
        <f aca="false">Assumptions!$B$3*Assumptions!$B$5*'City Data'!E173</f>
        <v>108</v>
      </c>
      <c r="G173" s="4" t="n">
        <f aca="false">Assumptions!$B$3*Assumptions!$B$6*'City Data'!E173</f>
        <v>210</v>
      </c>
      <c r="H173" s="4" t="n">
        <f aca="false">Assumptions!$B$7*'City Data'!F173</f>
        <v>28</v>
      </c>
      <c r="I173" s="4" t="n">
        <f aca="false">Assumptions!$B$8*'City Data'!F173</f>
        <v>56</v>
      </c>
      <c r="J173" s="4" t="n">
        <f aca="false">Assumptions!$B$9*'City Data'!F173</f>
        <v>112</v>
      </c>
      <c r="K173" s="4" t="n">
        <f aca="false">'City Data'!G173+'City Data'!H173</f>
        <v>5.7</v>
      </c>
      <c r="L173" s="4" t="n">
        <f aca="false">IF(AND(Assumptions!$B$13,ISNUMBER('City Data'!I173)),Assumptions!$B$10*'City Data'!I173,0)</f>
        <v>4.5</v>
      </c>
      <c r="M173" s="4" t="n">
        <f aca="false">IF(AND(Assumptions!$B$13,ISNUMBER('City Data'!I173)),Assumptions!$B$11*'City Data'!I173,0)</f>
        <v>9</v>
      </c>
      <c r="N173" s="4" t="n">
        <f aca="false">IF(AND(Assumptions!$B$13,ISNUMBER('City Data'!I173)),Assumptions!$B$12*'City Data'!I173,0)</f>
        <v>13.5</v>
      </c>
      <c r="O173" s="4" t="n">
        <f aca="false">B173+E173+H173+K173</f>
        <v>131.2</v>
      </c>
      <c r="P173" s="4" t="n">
        <f aca="false">C173+F173+I173+K173</f>
        <v>239.7</v>
      </c>
      <c r="Q173" s="4" t="n">
        <f aca="false">D173+G173+J173+K173</f>
        <v>487.7</v>
      </c>
      <c r="R173" s="4" t="n">
        <f aca="false">IF(Assumptions!$B$14,Assumptions!$B$15*O173,0)</f>
        <v>13.12</v>
      </c>
      <c r="S173" s="4" t="n">
        <f aca="false">IF(Assumptions!$B$14,Assumptions!$B$16*P173,0)</f>
        <v>47.94</v>
      </c>
      <c r="T173" s="4" t="n">
        <f aca="false">IF(Assumptions!$B$14,Assumptions!$B$17*Q173,0)</f>
        <v>170.695</v>
      </c>
      <c r="U173" s="4" t="n">
        <f aca="false">O173+L173+R173</f>
        <v>148.82</v>
      </c>
      <c r="V173" s="4" t="n">
        <f aca="false">P173+M173+S173</f>
        <v>296.64</v>
      </c>
      <c r="W173" s="4" t="n">
        <f aca="false">Q173+N173+T173</f>
        <v>671.895</v>
      </c>
      <c r="X173" s="4" t="n">
        <f aca="false">'City Data'!K173</f>
        <v>80</v>
      </c>
      <c r="Y173" s="4" t="n">
        <f aca="false">'City Data'!L173</f>
        <v>190</v>
      </c>
      <c r="Z173" s="4" t="n">
        <f aca="false">'City Data'!M173</f>
        <v>520</v>
      </c>
      <c r="AA173" s="4" t="n">
        <f aca="false">U173-X173</f>
        <v>68.82</v>
      </c>
      <c r="AB173" s="4" t="n">
        <f aca="false">V173-Y173</f>
        <v>106.64</v>
      </c>
      <c r="AC173" s="4" t="n">
        <f aca="false">W173-Z173</f>
        <v>151.895</v>
      </c>
      <c r="AD173" s="4" t="str">
        <f aca="false">IF(OR(AND(X173&lt;&gt;0,ABS(AA173)&gt;Assumptions!$B$18*X173),AND(Y173&lt;&gt;0,ABS(AB173)&gt;Assumptions!$B$18*Y173),AND(Z173&lt;&gt;0,ABS(AC173)&gt;Assumptions!$B$18*Z173)),"REVIEW","")</f>
        <v>REVIEW</v>
      </c>
    </row>
    <row r="174" customFormat="false" ht="15" hidden="false" customHeight="false" outlineLevel="0" collapsed="false">
      <c r="A174" s="0" t="str">
        <f aca="false">'City Data'!A174</f>
        <v>Muscat</v>
      </c>
      <c r="B174" s="4" t="n">
        <f aca="false">'City Data'!B174/Assumptions!$B$2</f>
        <v>17.5</v>
      </c>
      <c r="C174" s="4" t="n">
        <f aca="false">'City Data'!C174/Assumptions!$B$2</f>
        <v>45</v>
      </c>
      <c r="D174" s="4" t="n">
        <f aca="false">'City Data'!D174/Assumptions!$B$2</f>
        <v>175</v>
      </c>
      <c r="E174" s="4" t="n">
        <f aca="false">Assumptions!$B$3*Assumptions!$B$4*'City Data'!E174</f>
        <v>54</v>
      </c>
      <c r="F174" s="4" t="n">
        <f aca="false">Assumptions!$B$3*Assumptions!$B$5*'City Data'!E174</f>
        <v>97.2</v>
      </c>
      <c r="G174" s="4" t="n">
        <f aca="false">Assumptions!$B$3*Assumptions!$B$6*'City Data'!E174</f>
        <v>189</v>
      </c>
      <c r="H174" s="4" t="n">
        <f aca="false">Assumptions!$B$7*'City Data'!F174</f>
        <v>7</v>
      </c>
      <c r="I174" s="4" t="n">
        <f aca="false">Assumptions!$B$8*'City Data'!F174</f>
        <v>14</v>
      </c>
      <c r="J174" s="4" t="n">
        <f aca="false">Assumptions!$B$9*'City Data'!F174</f>
        <v>28</v>
      </c>
      <c r="K174" s="4" t="n">
        <f aca="false">'City Data'!G174+'City Data'!H174</f>
        <v>4.6</v>
      </c>
      <c r="L174" s="4" t="n">
        <f aca="false">IF(AND(Assumptions!$B$13,ISNUMBER('City Data'!I174)),Assumptions!$B$10*'City Data'!I174,0)</f>
        <v>10</v>
      </c>
      <c r="M174" s="4" t="n">
        <f aca="false">IF(AND(Assumptions!$B$13,ISNUMBER('City Data'!I174)),Assumptions!$B$11*'City Data'!I174,0)</f>
        <v>20</v>
      </c>
      <c r="N174" s="4" t="n">
        <f aca="false">IF(AND(Assumptions!$B$13,ISNUMBER('City Data'!I174)),Assumptions!$B$12*'City Data'!I174,0)</f>
        <v>30</v>
      </c>
      <c r="O174" s="4" t="n">
        <f aca="false">B174+E174+H174+K174</f>
        <v>83.1</v>
      </c>
      <c r="P174" s="4" t="n">
        <f aca="false">C174+F174+I174+K174</f>
        <v>160.8</v>
      </c>
      <c r="Q174" s="4" t="n">
        <f aca="false">D174+G174+J174+K174</f>
        <v>396.6</v>
      </c>
      <c r="R174" s="4" t="n">
        <f aca="false">IF(Assumptions!$B$14,Assumptions!$B$15*O174,0)</f>
        <v>8.31</v>
      </c>
      <c r="S174" s="4" t="n">
        <f aca="false">IF(Assumptions!$B$14,Assumptions!$B$16*P174,0)</f>
        <v>32.16</v>
      </c>
      <c r="T174" s="4" t="n">
        <f aca="false">IF(Assumptions!$B$14,Assumptions!$B$17*Q174,0)</f>
        <v>138.81</v>
      </c>
      <c r="U174" s="4" t="n">
        <f aca="false">O174+L174+R174</f>
        <v>101.41</v>
      </c>
      <c r="V174" s="4" t="n">
        <f aca="false">P174+M174+S174</f>
        <v>212.96</v>
      </c>
      <c r="W174" s="4" t="n">
        <f aca="false">Q174+N174+T174</f>
        <v>565.41</v>
      </c>
      <c r="X174" s="4" t="n">
        <f aca="false">'City Data'!K174</f>
        <v>55</v>
      </c>
      <c r="Y174" s="4" t="n">
        <f aca="false">'City Data'!L174</f>
        <v>140</v>
      </c>
      <c r="Z174" s="4" t="n">
        <f aca="false">'City Data'!M174</f>
        <v>435</v>
      </c>
      <c r="AA174" s="4" t="n">
        <f aca="false">U174-X174</f>
        <v>46.41</v>
      </c>
      <c r="AB174" s="4" t="n">
        <f aca="false">V174-Y174</f>
        <v>72.96</v>
      </c>
      <c r="AC174" s="4" t="n">
        <f aca="false">W174-Z174</f>
        <v>130.41</v>
      </c>
      <c r="AD174" s="4" t="str">
        <f aca="false">IF(OR(AND(X174&lt;&gt;0,ABS(AA174)&gt;Assumptions!$B$18*X174),AND(Y174&lt;&gt;0,ABS(AB174)&gt;Assumptions!$B$18*Y174),AND(Z174&lt;&gt;0,ABS(AC174)&gt;Assumptions!$B$18*Z174)),"REVIEW","")</f>
        <v>REVIEW</v>
      </c>
    </row>
    <row r="175" customFormat="false" ht="15" hidden="false" customHeight="false" outlineLevel="0" collapsed="false">
      <c r="A175" s="0" t="str">
        <f aca="false">'City Data'!A175</f>
        <v>N'Djamena</v>
      </c>
      <c r="B175" s="4" t="n">
        <f aca="false">'City Data'!B175/Assumptions!$B$2</f>
        <v>15</v>
      </c>
      <c r="C175" s="4" t="n">
        <f aca="false">'City Data'!C175/Assumptions!$B$2</f>
        <v>45</v>
      </c>
      <c r="D175" s="4" t="n">
        <f aca="false">'City Data'!D175/Assumptions!$B$2</f>
        <v>125</v>
      </c>
      <c r="E175" s="4" t="n">
        <f aca="false">Assumptions!$B$3*Assumptions!$B$4*'City Data'!E175</f>
        <v>30</v>
      </c>
      <c r="F175" s="4" t="n">
        <f aca="false">Assumptions!$B$3*Assumptions!$B$5*'City Data'!E175</f>
        <v>54</v>
      </c>
      <c r="G175" s="4" t="n">
        <f aca="false">Assumptions!$B$3*Assumptions!$B$6*'City Data'!E175</f>
        <v>105</v>
      </c>
      <c r="H175" s="4" t="n">
        <f aca="false">Assumptions!$B$7*'City Data'!F175</f>
        <v>6</v>
      </c>
      <c r="I175" s="4" t="n">
        <f aca="false">Assumptions!$B$8*'City Data'!F175</f>
        <v>12</v>
      </c>
      <c r="J175" s="4" t="n">
        <f aca="false">Assumptions!$B$9*'City Data'!F175</f>
        <v>24</v>
      </c>
      <c r="K175" s="4" t="n">
        <f aca="false">'City Data'!G175+'City Data'!H175</f>
        <v>3.5</v>
      </c>
      <c r="L175" s="4" t="n">
        <f aca="false">IF(AND(Assumptions!$B$13,ISNUMBER('City Data'!I175)),Assumptions!$B$10*'City Data'!I175,0)</f>
        <v>4</v>
      </c>
      <c r="M175" s="4" t="n">
        <f aca="false">IF(AND(Assumptions!$B$13,ISNUMBER('City Data'!I175)),Assumptions!$B$11*'City Data'!I175,0)</f>
        <v>8</v>
      </c>
      <c r="N175" s="4" t="n">
        <f aca="false">IF(AND(Assumptions!$B$13,ISNUMBER('City Data'!I175)),Assumptions!$B$12*'City Data'!I175,0)</f>
        <v>12</v>
      </c>
      <c r="O175" s="4" t="n">
        <f aca="false">B175+E175+H175+K175</f>
        <v>54.5</v>
      </c>
      <c r="P175" s="4" t="n">
        <f aca="false">C175+F175+I175+K175</f>
        <v>114.5</v>
      </c>
      <c r="Q175" s="4" t="n">
        <f aca="false">D175+G175+J175+K175</f>
        <v>257.5</v>
      </c>
      <c r="R175" s="4" t="n">
        <f aca="false">IF(Assumptions!$B$14,Assumptions!$B$15*O175,0)</f>
        <v>5.45</v>
      </c>
      <c r="S175" s="4" t="n">
        <f aca="false">IF(Assumptions!$B$14,Assumptions!$B$16*P175,0)</f>
        <v>22.9</v>
      </c>
      <c r="T175" s="4" t="n">
        <f aca="false">IF(Assumptions!$B$14,Assumptions!$B$17*Q175,0)</f>
        <v>90.125</v>
      </c>
      <c r="U175" s="4" t="n">
        <f aca="false">O175+L175+R175</f>
        <v>63.95</v>
      </c>
      <c r="V175" s="4" t="n">
        <f aca="false">P175+M175+S175</f>
        <v>145.4</v>
      </c>
      <c r="W175" s="4" t="n">
        <f aca="false">Q175+N175+T175</f>
        <v>359.625</v>
      </c>
      <c r="X175" s="4" t="n">
        <f aca="false">'City Data'!K175</f>
        <v>40</v>
      </c>
      <c r="Y175" s="4" t="n">
        <f aca="false">'City Data'!L175</f>
        <v>105</v>
      </c>
      <c r="Z175" s="4" t="n">
        <f aca="false">'City Data'!M175</f>
        <v>320</v>
      </c>
      <c r="AA175" s="4" t="n">
        <f aca="false">U175-X175</f>
        <v>23.95</v>
      </c>
      <c r="AB175" s="4" t="n">
        <f aca="false">V175-Y175</f>
        <v>40.4</v>
      </c>
      <c r="AC175" s="4" t="n">
        <f aca="false">W175-Z175</f>
        <v>39.625</v>
      </c>
      <c r="AD175" s="4" t="str">
        <f aca="false">IF(OR(AND(X175&lt;&gt;0,ABS(AA175)&gt;Assumptions!$B$18*X175),AND(Y175&lt;&gt;0,ABS(AB175)&gt;Assumptions!$B$18*Y175),AND(Z175&lt;&gt;0,ABS(AC175)&gt;Assumptions!$B$18*Z175)),"REVIEW","")</f>
        <v>REVIEW</v>
      </c>
    </row>
    <row r="176" customFormat="false" ht="15" hidden="false" customHeight="false" outlineLevel="0" collapsed="false">
      <c r="A176" s="0" t="str">
        <f aca="false">'City Data'!A176</f>
        <v>Nadi</v>
      </c>
      <c r="B176" s="4" t="n">
        <f aca="false">'City Data'!B176/Assumptions!$B$2</f>
        <v>15</v>
      </c>
      <c r="C176" s="4" t="n">
        <f aca="false">'City Data'!C176/Assumptions!$B$2</f>
        <v>45</v>
      </c>
      <c r="D176" s="4" t="n">
        <f aca="false">'City Data'!D176/Assumptions!$B$2</f>
        <v>225</v>
      </c>
      <c r="E176" s="4" t="n">
        <f aca="false">Assumptions!$B$3*Assumptions!$B$4*'City Data'!E176</f>
        <v>45</v>
      </c>
      <c r="F176" s="4" t="n">
        <f aca="false">Assumptions!$B$3*Assumptions!$B$5*'City Data'!E176</f>
        <v>81</v>
      </c>
      <c r="G176" s="4" t="n">
        <f aca="false">Assumptions!$B$3*Assumptions!$B$6*'City Data'!E176</f>
        <v>157.5</v>
      </c>
      <c r="H176" s="4" t="n">
        <f aca="false">Assumptions!$B$7*'City Data'!F176</f>
        <v>7</v>
      </c>
      <c r="I176" s="4" t="n">
        <f aca="false">Assumptions!$B$8*'City Data'!F176</f>
        <v>14</v>
      </c>
      <c r="J176" s="4" t="n">
        <f aca="false">Assumptions!$B$9*'City Data'!F176</f>
        <v>28</v>
      </c>
      <c r="K176" s="4" t="n">
        <f aca="false">'City Data'!G176+'City Data'!H176</f>
        <v>5</v>
      </c>
      <c r="L176" s="4" t="n">
        <f aca="false">IF(AND(Assumptions!$B$13,ISNUMBER('City Data'!I176)),Assumptions!$B$10*'City Data'!I176,0)</f>
        <v>4</v>
      </c>
      <c r="M176" s="4" t="n">
        <f aca="false">IF(AND(Assumptions!$B$13,ISNUMBER('City Data'!I176)),Assumptions!$B$11*'City Data'!I176,0)</f>
        <v>8</v>
      </c>
      <c r="N176" s="4" t="n">
        <f aca="false">IF(AND(Assumptions!$B$13,ISNUMBER('City Data'!I176)),Assumptions!$B$12*'City Data'!I176,0)</f>
        <v>12</v>
      </c>
      <c r="O176" s="4" t="n">
        <f aca="false">B176+E176+H176+K176</f>
        <v>72</v>
      </c>
      <c r="P176" s="4" t="n">
        <f aca="false">C176+F176+I176+K176</f>
        <v>145</v>
      </c>
      <c r="Q176" s="4" t="n">
        <f aca="false">D176+G176+J176+K176</f>
        <v>415.5</v>
      </c>
      <c r="R176" s="4" t="n">
        <f aca="false">IF(Assumptions!$B$14,Assumptions!$B$15*O176,0)</f>
        <v>7.2</v>
      </c>
      <c r="S176" s="4" t="n">
        <f aca="false">IF(Assumptions!$B$14,Assumptions!$B$16*P176,0)</f>
        <v>29</v>
      </c>
      <c r="T176" s="4" t="n">
        <f aca="false">IF(Assumptions!$B$14,Assumptions!$B$17*Q176,0)</f>
        <v>145.425</v>
      </c>
      <c r="U176" s="4" t="n">
        <f aca="false">O176+L176+R176</f>
        <v>83.2</v>
      </c>
      <c r="V176" s="4" t="n">
        <f aca="false">P176+M176+S176</f>
        <v>182</v>
      </c>
      <c r="W176" s="4" t="n">
        <f aca="false">Q176+N176+T176</f>
        <v>572.925</v>
      </c>
      <c r="X176" s="4" t="n">
        <f aca="false">'City Data'!K176</f>
        <v>50</v>
      </c>
      <c r="Y176" s="4" t="n">
        <f aca="false">'City Data'!L176</f>
        <v>140</v>
      </c>
      <c r="Z176" s="4" t="n">
        <f aca="false">'City Data'!M176</f>
        <v>450</v>
      </c>
      <c r="AA176" s="4" t="n">
        <f aca="false">U176-X176</f>
        <v>33.2</v>
      </c>
      <c r="AB176" s="4" t="n">
        <f aca="false">V176-Y176</f>
        <v>42</v>
      </c>
      <c r="AC176" s="4" t="n">
        <f aca="false">W176-Z176</f>
        <v>122.925</v>
      </c>
      <c r="AD176" s="4" t="str">
        <f aca="false">IF(OR(AND(X176&lt;&gt;0,ABS(AA176)&gt;Assumptions!$B$18*X176),AND(Y176&lt;&gt;0,ABS(AB176)&gt;Assumptions!$B$18*Y176),AND(Z176&lt;&gt;0,ABS(AC176)&gt;Assumptions!$B$18*Z176)),"REVIEW","")</f>
        <v>REVIEW</v>
      </c>
    </row>
    <row r="177" customFormat="false" ht="15" hidden="false" customHeight="false" outlineLevel="0" collapsed="false">
      <c r="A177" s="0" t="str">
        <f aca="false">'City Data'!A177</f>
        <v>Nairobi</v>
      </c>
      <c r="B177" s="4" t="n">
        <f aca="false">'City Data'!B177/Assumptions!$B$2</f>
        <v>10</v>
      </c>
      <c r="C177" s="4" t="n">
        <f aca="false">'City Data'!C177/Assumptions!$B$2</f>
        <v>45</v>
      </c>
      <c r="D177" s="4" t="n">
        <f aca="false">'City Data'!D177/Assumptions!$B$2</f>
        <v>175</v>
      </c>
      <c r="E177" s="4" t="n">
        <f aca="false">Assumptions!$B$3*Assumptions!$B$4*'City Data'!E177</f>
        <v>36</v>
      </c>
      <c r="F177" s="4" t="n">
        <f aca="false">Assumptions!$B$3*Assumptions!$B$5*'City Data'!E177</f>
        <v>64.8</v>
      </c>
      <c r="G177" s="4" t="n">
        <f aca="false">Assumptions!$B$3*Assumptions!$B$6*'City Data'!E177</f>
        <v>126</v>
      </c>
      <c r="H177" s="4" t="n">
        <f aca="false">Assumptions!$B$7*'City Data'!F177</f>
        <v>8</v>
      </c>
      <c r="I177" s="4" t="n">
        <f aca="false">Assumptions!$B$8*'City Data'!F177</f>
        <v>16</v>
      </c>
      <c r="J177" s="4" t="n">
        <f aca="false">Assumptions!$B$9*'City Data'!F177</f>
        <v>32</v>
      </c>
      <c r="K177" s="4" t="n">
        <f aca="false">'City Data'!G177+'City Data'!H177</f>
        <v>3.7</v>
      </c>
      <c r="L177" s="4" t="n">
        <f aca="false">IF(AND(Assumptions!$B$13,ISNUMBER('City Data'!I177)),Assumptions!$B$10*'City Data'!I177,0)</f>
        <v>3</v>
      </c>
      <c r="M177" s="4" t="n">
        <f aca="false">IF(AND(Assumptions!$B$13,ISNUMBER('City Data'!I177)),Assumptions!$B$11*'City Data'!I177,0)</f>
        <v>6</v>
      </c>
      <c r="N177" s="4" t="n">
        <f aca="false">IF(AND(Assumptions!$B$13,ISNUMBER('City Data'!I177)),Assumptions!$B$12*'City Data'!I177,0)</f>
        <v>9</v>
      </c>
      <c r="O177" s="4" t="n">
        <f aca="false">B177+E177+H177+K177</f>
        <v>57.7</v>
      </c>
      <c r="P177" s="4" t="n">
        <f aca="false">C177+F177+I177+K177</f>
        <v>129.5</v>
      </c>
      <c r="Q177" s="4" t="n">
        <f aca="false">D177+G177+J177+K177</f>
        <v>336.7</v>
      </c>
      <c r="R177" s="4" t="n">
        <f aca="false">IF(Assumptions!$B$14,Assumptions!$B$15*O177,0)</f>
        <v>5.77</v>
      </c>
      <c r="S177" s="4" t="n">
        <f aca="false">IF(Assumptions!$B$14,Assumptions!$B$16*P177,0)</f>
        <v>25.9</v>
      </c>
      <c r="T177" s="4" t="n">
        <f aca="false">IF(Assumptions!$B$14,Assumptions!$B$17*Q177,0)</f>
        <v>117.845</v>
      </c>
      <c r="U177" s="4" t="n">
        <f aca="false">O177+L177+R177</f>
        <v>66.47</v>
      </c>
      <c r="V177" s="4" t="n">
        <f aca="false">P177+M177+S177</f>
        <v>161.4</v>
      </c>
      <c r="W177" s="4" t="n">
        <f aca="false">Q177+N177+T177</f>
        <v>463.545</v>
      </c>
      <c r="X177" s="4" t="n">
        <f aca="false">'City Data'!K177</f>
        <v>45</v>
      </c>
      <c r="Y177" s="4" t="n">
        <f aca="false">'City Data'!L177</f>
        <v>115</v>
      </c>
      <c r="Z177" s="4" t="n">
        <f aca="false">'City Data'!M177</f>
        <v>365</v>
      </c>
      <c r="AA177" s="4" t="n">
        <f aca="false">U177-X177</f>
        <v>21.47</v>
      </c>
      <c r="AB177" s="4" t="n">
        <f aca="false">V177-Y177</f>
        <v>46.4</v>
      </c>
      <c r="AC177" s="4" t="n">
        <f aca="false">W177-Z177</f>
        <v>98.545</v>
      </c>
      <c r="AD177" s="4" t="str">
        <f aca="false">IF(OR(AND(X177&lt;&gt;0,ABS(AA177)&gt;Assumptions!$B$18*X177),AND(Y177&lt;&gt;0,ABS(AB177)&gt;Assumptions!$B$18*Y177),AND(Z177&lt;&gt;0,ABS(AC177)&gt;Assumptions!$B$18*Z177)),"REVIEW","")</f>
        <v>REVIEW</v>
      </c>
    </row>
    <row r="178" customFormat="false" ht="15" hidden="false" customHeight="false" outlineLevel="0" collapsed="false">
      <c r="A178" s="0" t="str">
        <f aca="false">'City Data'!A178</f>
        <v>Nanchong</v>
      </c>
      <c r="B178" s="4" t="n">
        <f aca="false">'City Data'!B178/Assumptions!$B$2</f>
        <v>9</v>
      </c>
      <c r="C178" s="4" t="n">
        <f aca="false">'City Data'!C178/Assumptions!$B$2</f>
        <v>20</v>
      </c>
      <c r="D178" s="4" t="n">
        <f aca="false">'City Data'!D178/Assumptions!$B$2</f>
        <v>45</v>
      </c>
      <c r="E178" s="4" t="n">
        <f aca="false">Assumptions!$B$3*Assumptions!$B$4*'City Data'!E178</f>
        <v>18</v>
      </c>
      <c r="F178" s="4" t="n">
        <f aca="false">Assumptions!$B$3*Assumptions!$B$5*'City Data'!E178</f>
        <v>32.4</v>
      </c>
      <c r="G178" s="4" t="n">
        <f aca="false">Assumptions!$B$3*Assumptions!$B$6*'City Data'!E178</f>
        <v>63</v>
      </c>
      <c r="H178" s="4" t="n">
        <f aca="false">Assumptions!$B$7*'City Data'!F178</f>
        <v>3</v>
      </c>
      <c r="I178" s="4" t="n">
        <f aca="false">Assumptions!$B$8*'City Data'!F178</f>
        <v>6</v>
      </c>
      <c r="J178" s="4" t="n">
        <f aca="false">Assumptions!$B$9*'City Data'!F178</f>
        <v>12</v>
      </c>
      <c r="K178" s="4" t="n">
        <f aca="false">'City Data'!G178+'City Data'!H178</f>
        <v>4</v>
      </c>
      <c r="L178" s="4" t="n">
        <f aca="false">IF(AND(Assumptions!$B$13,ISNUMBER('City Data'!I178)),Assumptions!$B$10*'City Data'!I178,0)</f>
        <v>1.2</v>
      </c>
      <c r="M178" s="4" t="n">
        <f aca="false">IF(AND(Assumptions!$B$13,ISNUMBER('City Data'!I178)),Assumptions!$B$11*'City Data'!I178,0)</f>
        <v>2.4</v>
      </c>
      <c r="N178" s="4" t="n">
        <f aca="false">IF(AND(Assumptions!$B$13,ISNUMBER('City Data'!I178)),Assumptions!$B$12*'City Data'!I178,0)</f>
        <v>3.6</v>
      </c>
      <c r="O178" s="4" t="n">
        <f aca="false">B178+E178+H178+K178</f>
        <v>34</v>
      </c>
      <c r="P178" s="4" t="n">
        <f aca="false">C178+F178+I178+K178</f>
        <v>62.4</v>
      </c>
      <c r="Q178" s="4" t="n">
        <f aca="false">D178+G178+J178+K178</f>
        <v>124</v>
      </c>
      <c r="R178" s="4" t="n">
        <f aca="false">IF(Assumptions!$B$14,Assumptions!$B$15*O178,0)</f>
        <v>3.4</v>
      </c>
      <c r="S178" s="4" t="n">
        <f aca="false">IF(Assumptions!$B$14,Assumptions!$B$16*P178,0)</f>
        <v>12.48</v>
      </c>
      <c r="T178" s="4" t="n">
        <f aca="false">IF(Assumptions!$B$14,Assumptions!$B$17*Q178,0)</f>
        <v>43.4</v>
      </c>
      <c r="U178" s="4" t="n">
        <f aca="false">O178+L178+R178</f>
        <v>38.6</v>
      </c>
      <c r="V178" s="4" t="n">
        <f aca="false">P178+M178+S178</f>
        <v>77.28</v>
      </c>
      <c r="W178" s="4" t="n">
        <f aca="false">Q178+N178+T178</f>
        <v>171</v>
      </c>
      <c r="X178" s="4" t="n">
        <f aca="false">'City Data'!K178</f>
        <v>25</v>
      </c>
      <c r="Y178" s="4" t="n">
        <f aca="false">'City Data'!L178</f>
        <v>55</v>
      </c>
      <c r="Z178" s="4" t="n">
        <f aca="false">'City Data'!M178</f>
        <v>150</v>
      </c>
      <c r="AA178" s="4" t="n">
        <f aca="false">U178-X178</f>
        <v>13.6</v>
      </c>
      <c r="AB178" s="4" t="n">
        <f aca="false">V178-Y178</f>
        <v>22.28</v>
      </c>
      <c r="AC178" s="4" t="n">
        <f aca="false">W178-Z178</f>
        <v>21</v>
      </c>
      <c r="AD178" s="4" t="str">
        <f aca="false">IF(OR(AND(X178&lt;&gt;0,ABS(AA178)&gt;Assumptions!$B$18*X178),AND(Y178&lt;&gt;0,ABS(AB178)&gt;Assumptions!$B$18*Y178),AND(Z178&lt;&gt;0,ABS(AC178)&gt;Assumptions!$B$18*Z178)),"REVIEW","")</f>
        <v>REVIEW</v>
      </c>
    </row>
    <row r="179" customFormat="false" ht="15" hidden="false" customHeight="false" outlineLevel="0" collapsed="false">
      <c r="A179" s="0" t="str">
        <f aca="false">'City Data'!A179</f>
        <v>Nanjing</v>
      </c>
      <c r="B179" s="4" t="n">
        <f aca="false">'City Data'!B179/Assumptions!$B$2</f>
        <v>10</v>
      </c>
      <c r="C179" s="4" t="n">
        <f aca="false">'City Data'!C179/Assumptions!$B$2</f>
        <v>27.5</v>
      </c>
      <c r="D179" s="4" t="n">
        <f aca="false">'City Data'!D179/Assumptions!$B$2</f>
        <v>65</v>
      </c>
      <c r="E179" s="4" t="n">
        <f aca="false">Assumptions!$B$3*Assumptions!$B$4*'City Data'!E179</f>
        <v>18</v>
      </c>
      <c r="F179" s="4" t="n">
        <f aca="false">Assumptions!$B$3*Assumptions!$B$5*'City Data'!E179</f>
        <v>32.4</v>
      </c>
      <c r="G179" s="4" t="n">
        <f aca="false">Assumptions!$B$3*Assumptions!$B$6*'City Data'!E179</f>
        <v>63</v>
      </c>
      <c r="H179" s="4" t="n">
        <f aca="false">Assumptions!$B$7*'City Data'!F179</f>
        <v>3</v>
      </c>
      <c r="I179" s="4" t="n">
        <f aca="false">Assumptions!$B$8*'City Data'!F179</f>
        <v>6</v>
      </c>
      <c r="J179" s="4" t="n">
        <f aca="false">Assumptions!$B$9*'City Data'!F179</f>
        <v>12</v>
      </c>
      <c r="K179" s="4" t="n">
        <f aca="false">'City Data'!G179+'City Data'!H179</f>
        <v>4.5</v>
      </c>
      <c r="L179" s="4" t="n">
        <f aca="false">IF(AND(Assumptions!$B$13,ISNUMBER('City Data'!I179)),Assumptions!$B$10*'City Data'!I179,0)</f>
        <v>1.5</v>
      </c>
      <c r="M179" s="4" t="n">
        <f aca="false">IF(AND(Assumptions!$B$13,ISNUMBER('City Data'!I179)),Assumptions!$B$11*'City Data'!I179,0)</f>
        <v>3</v>
      </c>
      <c r="N179" s="4" t="n">
        <f aca="false">IF(AND(Assumptions!$B$13,ISNUMBER('City Data'!I179)),Assumptions!$B$12*'City Data'!I179,0)</f>
        <v>4.5</v>
      </c>
      <c r="O179" s="4" t="n">
        <f aca="false">B179+E179+H179+K179</f>
        <v>35.5</v>
      </c>
      <c r="P179" s="4" t="n">
        <f aca="false">C179+F179+I179+K179</f>
        <v>70.4</v>
      </c>
      <c r="Q179" s="4" t="n">
        <f aca="false">D179+G179+J179+K179</f>
        <v>144.5</v>
      </c>
      <c r="R179" s="4" t="n">
        <f aca="false">IF(Assumptions!$B$14,Assumptions!$B$15*O179,0)</f>
        <v>3.55</v>
      </c>
      <c r="S179" s="4" t="n">
        <f aca="false">IF(Assumptions!$B$14,Assumptions!$B$16*P179,0)</f>
        <v>14.08</v>
      </c>
      <c r="T179" s="4" t="n">
        <f aca="false">IF(Assumptions!$B$14,Assumptions!$B$17*Q179,0)</f>
        <v>50.575</v>
      </c>
      <c r="U179" s="4" t="n">
        <f aca="false">O179+L179+R179</f>
        <v>40.55</v>
      </c>
      <c r="V179" s="4" t="n">
        <f aca="false">P179+M179+S179</f>
        <v>87.48</v>
      </c>
      <c r="W179" s="4" t="n">
        <f aca="false">Q179+N179+T179</f>
        <v>199.575</v>
      </c>
      <c r="X179" s="4" t="n">
        <f aca="false">'City Data'!K179</f>
        <v>30</v>
      </c>
      <c r="Y179" s="4" t="n">
        <f aca="false">'City Data'!L179</f>
        <v>75</v>
      </c>
      <c r="Z179" s="4" t="n">
        <f aca="false">'City Data'!M179</f>
        <v>220</v>
      </c>
      <c r="AA179" s="4" t="n">
        <f aca="false">U179-X179</f>
        <v>10.55</v>
      </c>
      <c r="AB179" s="4" t="n">
        <f aca="false">V179-Y179</f>
        <v>12.48</v>
      </c>
      <c r="AC179" s="4" t="n">
        <f aca="false">W179-Z179</f>
        <v>-20.425</v>
      </c>
      <c r="AD179" s="4" t="str">
        <f aca="false">IF(OR(AND(X179&lt;&gt;0,ABS(AA179)&gt;Assumptions!$B$18*X179),AND(Y179&lt;&gt;0,ABS(AB179)&gt;Assumptions!$B$18*Y179),AND(Z179&lt;&gt;0,ABS(AC179)&gt;Assumptions!$B$18*Z179)),"REVIEW","")</f>
        <v>REVIEW</v>
      </c>
    </row>
    <row r="180" customFormat="false" ht="15" hidden="false" customHeight="false" outlineLevel="0" collapsed="false">
      <c r="A180" s="0" t="str">
        <f aca="false">'City Data'!A180</f>
        <v>Nassau</v>
      </c>
      <c r="B180" s="4" t="n">
        <f aca="false">'City Data'!B180/Assumptions!$B$2</f>
        <v>45</v>
      </c>
      <c r="C180" s="4" t="n">
        <f aca="false">'City Data'!C180/Assumptions!$B$2</f>
        <v>110</v>
      </c>
      <c r="D180" s="4" t="n">
        <f aca="false">'City Data'!D180/Assumptions!$B$2</f>
        <v>225</v>
      </c>
      <c r="E180" s="4" t="n">
        <f aca="false">Assumptions!$B$3*Assumptions!$B$4*'City Data'!E180</f>
        <v>75</v>
      </c>
      <c r="F180" s="4" t="n">
        <f aca="false">Assumptions!$B$3*Assumptions!$B$5*'City Data'!E180</f>
        <v>135</v>
      </c>
      <c r="G180" s="4" t="n">
        <f aca="false">Assumptions!$B$3*Assumptions!$B$6*'City Data'!E180</f>
        <v>262.5</v>
      </c>
      <c r="H180" s="4" t="n">
        <f aca="false">Assumptions!$B$7*'City Data'!F180</f>
        <v>15</v>
      </c>
      <c r="I180" s="4" t="n">
        <f aca="false">Assumptions!$B$8*'City Data'!F180</f>
        <v>30</v>
      </c>
      <c r="J180" s="4" t="n">
        <f aca="false">Assumptions!$B$9*'City Data'!F180</f>
        <v>60</v>
      </c>
      <c r="K180" s="4" t="n">
        <f aca="false">'City Data'!G180+'City Data'!H180</f>
        <v>6</v>
      </c>
      <c r="L180" s="4" t="n">
        <f aca="false">IF(AND(Assumptions!$B$13,ISNUMBER('City Data'!I180)),Assumptions!$B$10*'City Data'!I180,0)</f>
        <v>6</v>
      </c>
      <c r="M180" s="4" t="n">
        <f aca="false">IF(AND(Assumptions!$B$13,ISNUMBER('City Data'!I180)),Assumptions!$B$11*'City Data'!I180,0)</f>
        <v>12</v>
      </c>
      <c r="N180" s="4" t="n">
        <f aca="false">IF(AND(Assumptions!$B$13,ISNUMBER('City Data'!I180)),Assumptions!$B$12*'City Data'!I180,0)</f>
        <v>18</v>
      </c>
      <c r="O180" s="4" t="n">
        <f aca="false">B180+E180+H180+K180</f>
        <v>141</v>
      </c>
      <c r="P180" s="4" t="n">
        <f aca="false">C180+F180+I180+K180</f>
        <v>281</v>
      </c>
      <c r="Q180" s="4" t="n">
        <f aca="false">D180+G180+J180+K180</f>
        <v>553.5</v>
      </c>
      <c r="R180" s="4" t="n">
        <f aca="false">IF(Assumptions!$B$14,Assumptions!$B$15*O180,0)</f>
        <v>14.1</v>
      </c>
      <c r="S180" s="4" t="n">
        <f aca="false">IF(Assumptions!$B$14,Assumptions!$B$16*P180,0)</f>
        <v>56.2</v>
      </c>
      <c r="T180" s="4" t="n">
        <f aca="false">IF(Assumptions!$B$14,Assumptions!$B$17*Q180,0)</f>
        <v>193.725</v>
      </c>
      <c r="U180" s="4" t="n">
        <f aca="false">O180+L180+R180</f>
        <v>161.1</v>
      </c>
      <c r="V180" s="4" t="n">
        <f aca="false">P180+M180+S180</f>
        <v>349.2</v>
      </c>
      <c r="W180" s="4" t="n">
        <f aca="false">Q180+N180+T180</f>
        <v>765.225</v>
      </c>
      <c r="X180" s="4" t="n">
        <f aca="false">'City Data'!K180</f>
        <v>85</v>
      </c>
      <c r="Y180" s="4" t="n">
        <f aca="false">'City Data'!L180</f>
        <v>215</v>
      </c>
      <c r="Z180" s="4" t="n">
        <f aca="false">'City Data'!M180</f>
        <v>615</v>
      </c>
      <c r="AA180" s="4" t="n">
        <f aca="false">U180-X180</f>
        <v>76.1</v>
      </c>
      <c r="AB180" s="4" t="n">
        <f aca="false">V180-Y180</f>
        <v>134.2</v>
      </c>
      <c r="AC180" s="4" t="n">
        <f aca="false">W180-Z180</f>
        <v>150.225</v>
      </c>
      <c r="AD180" s="4" t="str">
        <f aca="false">IF(OR(AND(X180&lt;&gt;0,ABS(AA180)&gt;Assumptions!$B$18*X180),AND(Y180&lt;&gt;0,ABS(AB180)&gt;Assumptions!$B$18*Y180),AND(Z180&lt;&gt;0,ABS(AC180)&gt;Assumptions!$B$18*Z180)),"REVIEW","")</f>
        <v>REVIEW</v>
      </c>
    </row>
    <row r="181" customFormat="false" ht="15" hidden="false" customHeight="false" outlineLevel="0" collapsed="false">
      <c r="A181" s="0" t="str">
        <f aca="false">'City Data'!A181</f>
        <v>New York</v>
      </c>
      <c r="B181" s="4" t="n">
        <f aca="false">'City Data'!B181/Assumptions!$B$2</f>
        <v>60</v>
      </c>
      <c r="C181" s="4" t="n">
        <f aca="false">'City Data'!C181/Assumptions!$B$2</f>
        <v>125</v>
      </c>
      <c r="D181" s="4" t="n">
        <f aca="false">'City Data'!D181/Assumptions!$B$2</f>
        <v>275</v>
      </c>
      <c r="E181" s="4" t="n">
        <f aca="false">Assumptions!$B$3*Assumptions!$B$4*'City Data'!E181</f>
        <v>105</v>
      </c>
      <c r="F181" s="4" t="n">
        <f aca="false">Assumptions!$B$3*Assumptions!$B$5*'City Data'!E181</f>
        <v>189</v>
      </c>
      <c r="G181" s="4" t="n">
        <f aca="false">Assumptions!$B$3*Assumptions!$B$6*'City Data'!E181</f>
        <v>367.5</v>
      </c>
      <c r="H181" s="4" t="n">
        <f aca="false">Assumptions!$B$7*'City Data'!F181</f>
        <v>25</v>
      </c>
      <c r="I181" s="4" t="n">
        <f aca="false">Assumptions!$B$8*'City Data'!F181</f>
        <v>50</v>
      </c>
      <c r="J181" s="4" t="n">
        <f aca="false">Assumptions!$B$9*'City Data'!F181</f>
        <v>100</v>
      </c>
      <c r="K181" s="4" t="n">
        <f aca="false">'City Data'!G181+'City Data'!H181</f>
        <v>6</v>
      </c>
      <c r="L181" s="4" t="n">
        <f aca="false">IF(AND(Assumptions!$B$13,ISNUMBER('City Data'!I181)),Assumptions!$B$10*'City Data'!I181,0)</f>
        <v>8</v>
      </c>
      <c r="M181" s="4" t="n">
        <f aca="false">IF(AND(Assumptions!$B$13,ISNUMBER('City Data'!I181)),Assumptions!$B$11*'City Data'!I181,0)</f>
        <v>16</v>
      </c>
      <c r="N181" s="4" t="n">
        <f aca="false">IF(AND(Assumptions!$B$13,ISNUMBER('City Data'!I181)),Assumptions!$B$12*'City Data'!I181,0)</f>
        <v>24</v>
      </c>
      <c r="O181" s="4" t="n">
        <f aca="false">B181+E181+H181+K181</f>
        <v>196</v>
      </c>
      <c r="P181" s="4" t="n">
        <f aca="false">C181+F181+I181+K181</f>
        <v>370</v>
      </c>
      <c r="Q181" s="4" t="n">
        <f aca="false">D181+G181+J181+K181</f>
        <v>748.5</v>
      </c>
      <c r="R181" s="4" t="n">
        <f aca="false">IF(Assumptions!$B$14,Assumptions!$B$15*O181,0)</f>
        <v>19.6</v>
      </c>
      <c r="S181" s="4" t="n">
        <f aca="false">IF(Assumptions!$B$14,Assumptions!$B$16*P181,0)</f>
        <v>74</v>
      </c>
      <c r="T181" s="4" t="n">
        <f aca="false">IF(Assumptions!$B$14,Assumptions!$B$17*Q181,0)</f>
        <v>261.975</v>
      </c>
      <c r="U181" s="4" t="n">
        <f aca="false">O181+L181+R181</f>
        <v>223.6</v>
      </c>
      <c r="V181" s="4" t="n">
        <f aca="false">P181+M181+S181</f>
        <v>460</v>
      </c>
      <c r="W181" s="4" t="n">
        <f aca="false">Q181+N181+T181</f>
        <v>1034.475</v>
      </c>
      <c r="X181" s="4" t="n">
        <f aca="false">'City Data'!K181</f>
        <v>120</v>
      </c>
      <c r="Y181" s="4" t="n">
        <f aca="false">'City Data'!L181</f>
        <v>300</v>
      </c>
      <c r="Z181" s="4" t="n">
        <f aca="false">'City Data'!M181</f>
        <v>800</v>
      </c>
      <c r="AA181" s="4" t="n">
        <f aca="false">U181-X181</f>
        <v>103.6</v>
      </c>
      <c r="AB181" s="4" t="n">
        <f aca="false">V181-Y181</f>
        <v>160</v>
      </c>
      <c r="AC181" s="4" t="n">
        <f aca="false">W181-Z181</f>
        <v>234.475</v>
      </c>
      <c r="AD181" s="4" t="str">
        <f aca="false">IF(OR(AND(X181&lt;&gt;0,ABS(AA181)&gt;Assumptions!$B$18*X181),AND(Y181&lt;&gt;0,ABS(AB181)&gt;Assumptions!$B$18*Y181),AND(Z181&lt;&gt;0,ABS(AC181)&gt;Assumptions!$B$18*Z181)),"REVIEW","")</f>
        <v>REVIEW</v>
      </c>
    </row>
    <row r="182" customFormat="false" ht="15" hidden="false" customHeight="false" outlineLevel="0" collapsed="false">
      <c r="A182" s="0" t="str">
        <f aca="false">'City Data'!A182</f>
        <v>Niamey</v>
      </c>
      <c r="B182" s="4" t="n">
        <f aca="false">'City Data'!B182/Assumptions!$B$2</f>
        <v>15</v>
      </c>
      <c r="C182" s="4" t="n">
        <f aca="false">'City Data'!C182/Assumptions!$B$2</f>
        <v>45</v>
      </c>
      <c r="D182" s="4" t="n">
        <f aca="false">'City Data'!D182/Assumptions!$B$2</f>
        <v>125</v>
      </c>
      <c r="E182" s="4" t="n">
        <f aca="false">Assumptions!$B$3*Assumptions!$B$4*'City Data'!E182</f>
        <v>24</v>
      </c>
      <c r="F182" s="4" t="n">
        <f aca="false">Assumptions!$B$3*Assumptions!$B$5*'City Data'!E182</f>
        <v>43.2</v>
      </c>
      <c r="G182" s="4" t="n">
        <f aca="false">Assumptions!$B$3*Assumptions!$B$6*'City Data'!E182</f>
        <v>84</v>
      </c>
      <c r="H182" s="4" t="n">
        <f aca="false">Assumptions!$B$7*'City Data'!F182</f>
        <v>4</v>
      </c>
      <c r="I182" s="4" t="n">
        <f aca="false">Assumptions!$B$8*'City Data'!F182</f>
        <v>8</v>
      </c>
      <c r="J182" s="4" t="n">
        <f aca="false">Assumptions!$B$9*'City Data'!F182</f>
        <v>16</v>
      </c>
      <c r="K182" s="4" t="n">
        <f aca="false">'City Data'!G182+'City Data'!H182</f>
        <v>3.2</v>
      </c>
      <c r="L182" s="4" t="n">
        <f aca="false">IF(AND(Assumptions!$B$13,ISNUMBER('City Data'!I182)),Assumptions!$B$10*'City Data'!I182,0)</f>
        <v>3</v>
      </c>
      <c r="M182" s="4" t="n">
        <f aca="false">IF(AND(Assumptions!$B$13,ISNUMBER('City Data'!I182)),Assumptions!$B$11*'City Data'!I182,0)</f>
        <v>6</v>
      </c>
      <c r="N182" s="4" t="n">
        <f aca="false">IF(AND(Assumptions!$B$13,ISNUMBER('City Data'!I182)),Assumptions!$B$12*'City Data'!I182,0)</f>
        <v>9</v>
      </c>
      <c r="O182" s="4" t="n">
        <f aca="false">B182+E182+H182+K182</f>
        <v>46.2</v>
      </c>
      <c r="P182" s="4" t="n">
        <f aca="false">C182+F182+I182+K182</f>
        <v>99.4</v>
      </c>
      <c r="Q182" s="4" t="n">
        <f aca="false">D182+G182+J182+K182</f>
        <v>228.2</v>
      </c>
      <c r="R182" s="4" t="n">
        <f aca="false">IF(Assumptions!$B$14,Assumptions!$B$15*O182,0)</f>
        <v>4.62</v>
      </c>
      <c r="S182" s="4" t="n">
        <f aca="false">IF(Assumptions!$B$14,Assumptions!$B$16*P182,0)</f>
        <v>19.88</v>
      </c>
      <c r="T182" s="4" t="n">
        <f aca="false">IF(Assumptions!$B$14,Assumptions!$B$17*Q182,0)</f>
        <v>79.87</v>
      </c>
      <c r="U182" s="4" t="n">
        <f aca="false">O182+L182+R182</f>
        <v>53.82</v>
      </c>
      <c r="V182" s="4" t="n">
        <f aca="false">P182+M182+S182</f>
        <v>125.28</v>
      </c>
      <c r="W182" s="4" t="n">
        <f aca="false">Q182+N182+T182</f>
        <v>317.07</v>
      </c>
      <c r="X182" s="4" t="n">
        <f aca="false">'City Data'!K182</f>
        <v>40</v>
      </c>
      <c r="Y182" s="4" t="n">
        <f aca="false">'City Data'!L182</f>
        <v>100</v>
      </c>
      <c r="Z182" s="4" t="n">
        <f aca="false">'City Data'!M182</f>
        <v>300</v>
      </c>
      <c r="AA182" s="4" t="n">
        <f aca="false">U182-X182</f>
        <v>13.82</v>
      </c>
      <c r="AB182" s="4" t="n">
        <f aca="false">V182-Y182</f>
        <v>25.28</v>
      </c>
      <c r="AC182" s="4" t="n">
        <f aca="false">W182-Z182</f>
        <v>17.07</v>
      </c>
      <c r="AD182" s="4" t="str">
        <f aca="false">IF(OR(AND(X182&lt;&gt;0,ABS(AA182)&gt;Assumptions!$B$18*X182),AND(Y182&lt;&gt;0,ABS(AB182)&gt;Assumptions!$B$18*Y182),AND(Z182&lt;&gt;0,ABS(AC182)&gt;Assumptions!$B$18*Z182)),"REVIEW","")</f>
        <v>REVIEW</v>
      </c>
    </row>
    <row r="183" customFormat="false" ht="15" hidden="false" customHeight="false" outlineLevel="0" collapsed="false">
      <c r="A183" s="0" t="str">
        <f aca="false">'City Data'!A183</f>
        <v>Nice</v>
      </c>
      <c r="B183" s="4" t="n">
        <f aca="false">'City Data'!B183/Assumptions!$B$2</f>
        <v>40</v>
      </c>
      <c r="C183" s="4" t="n">
        <f aca="false">'City Data'!C183/Assumptions!$B$2</f>
        <v>75</v>
      </c>
      <c r="D183" s="4" t="n">
        <f aca="false">'City Data'!D183/Assumptions!$B$2</f>
        <v>200</v>
      </c>
      <c r="E183" s="4" t="n">
        <f aca="false">Assumptions!$B$3*Assumptions!$B$4*'City Data'!E183</f>
        <v>90</v>
      </c>
      <c r="F183" s="4" t="n">
        <f aca="false">Assumptions!$B$3*Assumptions!$B$5*'City Data'!E183</f>
        <v>162</v>
      </c>
      <c r="G183" s="4" t="n">
        <f aca="false">Assumptions!$B$3*Assumptions!$B$6*'City Data'!E183</f>
        <v>315</v>
      </c>
      <c r="H183" s="4" t="n">
        <f aca="false">Assumptions!$B$7*'City Data'!F183</f>
        <v>30</v>
      </c>
      <c r="I183" s="4" t="n">
        <f aca="false">Assumptions!$B$8*'City Data'!F183</f>
        <v>60</v>
      </c>
      <c r="J183" s="4" t="n">
        <f aca="false">Assumptions!$B$9*'City Data'!F183</f>
        <v>120</v>
      </c>
      <c r="K183" s="4" t="n">
        <f aca="false">'City Data'!G183+'City Data'!H183</f>
        <v>5.5</v>
      </c>
      <c r="L183" s="4" t="n">
        <f aca="false">IF(AND(Assumptions!$B$13,ISNUMBER('City Data'!I183)),Assumptions!$B$10*'City Data'!I183,0)</f>
        <v>6.5</v>
      </c>
      <c r="M183" s="4" t="n">
        <f aca="false">IF(AND(Assumptions!$B$13,ISNUMBER('City Data'!I183)),Assumptions!$B$11*'City Data'!I183,0)</f>
        <v>13</v>
      </c>
      <c r="N183" s="4" t="n">
        <f aca="false">IF(AND(Assumptions!$B$13,ISNUMBER('City Data'!I183)),Assumptions!$B$12*'City Data'!I183,0)</f>
        <v>19.5</v>
      </c>
      <c r="O183" s="4" t="n">
        <f aca="false">B183+E183+H183+K183</f>
        <v>165.5</v>
      </c>
      <c r="P183" s="4" t="n">
        <f aca="false">C183+F183+I183+K183</f>
        <v>302.5</v>
      </c>
      <c r="Q183" s="4" t="n">
        <f aca="false">D183+G183+J183+K183</f>
        <v>640.5</v>
      </c>
      <c r="R183" s="4" t="n">
        <f aca="false">IF(Assumptions!$B$14,Assumptions!$B$15*O183,0)</f>
        <v>16.55</v>
      </c>
      <c r="S183" s="4" t="n">
        <f aca="false">IF(Assumptions!$B$14,Assumptions!$B$16*P183,0)</f>
        <v>60.5</v>
      </c>
      <c r="T183" s="4" t="n">
        <f aca="false">IF(Assumptions!$B$14,Assumptions!$B$17*Q183,0)</f>
        <v>224.175</v>
      </c>
      <c r="U183" s="4" t="n">
        <f aca="false">O183+L183+R183</f>
        <v>188.55</v>
      </c>
      <c r="V183" s="4" t="n">
        <f aca="false">P183+M183+S183</f>
        <v>376</v>
      </c>
      <c r="W183" s="4" t="n">
        <f aca="false">Q183+N183+T183</f>
        <v>884.175</v>
      </c>
      <c r="X183" s="4" t="n">
        <f aca="false">'City Data'!K183</f>
        <v>90</v>
      </c>
      <c r="Y183" s="4" t="n">
        <f aca="false">'City Data'!L183</f>
        <v>210</v>
      </c>
      <c r="Z183" s="4" t="n">
        <f aca="false">'City Data'!M183</f>
        <v>600</v>
      </c>
      <c r="AA183" s="4" t="n">
        <f aca="false">U183-X183</f>
        <v>98.55</v>
      </c>
      <c r="AB183" s="4" t="n">
        <f aca="false">V183-Y183</f>
        <v>166</v>
      </c>
      <c r="AC183" s="4" t="n">
        <f aca="false">W183-Z183</f>
        <v>284.175</v>
      </c>
      <c r="AD183" s="4" t="str">
        <f aca="false">IF(OR(AND(X183&lt;&gt;0,ABS(AA183)&gt;Assumptions!$B$18*X183),AND(Y183&lt;&gt;0,ABS(AB183)&gt;Assumptions!$B$18*Y183),AND(Z183&lt;&gt;0,ABS(AC183)&gt;Assumptions!$B$18*Z183)),"REVIEW","")</f>
        <v>REVIEW</v>
      </c>
    </row>
    <row r="184" customFormat="false" ht="15" hidden="false" customHeight="false" outlineLevel="0" collapsed="false">
      <c r="A184" s="0" t="str">
        <f aca="false">'City Data'!A184</f>
        <v>Nicosia</v>
      </c>
      <c r="B184" s="4" t="n">
        <f aca="false">'City Data'!B184/Assumptions!$B$2</f>
        <v>22.5</v>
      </c>
      <c r="C184" s="4" t="n">
        <f aca="false">'City Data'!C184/Assumptions!$B$2</f>
        <v>55</v>
      </c>
      <c r="D184" s="4" t="n">
        <f aca="false">'City Data'!D184/Assumptions!$B$2</f>
        <v>110</v>
      </c>
      <c r="E184" s="4" t="n">
        <f aca="false">Assumptions!$B$3*Assumptions!$B$4*'City Data'!E184</f>
        <v>60</v>
      </c>
      <c r="F184" s="4" t="n">
        <f aca="false">Assumptions!$B$3*Assumptions!$B$5*'City Data'!E184</f>
        <v>108</v>
      </c>
      <c r="G184" s="4" t="n">
        <f aca="false">Assumptions!$B$3*Assumptions!$B$6*'City Data'!E184</f>
        <v>210</v>
      </c>
      <c r="H184" s="4" t="n">
        <f aca="false">Assumptions!$B$7*'City Data'!F184</f>
        <v>9</v>
      </c>
      <c r="I184" s="4" t="n">
        <f aca="false">Assumptions!$B$8*'City Data'!F184</f>
        <v>18</v>
      </c>
      <c r="J184" s="4" t="n">
        <f aca="false">Assumptions!$B$9*'City Data'!F184</f>
        <v>36</v>
      </c>
      <c r="K184" s="4" t="n">
        <f aca="false">'City Data'!G184+'City Data'!H184</f>
        <v>5.3</v>
      </c>
      <c r="L184" s="4" t="n">
        <f aca="false">IF(AND(Assumptions!$B$13,ISNUMBER('City Data'!I184)),Assumptions!$B$10*'City Data'!I184,0)</f>
        <v>5.5</v>
      </c>
      <c r="M184" s="4" t="n">
        <f aca="false">IF(AND(Assumptions!$B$13,ISNUMBER('City Data'!I184)),Assumptions!$B$11*'City Data'!I184,0)</f>
        <v>11</v>
      </c>
      <c r="N184" s="4" t="n">
        <f aca="false">IF(AND(Assumptions!$B$13,ISNUMBER('City Data'!I184)),Assumptions!$B$12*'City Data'!I184,0)</f>
        <v>16.5</v>
      </c>
      <c r="O184" s="4" t="n">
        <f aca="false">B184+E184+H184+K184</f>
        <v>96.8</v>
      </c>
      <c r="P184" s="4" t="n">
        <f aca="false">C184+F184+I184+K184</f>
        <v>186.3</v>
      </c>
      <c r="Q184" s="4" t="n">
        <f aca="false">D184+G184+J184+K184</f>
        <v>361.3</v>
      </c>
      <c r="R184" s="4" t="n">
        <f aca="false">IF(Assumptions!$B$14,Assumptions!$B$15*O184,0)</f>
        <v>9.68</v>
      </c>
      <c r="S184" s="4" t="n">
        <f aca="false">IF(Assumptions!$B$14,Assumptions!$B$16*P184,0)</f>
        <v>37.26</v>
      </c>
      <c r="T184" s="4" t="n">
        <f aca="false">IF(Assumptions!$B$14,Assumptions!$B$17*Q184,0)</f>
        <v>126.455</v>
      </c>
      <c r="U184" s="4" t="n">
        <f aca="false">O184+L184+R184</f>
        <v>111.98</v>
      </c>
      <c r="V184" s="4" t="n">
        <f aca="false">P184+M184+S184</f>
        <v>234.56</v>
      </c>
      <c r="W184" s="4" t="n">
        <f aca="false">Q184+N184+T184</f>
        <v>504.255</v>
      </c>
      <c r="X184" s="4" t="n">
        <f aca="false">'City Data'!K184</f>
        <v>55</v>
      </c>
      <c r="Y184" s="4" t="n">
        <f aca="false">'City Data'!L184</f>
        <v>140</v>
      </c>
      <c r="Z184" s="4" t="n">
        <f aca="false">'City Data'!M184</f>
        <v>410</v>
      </c>
      <c r="AA184" s="4" t="n">
        <f aca="false">U184-X184</f>
        <v>56.98</v>
      </c>
      <c r="AB184" s="4" t="n">
        <f aca="false">V184-Y184</f>
        <v>94.56</v>
      </c>
      <c r="AC184" s="4" t="n">
        <f aca="false">W184-Z184</f>
        <v>94.255</v>
      </c>
      <c r="AD184" s="4" t="str">
        <f aca="false">IF(OR(AND(X184&lt;&gt;0,ABS(AA184)&gt;Assumptions!$B$18*X184),AND(Y184&lt;&gt;0,ABS(AB184)&gt;Assumptions!$B$18*Y184),AND(Z184&lt;&gt;0,ABS(AC184)&gt;Assumptions!$B$18*Z184)),"REVIEW","")</f>
        <v>REVIEW</v>
      </c>
    </row>
    <row r="185" customFormat="false" ht="15" hidden="false" customHeight="false" outlineLevel="0" collapsed="false">
      <c r="A185" s="0" t="str">
        <f aca="false">'City Data'!A185</f>
        <v>Ningbo</v>
      </c>
      <c r="B185" s="4" t="n">
        <f aca="false">'City Data'!B185/Assumptions!$B$2</f>
        <v>10</v>
      </c>
      <c r="C185" s="4" t="n">
        <f aca="false">'City Data'!C185/Assumptions!$B$2</f>
        <v>27.5</v>
      </c>
      <c r="D185" s="4" t="n">
        <f aca="false">'City Data'!D185/Assumptions!$B$2</f>
        <v>65</v>
      </c>
      <c r="E185" s="4" t="n">
        <f aca="false">Assumptions!$B$3*Assumptions!$B$4*'City Data'!E185</f>
        <v>24</v>
      </c>
      <c r="F185" s="4" t="n">
        <f aca="false">Assumptions!$B$3*Assumptions!$B$5*'City Data'!E185</f>
        <v>43.2</v>
      </c>
      <c r="G185" s="4" t="n">
        <f aca="false">Assumptions!$B$3*Assumptions!$B$6*'City Data'!E185</f>
        <v>84</v>
      </c>
      <c r="H185" s="4" t="n">
        <f aca="false">Assumptions!$B$7*'City Data'!F185</f>
        <v>4</v>
      </c>
      <c r="I185" s="4" t="n">
        <f aca="false">Assumptions!$B$8*'City Data'!F185</f>
        <v>8</v>
      </c>
      <c r="J185" s="4" t="n">
        <f aca="false">Assumptions!$B$9*'City Data'!F185</f>
        <v>16</v>
      </c>
      <c r="K185" s="4" t="n">
        <f aca="false">'City Data'!G185+'City Data'!H185</f>
        <v>4.5</v>
      </c>
      <c r="L185" s="4" t="n">
        <f aca="false">IF(AND(Assumptions!$B$13,ISNUMBER('City Data'!I185)),Assumptions!$B$10*'City Data'!I185,0)</f>
        <v>1.5</v>
      </c>
      <c r="M185" s="4" t="n">
        <f aca="false">IF(AND(Assumptions!$B$13,ISNUMBER('City Data'!I185)),Assumptions!$B$11*'City Data'!I185,0)</f>
        <v>3</v>
      </c>
      <c r="N185" s="4" t="n">
        <f aca="false">IF(AND(Assumptions!$B$13,ISNUMBER('City Data'!I185)),Assumptions!$B$12*'City Data'!I185,0)</f>
        <v>4.5</v>
      </c>
      <c r="O185" s="4" t="n">
        <f aca="false">B185+E185+H185+K185</f>
        <v>42.5</v>
      </c>
      <c r="P185" s="4" t="n">
        <f aca="false">C185+F185+I185+K185</f>
        <v>83.2</v>
      </c>
      <c r="Q185" s="4" t="n">
        <f aca="false">D185+G185+J185+K185</f>
        <v>169.5</v>
      </c>
      <c r="R185" s="4" t="n">
        <f aca="false">IF(Assumptions!$B$14,Assumptions!$B$15*O185,0)</f>
        <v>4.25</v>
      </c>
      <c r="S185" s="4" t="n">
        <f aca="false">IF(Assumptions!$B$14,Assumptions!$B$16*P185,0)</f>
        <v>16.64</v>
      </c>
      <c r="T185" s="4" t="n">
        <f aca="false">IF(Assumptions!$B$14,Assumptions!$B$17*Q185,0)</f>
        <v>59.325</v>
      </c>
      <c r="U185" s="4" t="n">
        <f aca="false">O185+L185+R185</f>
        <v>48.25</v>
      </c>
      <c r="V185" s="4" t="n">
        <f aca="false">P185+M185+S185</f>
        <v>102.84</v>
      </c>
      <c r="W185" s="4" t="n">
        <f aca="false">Q185+N185+T185</f>
        <v>233.325</v>
      </c>
      <c r="X185" s="4" t="n">
        <f aca="false">'City Data'!K185</f>
        <v>40</v>
      </c>
      <c r="Y185" s="4" t="n">
        <f aca="false">'City Data'!L185</f>
        <v>100</v>
      </c>
      <c r="Z185" s="4" t="n">
        <f aca="false">'City Data'!M185</f>
        <v>300</v>
      </c>
      <c r="AA185" s="4" t="n">
        <f aca="false">U185-X185</f>
        <v>8.25</v>
      </c>
      <c r="AB185" s="4" t="n">
        <f aca="false">V185-Y185</f>
        <v>2.84</v>
      </c>
      <c r="AC185" s="4" t="n">
        <f aca="false">W185-Z185</f>
        <v>-66.675</v>
      </c>
      <c r="AD185" s="4" t="str">
        <f aca="false">IF(OR(AND(X185&lt;&gt;0,ABS(AA185)&gt;Assumptions!$B$18*X185),AND(Y185&lt;&gt;0,ABS(AB185)&gt;Assumptions!$B$18*Y185),AND(Z185&lt;&gt;0,ABS(AC185)&gt;Assumptions!$B$18*Z185)),"REVIEW","")</f>
        <v/>
      </c>
    </row>
    <row r="186" customFormat="false" ht="15" hidden="false" customHeight="false" outlineLevel="0" collapsed="false">
      <c r="A186" s="0" t="str">
        <f aca="false">'City Data'!A186</f>
        <v>Nouakchott</v>
      </c>
      <c r="B186" s="4" t="n">
        <f aca="false">'City Data'!B186/Assumptions!$B$2</f>
        <v>10</v>
      </c>
      <c r="C186" s="4" t="n">
        <f aca="false">'City Data'!C186/Assumptions!$B$2</f>
        <v>35</v>
      </c>
      <c r="D186" s="4" t="n">
        <f aca="false">'City Data'!D186/Assumptions!$B$2</f>
        <v>75</v>
      </c>
      <c r="E186" s="4" t="n">
        <f aca="false">Assumptions!$B$3*Assumptions!$B$4*'City Data'!E186</f>
        <v>30</v>
      </c>
      <c r="F186" s="4" t="n">
        <f aca="false">Assumptions!$B$3*Assumptions!$B$5*'City Data'!E186</f>
        <v>54</v>
      </c>
      <c r="G186" s="4" t="n">
        <f aca="false">Assumptions!$B$3*Assumptions!$B$6*'City Data'!E186</f>
        <v>105</v>
      </c>
      <c r="H186" s="4" t="n">
        <f aca="false">Assumptions!$B$7*'City Data'!F186</f>
        <v>4</v>
      </c>
      <c r="I186" s="4" t="n">
        <f aca="false">Assumptions!$B$8*'City Data'!F186</f>
        <v>8</v>
      </c>
      <c r="J186" s="4" t="n">
        <f aca="false">Assumptions!$B$9*'City Data'!F186</f>
        <v>16</v>
      </c>
      <c r="K186" s="4" t="n">
        <f aca="false">'City Data'!G186+'City Data'!H186</f>
        <v>2</v>
      </c>
      <c r="L186" s="4" t="n">
        <f aca="false">IF(AND(Assumptions!$B$13,ISNUMBER('City Data'!I186)),Assumptions!$B$10*'City Data'!I186,0)</f>
        <v>0</v>
      </c>
      <c r="M186" s="4" t="n">
        <f aca="false">IF(AND(Assumptions!$B$13,ISNUMBER('City Data'!I186)),Assumptions!$B$11*'City Data'!I186,0)</f>
        <v>0</v>
      </c>
      <c r="N186" s="4" t="n">
        <f aca="false">IF(AND(Assumptions!$B$13,ISNUMBER('City Data'!I186)),Assumptions!$B$12*'City Data'!I186,0)</f>
        <v>0</v>
      </c>
      <c r="O186" s="4" t="n">
        <f aca="false">B186+E186+H186+K186</f>
        <v>46</v>
      </c>
      <c r="P186" s="4" t="n">
        <f aca="false">C186+F186+I186+K186</f>
        <v>99</v>
      </c>
      <c r="Q186" s="4" t="n">
        <f aca="false">D186+G186+J186+K186</f>
        <v>198</v>
      </c>
      <c r="R186" s="4" t="n">
        <f aca="false">IF(Assumptions!$B$14,Assumptions!$B$15*O186,0)</f>
        <v>4.6</v>
      </c>
      <c r="S186" s="4" t="n">
        <f aca="false">IF(Assumptions!$B$14,Assumptions!$B$16*P186,0)</f>
        <v>19.8</v>
      </c>
      <c r="T186" s="4" t="n">
        <f aca="false">IF(Assumptions!$B$14,Assumptions!$B$17*Q186,0)</f>
        <v>69.3</v>
      </c>
      <c r="U186" s="4" t="n">
        <f aca="false">O186+L186+R186</f>
        <v>50.6</v>
      </c>
      <c r="V186" s="4" t="n">
        <f aca="false">P186+M186+S186</f>
        <v>118.8</v>
      </c>
      <c r="W186" s="4" t="n">
        <f aca="false">Q186+N186+T186</f>
        <v>267.3</v>
      </c>
      <c r="X186" s="4" t="n">
        <f aca="false">'City Data'!K186</f>
        <v>35</v>
      </c>
      <c r="Y186" s="4" t="n">
        <f aca="false">'City Data'!L186</f>
        <v>85</v>
      </c>
      <c r="Z186" s="4" t="n">
        <f aca="false">'City Data'!M186</f>
        <v>260</v>
      </c>
      <c r="AA186" s="4" t="n">
        <f aca="false">U186-X186</f>
        <v>15.6</v>
      </c>
      <c r="AB186" s="4" t="n">
        <f aca="false">V186-Y186</f>
        <v>33.8</v>
      </c>
      <c r="AC186" s="4" t="n">
        <f aca="false">W186-Z186</f>
        <v>7.30000000000001</v>
      </c>
      <c r="AD186" s="4" t="str">
        <f aca="false">IF(OR(AND(X186&lt;&gt;0,ABS(AA186)&gt;Assumptions!$B$18*X186),AND(Y186&lt;&gt;0,ABS(AB186)&gt;Assumptions!$B$18*Y186),AND(Z186&lt;&gt;0,ABS(AC186)&gt;Assumptions!$B$18*Z186)),"REVIEW","")</f>
        <v>REVIEW</v>
      </c>
    </row>
    <row r="187" customFormat="false" ht="15" hidden="false" customHeight="false" outlineLevel="0" collapsed="false">
      <c r="A187" s="0" t="str">
        <f aca="false">'City Data'!A187</f>
        <v>Nuku'alofa</v>
      </c>
      <c r="B187" s="4" t="n">
        <f aca="false">'City Data'!B187/Assumptions!$B$2</f>
        <v>17.5</v>
      </c>
      <c r="C187" s="4" t="n">
        <f aca="false">'City Data'!C187/Assumptions!$B$2</f>
        <v>45</v>
      </c>
      <c r="D187" s="4" t="n">
        <f aca="false">'City Data'!D187/Assumptions!$B$2</f>
        <v>90</v>
      </c>
      <c r="E187" s="4" t="n">
        <f aca="false">Assumptions!$B$3*Assumptions!$B$4*'City Data'!E187</f>
        <v>36</v>
      </c>
      <c r="F187" s="4" t="n">
        <f aca="false">Assumptions!$B$3*Assumptions!$B$5*'City Data'!E187</f>
        <v>64.8</v>
      </c>
      <c r="G187" s="4" t="n">
        <f aca="false">Assumptions!$B$3*Assumptions!$B$6*'City Data'!E187</f>
        <v>126</v>
      </c>
      <c r="H187" s="4" t="n">
        <f aca="false">Assumptions!$B$7*'City Data'!F187</f>
        <v>6</v>
      </c>
      <c r="I187" s="4" t="n">
        <f aca="false">Assumptions!$B$8*'City Data'!F187</f>
        <v>12</v>
      </c>
      <c r="J187" s="4" t="n">
        <f aca="false">Assumptions!$B$9*'City Data'!F187</f>
        <v>24</v>
      </c>
      <c r="K187" s="4" t="n">
        <f aca="false">'City Data'!G187+'City Data'!H187</f>
        <v>5</v>
      </c>
      <c r="L187" s="4" t="n">
        <f aca="false">IF(AND(Assumptions!$B$13,ISNUMBER('City Data'!I187)),Assumptions!$B$10*'City Data'!I187,0)</f>
        <v>5</v>
      </c>
      <c r="M187" s="4" t="n">
        <f aca="false">IF(AND(Assumptions!$B$13,ISNUMBER('City Data'!I187)),Assumptions!$B$11*'City Data'!I187,0)</f>
        <v>10</v>
      </c>
      <c r="N187" s="4" t="n">
        <f aca="false">IF(AND(Assumptions!$B$13,ISNUMBER('City Data'!I187)),Assumptions!$B$12*'City Data'!I187,0)</f>
        <v>15</v>
      </c>
      <c r="O187" s="4" t="n">
        <f aca="false">B187+E187+H187+K187</f>
        <v>64.5</v>
      </c>
      <c r="P187" s="4" t="n">
        <f aca="false">C187+F187+I187+K187</f>
        <v>126.8</v>
      </c>
      <c r="Q187" s="4" t="n">
        <f aca="false">D187+G187+J187+K187</f>
        <v>245</v>
      </c>
      <c r="R187" s="4" t="n">
        <f aca="false">IF(Assumptions!$B$14,Assumptions!$B$15*O187,0)</f>
        <v>6.45</v>
      </c>
      <c r="S187" s="4" t="n">
        <f aca="false">IF(Assumptions!$B$14,Assumptions!$B$16*P187,0)</f>
        <v>25.36</v>
      </c>
      <c r="T187" s="4" t="n">
        <f aca="false">IF(Assumptions!$B$14,Assumptions!$B$17*Q187,0)</f>
        <v>85.75</v>
      </c>
      <c r="U187" s="4" t="n">
        <f aca="false">O187+L187+R187</f>
        <v>75.95</v>
      </c>
      <c r="V187" s="4" t="n">
        <f aca="false">P187+M187+S187</f>
        <v>162.16</v>
      </c>
      <c r="W187" s="4" t="n">
        <f aca="false">Q187+N187+T187</f>
        <v>345.75</v>
      </c>
      <c r="X187" s="4" t="n">
        <f aca="false">'City Data'!K187</f>
        <v>45</v>
      </c>
      <c r="Y187" s="4" t="n">
        <f aca="false">'City Data'!L187</f>
        <v>105</v>
      </c>
      <c r="Z187" s="4" t="n">
        <f aca="false">'City Data'!M187</f>
        <v>310</v>
      </c>
      <c r="AA187" s="4" t="n">
        <f aca="false">U187-X187</f>
        <v>30.95</v>
      </c>
      <c r="AB187" s="4" t="n">
        <f aca="false">V187-Y187</f>
        <v>57.16</v>
      </c>
      <c r="AC187" s="4" t="n">
        <f aca="false">W187-Z187</f>
        <v>35.75</v>
      </c>
      <c r="AD187" s="4" t="str">
        <f aca="false">IF(OR(AND(X187&lt;&gt;0,ABS(AA187)&gt;Assumptions!$B$18*X187),AND(Y187&lt;&gt;0,ABS(AB187)&gt;Assumptions!$B$18*Y187),AND(Z187&lt;&gt;0,ABS(AC187)&gt;Assumptions!$B$18*Z187)),"REVIEW","")</f>
        <v>REVIEW</v>
      </c>
    </row>
    <row r="188" customFormat="false" ht="15" hidden="false" customHeight="false" outlineLevel="0" collapsed="false">
      <c r="A188" s="0" t="str">
        <f aca="false">'City Data'!A188</f>
        <v>Orlando</v>
      </c>
      <c r="B188" s="4" t="n">
        <f aca="false">'City Data'!B188/Assumptions!$B$2</f>
        <v>30</v>
      </c>
      <c r="C188" s="4" t="n">
        <f aca="false">'City Data'!C188/Assumptions!$B$2</f>
        <v>60</v>
      </c>
      <c r="D188" s="4" t="n">
        <f aca="false">'City Data'!D188/Assumptions!$B$2</f>
        <v>140</v>
      </c>
      <c r="E188" s="4" t="n">
        <f aca="false">Assumptions!$B$3*Assumptions!$B$4*'City Data'!E188</f>
        <v>66</v>
      </c>
      <c r="F188" s="4" t="n">
        <f aca="false">Assumptions!$B$3*Assumptions!$B$5*'City Data'!E188</f>
        <v>118.8</v>
      </c>
      <c r="G188" s="4" t="n">
        <f aca="false">Assumptions!$B$3*Assumptions!$B$6*'City Data'!E188</f>
        <v>231</v>
      </c>
      <c r="H188" s="4" t="n">
        <f aca="false">Assumptions!$B$7*'City Data'!F188</f>
        <v>28</v>
      </c>
      <c r="I188" s="4" t="n">
        <f aca="false">Assumptions!$B$8*'City Data'!F188</f>
        <v>56</v>
      </c>
      <c r="J188" s="4" t="n">
        <f aca="false">Assumptions!$B$9*'City Data'!F188</f>
        <v>112</v>
      </c>
      <c r="K188" s="4" t="n">
        <f aca="false">'City Data'!G188+'City Data'!H188</f>
        <v>7</v>
      </c>
      <c r="L188" s="4" t="n">
        <f aca="false">IF(AND(Assumptions!$B$13,ISNUMBER('City Data'!I188)),Assumptions!$B$10*'City Data'!I188,0)</f>
        <v>6</v>
      </c>
      <c r="M188" s="4" t="n">
        <f aca="false">IF(AND(Assumptions!$B$13,ISNUMBER('City Data'!I188)),Assumptions!$B$11*'City Data'!I188,0)</f>
        <v>12</v>
      </c>
      <c r="N188" s="4" t="n">
        <f aca="false">IF(AND(Assumptions!$B$13,ISNUMBER('City Data'!I188)),Assumptions!$B$12*'City Data'!I188,0)</f>
        <v>18</v>
      </c>
      <c r="O188" s="4" t="n">
        <f aca="false">B188+E188+H188+K188</f>
        <v>131</v>
      </c>
      <c r="P188" s="4" t="n">
        <f aca="false">C188+F188+I188+K188</f>
        <v>241.8</v>
      </c>
      <c r="Q188" s="4" t="n">
        <f aca="false">D188+G188+J188+K188</f>
        <v>490</v>
      </c>
      <c r="R188" s="4" t="n">
        <f aca="false">IF(Assumptions!$B$14,Assumptions!$B$15*O188,0)</f>
        <v>13.1</v>
      </c>
      <c r="S188" s="4" t="n">
        <f aca="false">IF(Assumptions!$B$14,Assumptions!$B$16*P188,0)</f>
        <v>48.36</v>
      </c>
      <c r="T188" s="4" t="n">
        <f aca="false">IF(Assumptions!$B$14,Assumptions!$B$17*Q188,0)</f>
        <v>171.5</v>
      </c>
      <c r="U188" s="4" t="n">
        <f aca="false">O188+L188+R188</f>
        <v>150.1</v>
      </c>
      <c r="V188" s="4" t="n">
        <f aca="false">P188+M188+S188</f>
        <v>302.16</v>
      </c>
      <c r="W188" s="4" t="n">
        <f aca="false">Q188+N188+T188</f>
        <v>679.5</v>
      </c>
      <c r="X188" s="4" t="n">
        <f aca="false">'City Data'!K188</f>
        <v>85</v>
      </c>
      <c r="Y188" s="4" t="n">
        <f aca="false">'City Data'!L188</f>
        <v>210</v>
      </c>
      <c r="Z188" s="4" t="n">
        <f aca="false">'City Data'!M188</f>
        <v>550</v>
      </c>
      <c r="AA188" s="4" t="n">
        <f aca="false">U188-X188</f>
        <v>65.1</v>
      </c>
      <c r="AB188" s="4" t="n">
        <f aca="false">V188-Y188</f>
        <v>92.16</v>
      </c>
      <c r="AC188" s="4" t="n">
        <f aca="false">W188-Z188</f>
        <v>129.5</v>
      </c>
      <c r="AD188" s="4" t="str">
        <f aca="false">IF(OR(AND(X188&lt;&gt;0,ABS(AA188)&gt;Assumptions!$B$18*X188),AND(Y188&lt;&gt;0,ABS(AB188)&gt;Assumptions!$B$18*Y188),AND(Z188&lt;&gt;0,ABS(AC188)&gt;Assumptions!$B$18*Z188)),"REVIEW","")</f>
        <v>REVIEW</v>
      </c>
    </row>
    <row r="189" customFormat="false" ht="15" hidden="false" customHeight="false" outlineLevel="0" collapsed="false">
      <c r="A189" s="0" t="str">
        <f aca="false">'City Data'!A189</f>
        <v>Osaka</v>
      </c>
      <c r="B189" s="4" t="n">
        <f aca="false">'City Data'!B189/Assumptions!$B$2</f>
        <v>20</v>
      </c>
      <c r="C189" s="4" t="n">
        <f aca="false">'City Data'!C189/Assumptions!$B$2</f>
        <v>45</v>
      </c>
      <c r="D189" s="4" t="n">
        <f aca="false">'City Data'!D189/Assumptions!$B$2</f>
        <v>120</v>
      </c>
      <c r="E189" s="4" t="n">
        <f aca="false">Assumptions!$B$3*Assumptions!$B$4*'City Data'!E189</f>
        <v>42</v>
      </c>
      <c r="F189" s="4" t="n">
        <f aca="false">Assumptions!$B$3*Assumptions!$B$5*'City Data'!E189</f>
        <v>75.6</v>
      </c>
      <c r="G189" s="4" t="n">
        <f aca="false">Assumptions!$B$3*Assumptions!$B$6*'City Data'!E189</f>
        <v>147</v>
      </c>
      <c r="H189" s="4" t="n">
        <f aca="false">Assumptions!$B$7*'City Data'!F189</f>
        <v>22</v>
      </c>
      <c r="I189" s="4" t="n">
        <f aca="false">Assumptions!$B$8*'City Data'!F189</f>
        <v>44</v>
      </c>
      <c r="J189" s="4" t="n">
        <f aca="false">Assumptions!$B$9*'City Data'!F189</f>
        <v>88</v>
      </c>
      <c r="K189" s="4" t="n">
        <f aca="false">'City Data'!G189+'City Data'!H189</f>
        <v>4.5</v>
      </c>
      <c r="L189" s="4" t="n">
        <f aca="false">IF(AND(Assumptions!$B$13,ISNUMBER('City Data'!I189)),Assumptions!$B$10*'City Data'!I189,0)</f>
        <v>5</v>
      </c>
      <c r="M189" s="4" t="n">
        <f aca="false">IF(AND(Assumptions!$B$13,ISNUMBER('City Data'!I189)),Assumptions!$B$11*'City Data'!I189,0)</f>
        <v>10</v>
      </c>
      <c r="N189" s="4" t="n">
        <f aca="false">IF(AND(Assumptions!$B$13,ISNUMBER('City Data'!I189)),Assumptions!$B$12*'City Data'!I189,0)</f>
        <v>15</v>
      </c>
      <c r="O189" s="4" t="n">
        <f aca="false">B189+E189+H189+K189</f>
        <v>88.5</v>
      </c>
      <c r="P189" s="4" t="n">
        <f aca="false">C189+F189+I189+K189</f>
        <v>169.1</v>
      </c>
      <c r="Q189" s="4" t="n">
        <f aca="false">D189+G189+J189+K189</f>
        <v>359.5</v>
      </c>
      <c r="R189" s="4" t="n">
        <f aca="false">IF(Assumptions!$B$14,Assumptions!$B$15*O189,0)</f>
        <v>8.85</v>
      </c>
      <c r="S189" s="4" t="n">
        <f aca="false">IF(Assumptions!$B$14,Assumptions!$B$16*P189,0)</f>
        <v>33.82</v>
      </c>
      <c r="T189" s="4" t="n">
        <f aca="false">IF(Assumptions!$B$14,Assumptions!$B$17*Q189,0)</f>
        <v>125.825</v>
      </c>
      <c r="U189" s="4" t="n">
        <f aca="false">O189+L189+R189</f>
        <v>102.35</v>
      </c>
      <c r="V189" s="4" t="n">
        <f aca="false">P189+M189+S189</f>
        <v>212.92</v>
      </c>
      <c r="W189" s="4" t="n">
        <f aca="false">Q189+N189+T189</f>
        <v>500.325</v>
      </c>
      <c r="X189" s="4" t="n">
        <f aca="false">'City Data'!K189</f>
        <v>60</v>
      </c>
      <c r="Y189" s="4" t="n">
        <f aca="false">'City Data'!L189</f>
        <v>140</v>
      </c>
      <c r="Z189" s="4" t="n">
        <f aca="false">'City Data'!M189</f>
        <v>380</v>
      </c>
      <c r="AA189" s="4" t="n">
        <f aca="false">U189-X189</f>
        <v>42.35</v>
      </c>
      <c r="AB189" s="4" t="n">
        <f aca="false">V189-Y189</f>
        <v>72.92</v>
      </c>
      <c r="AC189" s="4" t="n">
        <f aca="false">W189-Z189</f>
        <v>120.325</v>
      </c>
      <c r="AD189" s="4" t="str">
        <f aca="false">IF(OR(AND(X189&lt;&gt;0,ABS(AA189)&gt;Assumptions!$B$18*X189),AND(Y189&lt;&gt;0,ABS(AB189)&gt;Assumptions!$B$18*Y189),AND(Z189&lt;&gt;0,ABS(AC189)&gt;Assumptions!$B$18*Z189)),"REVIEW","")</f>
        <v>REVIEW</v>
      </c>
    </row>
    <row r="190" customFormat="false" ht="15" hidden="false" customHeight="false" outlineLevel="0" collapsed="false">
      <c r="A190" s="0" t="str">
        <f aca="false">'City Data'!A190</f>
        <v>Oslo</v>
      </c>
      <c r="B190" s="4" t="n">
        <f aca="false">'City Data'!B190/Assumptions!$B$2</f>
        <v>55</v>
      </c>
      <c r="C190" s="4" t="n">
        <f aca="false">'City Data'!C190/Assumptions!$B$2</f>
        <v>95</v>
      </c>
      <c r="D190" s="4" t="n">
        <f aca="false">'City Data'!D190/Assumptions!$B$2</f>
        <v>210</v>
      </c>
      <c r="E190" s="4" t="n">
        <f aca="false">Assumptions!$B$3*Assumptions!$B$4*'City Data'!E190</f>
        <v>105</v>
      </c>
      <c r="F190" s="4" t="n">
        <f aca="false">Assumptions!$B$3*Assumptions!$B$5*'City Data'!E190</f>
        <v>189</v>
      </c>
      <c r="G190" s="4" t="n">
        <f aca="false">Assumptions!$B$3*Assumptions!$B$6*'City Data'!E190</f>
        <v>367.5</v>
      </c>
      <c r="H190" s="4" t="n">
        <f aca="false">Assumptions!$B$7*'City Data'!F190</f>
        <v>45</v>
      </c>
      <c r="I190" s="4" t="n">
        <f aca="false">Assumptions!$B$8*'City Data'!F190</f>
        <v>90</v>
      </c>
      <c r="J190" s="4" t="n">
        <f aca="false">Assumptions!$B$9*'City Data'!F190</f>
        <v>180</v>
      </c>
      <c r="K190" s="4" t="n">
        <f aca="false">'City Data'!G190+'City Data'!H190</f>
        <v>8</v>
      </c>
      <c r="L190" s="4" t="n">
        <f aca="false">IF(AND(Assumptions!$B$13,ISNUMBER('City Data'!I190)),Assumptions!$B$10*'City Data'!I190,0)</f>
        <v>9</v>
      </c>
      <c r="M190" s="4" t="n">
        <f aca="false">IF(AND(Assumptions!$B$13,ISNUMBER('City Data'!I190)),Assumptions!$B$11*'City Data'!I190,0)</f>
        <v>18</v>
      </c>
      <c r="N190" s="4" t="n">
        <f aca="false">IF(AND(Assumptions!$B$13,ISNUMBER('City Data'!I190)),Assumptions!$B$12*'City Data'!I190,0)</f>
        <v>27</v>
      </c>
      <c r="O190" s="4" t="n">
        <f aca="false">B190+E190+H190+K190</f>
        <v>213</v>
      </c>
      <c r="P190" s="4" t="n">
        <f aca="false">C190+F190+I190+K190</f>
        <v>382</v>
      </c>
      <c r="Q190" s="4" t="n">
        <f aca="false">D190+G190+J190+K190</f>
        <v>765.5</v>
      </c>
      <c r="R190" s="4" t="n">
        <f aca="false">IF(Assumptions!$B$14,Assumptions!$B$15*O190,0)</f>
        <v>21.3</v>
      </c>
      <c r="S190" s="4" t="n">
        <f aca="false">IF(Assumptions!$B$14,Assumptions!$B$16*P190,0)</f>
        <v>76.4</v>
      </c>
      <c r="T190" s="4" t="n">
        <f aca="false">IF(Assumptions!$B$14,Assumptions!$B$17*Q190,0)</f>
        <v>267.925</v>
      </c>
      <c r="U190" s="4" t="n">
        <f aca="false">O190+L190+R190</f>
        <v>243.3</v>
      </c>
      <c r="V190" s="4" t="n">
        <f aca="false">P190+M190+S190</f>
        <v>476.4</v>
      </c>
      <c r="W190" s="4" t="n">
        <f aca="false">Q190+N190+T190</f>
        <v>1060.425</v>
      </c>
      <c r="X190" s="4" t="n">
        <f aca="false">'City Data'!K190</f>
        <v>100</v>
      </c>
      <c r="Y190" s="4" t="n">
        <f aca="false">'City Data'!L190</f>
        <v>240</v>
      </c>
      <c r="Z190" s="4" t="n">
        <f aca="false">'City Data'!M190</f>
        <v>650</v>
      </c>
      <c r="AA190" s="4" t="n">
        <f aca="false">U190-X190</f>
        <v>143.3</v>
      </c>
      <c r="AB190" s="4" t="n">
        <f aca="false">V190-Y190</f>
        <v>236.4</v>
      </c>
      <c r="AC190" s="4" t="n">
        <f aca="false">W190-Z190</f>
        <v>410.425</v>
      </c>
      <c r="AD190" s="4" t="str">
        <f aca="false">IF(OR(AND(X190&lt;&gt;0,ABS(AA190)&gt;Assumptions!$B$18*X190),AND(Y190&lt;&gt;0,ABS(AB190)&gt;Assumptions!$B$18*Y190),AND(Z190&lt;&gt;0,ABS(AC190)&gt;Assumptions!$B$18*Z190)),"REVIEW","")</f>
        <v>REVIEW</v>
      </c>
    </row>
    <row r="191" customFormat="false" ht="15" hidden="false" customHeight="false" outlineLevel="0" collapsed="false">
      <c r="A191" s="0" t="str">
        <f aca="false">'City Data'!A191</f>
        <v>Ouagadougou</v>
      </c>
      <c r="B191" s="4" t="n">
        <f aca="false">'City Data'!B191/Assumptions!$B$2</f>
        <v>10</v>
      </c>
      <c r="C191" s="4" t="n">
        <f aca="false">'City Data'!C191/Assumptions!$B$2</f>
        <v>30</v>
      </c>
      <c r="D191" s="4" t="n">
        <f aca="false">'City Data'!D191/Assumptions!$B$2</f>
        <v>75</v>
      </c>
      <c r="E191" s="4" t="n">
        <f aca="false">Assumptions!$B$3*Assumptions!$B$4*'City Data'!E191</f>
        <v>24</v>
      </c>
      <c r="F191" s="4" t="n">
        <f aca="false">Assumptions!$B$3*Assumptions!$B$5*'City Data'!E191</f>
        <v>43.2</v>
      </c>
      <c r="G191" s="4" t="n">
        <f aca="false">Assumptions!$B$3*Assumptions!$B$6*'City Data'!E191</f>
        <v>84</v>
      </c>
      <c r="H191" s="4" t="n">
        <f aca="false">Assumptions!$B$7*'City Data'!F191</f>
        <v>3</v>
      </c>
      <c r="I191" s="4" t="n">
        <f aca="false">Assumptions!$B$8*'City Data'!F191</f>
        <v>6</v>
      </c>
      <c r="J191" s="4" t="n">
        <f aca="false">Assumptions!$B$9*'City Data'!F191</f>
        <v>12</v>
      </c>
      <c r="K191" s="4" t="n">
        <f aca="false">'City Data'!G191+'City Data'!H191</f>
        <v>2.8</v>
      </c>
      <c r="L191" s="4" t="n">
        <f aca="false">IF(AND(Assumptions!$B$13,ISNUMBER('City Data'!I191)),Assumptions!$B$10*'City Data'!I191,0)</f>
        <v>1.5</v>
      </c>
      <c r="M191" s="4" t="n">
        <f aca="false">IF(AND(Assumptions!$B$13,ISNUMBER('City Data'!I191)),Assumptions!$B$11*'City Data'!I191,0)</f>
        <v>3</v>
      </c>
      <c r="N191" s="4" t="n">
        <f aca="false">IF(AND(Assumptions!$B$13,ISNUMBER('City Data'!I191)),Assumptions!$B$12*'City Data'!I191,0)</f>
        <v>4.5</v>
      </c>
      <c r="O191" s="4" t="n">
        <f aca="false">B191+E191+H191+K191</f>
        <v>39.8</v>
      </c>
      <c r="P191" s="4" t="n">
        <f aca="false">C191+F191+I191+K191</f>
        <v>82</v>
      </c>
      <c r="Q191" s="4" t="n">
        <f aca="false">D191+G191+J191+K191</f>
        <v>173.8</v>
      </c>
      <c r="R191" s="4" t="n">
        <f aca="false">IF(Assumptions!$B$14,Assumptions!$B$15*O191,0)</f>
        <v>3.98</v>
      </c>
      <c r="S191" s="4" t="n">
        <f aca="false">IF(Assumptions!$B$14,Assumptions!$B$16*P191,0)</f>
        <v>16.4</v>
      </c>
      <c r="T191" s="4" t="n">
        <f aca="false">IF(Assumptions!$B$14,Assumptions!$B$17*Q191,0)</f>
        <v>60.83</v>
      </c>
      <c r="U191" s="4" t="n">
        <f aca="false">O191+L191+R191</f>
        <v>45.28</v>
      </c>
      <c r="V191" s="4" t="n">
        <f aca="false">P191+M191+S191</f>
        <v>101.4</v>
      </c>
      <c r="W191" s="4" t="n">
        <f aca="false">Q191+N191+T191</f>
        <v>239.13</v>
      </c>
      <c r="X191" s="4" t="n">
        <f aca="false">'City Data'!K191</f>
        <v>35</v>
      </c>
      <c r="Y191" s="4" t="n">
        <f aca="false">'City Data'!L191</f>
        <v>80</v>
      </c>
      <c r="Z191" s="4" t="n">
        <f aca="false">'City Data'!M191</f>
        <v>245</v>
      </c>
      <c r="AA191" s="4" t="n">
        <f aca="false">U191-X191</f>
        <v>10.28</v>
      </c>
      <c r="AB191" s="4" t="n">
        <f aca="false">V191-Y191</f>
        <v>21.4</v>
      </c>
      <c r="AC191" s="4" t="n">
        <f aca="false">W191-Z191</f>
        <v>-5.87</v>
      </c>
      <c r="AD191" s="4" t="str">
        <f aca="false">IF(OR(AND(X191&lt;&gt;0,ABS(AA191)&gt;Assumptions!$B$18*X191),AND(Y191&lt;&gt;0,ABS(AB191)&gt;Assumptions!$B$18*Y191),AND(Z191&lt;&gt;0,ABS(AC191)&gt;Assumptions!$B$18*Z191)),"REVIEW","")</f>
        <v>REVIEW</v>
      </c>
    </row>
    <row r="192" customFormat="false" ht="15" hidden="false" customHeight="false" outlineLevel="0" collapsed="false">
      <c r="A192" s="0" t="str">
        <f aca="false">'City Data'!A192</f>
        <v>Palma de Mallorca</v>
      </c>
      <c r="B192" s="4" t="n">
        <f aca="false">'City Data'!B192/Assumptions!$B$2</f>
        <v>35</v>
      </c>
      <c r="C192" s="4" t="n">
        <f aca="false">'City Data'!C192/Assumptions!$B$2</f>
        <v>65</v>
      </c>
      <c r="D192" s="4" t="n">
        <f aca="false">'City Data'!D192/Assumptions!$B$2</f>
        <v>175</v>
      </c>
      <c r="E192" s="4" t="n">
        <f aca="false">Assumptions!$B$3*Assumptions!$B$4*'City Data'!E192</f>
        <v>75</v>
      </c>
      <c r="F192" s="4" t="n">
        <f aca="false">Assumptions!$B$3*Assumptions!$B$5*'City Data'!E192</f>
        <v>135</v>
      </c>
      <c r="G192" s="4" t="n">
        <f aca="false">Assumptions!$B$3*Assumptions!$B$6*'City Data'!E192</f>
        <v>262.5</v>
      </c>
      <c r="H192" s="4" t="n">
        <f aca="false">Assumptions!$B$7*'City Data'!F192</f>
        <v>20</v>
      </c>
      <c r="I192" s="4" t="n">
        <f aca="false">Assumptions!$B$8*'City Data'!F192</f>
        <v>40</v>
      </c>
      <c r="J192" s="4" t="n">
        <f aca="false">Assumptions!$B$9*'City Data'!F192</f>
        <v>80</v>
      </c>
      <c r="K192" s="4" t="n">
        <f aca="false">'City Data'!G192+'City Data'!H192</f>
        <v>4</v>
      </c>
      <c r="L192" s="4" t="n">
        <f aca="false">IF(AND(Assumptions!$B$13,ISNUMBER('City Data'!I192)),Assumptions!$B$10*'City Data'!I192,0)</f>
        <v>3.5</v>
      </c>
      <c r="M192" s="4" t="n">
        <f aca="false">IF(AND(Assumptions!$B$13,ISNUMBER('City Data'!I192)),Assumptions!$B$11*'City Data'!I192,0)</f>
        <v>7</v>
      </c>
      <c r="N192" s="4" t="n">
        <f aca="false">IF(AND(Assumptions!$B$13,ISNUMBER('City Data'!I192)),Assumptions!$B$12*'City Data'!I192,0)</f>
        <v>10.5</v>
      </c>
      <c r="O192" s="4" t="n">
        <f aca="false">B192+E192+H192+K192</f>
        <v>134</v>
      </c>
      <c r="P192" s="4" t="n">
        <f aca="false">C192+F192+I192+K192</f>
        <v>244</v>
      </c>
      <c r="Q192" s="4" t="n">
        <f aca="false">D192+G192+J192+K192</f>
        <v>521.5</v>
      </c>
      <c r="R192" s="4" t="n">
        <f aca="false">IF(Assumptions!$B$14,Assumptions!$B$15*O192,0)</f>
        <v>13.4</v>
      </c>
      <c r="S192" s="4" t="n">
        <f aca="false">IF(Assumptions!$B$14,Assumptions!$B$16*P192,0)</f>
        <v>48.8</v>
      </c>
      <c r="T192" s="4" t="n">
        <f aca="false">IF(Assumptions!$B$14,Assumptions!$B$17*Q192,0)</f>
        <v>182.525</v>
      </c>
      <c r="U192" s="4" t="n">
        <f aca="false">O192+L192+R192</f>
        <v>150.9</v>
      </c>
      <c r="V192" s="4" t="n">
        <f aca="false">P192+M192+S192</f>
        <v>299.8</v>
      </c>
      <c r="W192" s="4" t="n">
        <f aca="false">Q192+N192+T192</f>
        <v>714.525</v>
      </c>
      <c r="X192" s="4" t="n">
        <f aca="false">'City Data'!K192</f>
        <v>75</v>
      </c>
      <c r="Y192" s="4" t="n">
        <f aca="false">'City Data'!L192</f>
        <v>180</v>
      </c>
      <c r="Z192" s="4" t="n">
        <f aca="false">'City Data'!M192</f>
        <v>500</v>
      </c>
      <c r="AA192" s="4" t="n">
        <f aca="false">U192-X192</f>
        <v>75.9</v>
      </c>
      <c r="AB192" s="4" t="n">
        <f aca="false">V192-Y192</f>
        <v>119.8</v>
      </c>
      <c r="AC192" s="4" t="n">
        <f aca="false">W192-Z192</f>
        <v>214.525</v>
      </c>
      <c r="AD192" s="4" t="str">
        <f aca="false">IF(OR(AND(X192&lt;&gt;0,ABS(AA192)&gt;Assumptions!$B$18*X192),AND(Y192&lt;&gt;0,ABS(AB192)&gt;Assumptions!$B$18*Y192),AND(Z192&lt;&gt;0,ABS(AC192)&gt;Assumptions!$B$18*Z192)),"REVIEW","")</f>
        <v>REVIEW</v>
      </c>
    </row>
    <row r="193" customFormat="false" ht="15" hidden="false" customHeight="false" outlineLevel="0" collapsed="false">
      <c r="A193" s="0" t="str">
        <f aca="false">'City Data'!A193</f>
        <v>Panama City</v>
      </c>
      <c r="B193" s="4" t="n">
        <f aca="false">'City Data'!B193/Assumptions!$B$2</f>
        <v>17.5</v>
      </c>
      <c r="C193" s="4" t="n">
        <f aca="false">'City Data'!C193/Assumptions!$B$2</f>
        <v>47.5</v>
      </c>
      <c r="D193" s="4" t="n">
        <f aca="false">'City Data'!D193/Assumptions!$B$2</f>
        <v>140</v>
      </c>
      <c r="E193" s="4" t="n">
        <f aca="false">Assumptions!$B$3*Assumptions!$B$4*'City Data'!E193</f>
        <v>48</v>
      </c>
      <c r="F193" s="4" t="n">
        <f aca="false">Assumptions!$B$3*Assumptions!$B$5*'City Data'!E193</f>
        <v>86.4</v>
      </c>
      <c r="G193" s="4" t="n">
        <f aca="false">Assumptions!$B$3*Assumptions!$B$6*'City Data'!E193</f>
        <v>168</v>
      </c>
      <c r="H193" s="4" t="n">
        <f aca="false">Assumptions!$B$7*'City Data'!F193</f>
        <v>6</v>
      </c>
      <c r="I193" s="4" t="n">
        <f aca="false">Assumptions!$B$8*'City Data'!F193</f>
        <v>12</v>
      </c>
      <c r="J193" s="4" t="n">
        <f aca="false">Assumptions!$B$9*'City Data'!F193</f>
        <v>24</v>
      </c>
      <c r="K193" s="4" t="n">
        <f aca="false">'City Data'!G193+'City Data'!H193</f>
        <v>3.5</v>
      </c>
      <c r="L193" s="4" t="n">
        <f aca="false">IF(AND(Assumptions!$B$13,ISNUMBER('City Data'!I193)),Assumptions!$B$10*'City Data'!I193,0)</f>
        <v>3</v>
      </c>
      <c r="M193" s="4" t="n">
        <f aca="false">IF(AND(Assumptions!$B$13,ISNUMBER('City Data'!I193)),Assumptions!$B$11*'City Data'!I193,0)</f>
        <v>6</v>
      </c>
      <c r="N193" s="4" t="n">
        <f aca="false">IF(AND(Assumptions!$B$13,ISNUMBER('City Data'!I193)),Assumptions!$B$12*'City Data'!I193,0)</f>
        <v>9</v>
      </c>
      <c r="O193" s="4" t="n">
        <f aca="false">B193+E193+H193+K193</f>
        <v>75</v>
      </c>
      <c r="P193" s="4" t="n">
        <f aca="false">C193+F193+I193+K193</f>
        <v>149.4</v>
      </c>
      <c r="Q193" s="4" t="n">
        <f aca="false">D193+G193+J193+K193</f>
        <v>335.5</v>
      </c>
      <c r="R193" s="4" t="n">
        <f aca="false">IF(Assumptions!$B$14,Assumptions!$B$15*O193,0)</f>
        <v>7.5</v>
      </c>
      <c r="S193" s="4" t="n">
        <f aca="false">IF(Assumptions!$B$14,Assumptions!$B$16*P193,0)</f>
        <v>29.88</v>
      </c>
      <c r="T193" s="4" t="n">
        <f aca="false">IF(Assumptions!$B$14,Assumptions!$B$17*Q193,0)</f>
        <v>117.425</v>
      </c>
      <c r="U193" s="4" t="n">
        <f aca="false">O193+L193+R193</f>
        <v>85.5</v>
      </c>
      <c r="V193" s="4" t="n">
        <f aca="false">P193+M193+S193</f>
        <v>185.28</v>
      </c>
      <c r="W193" s="4" t="n">
        <f aca="false">Q193+N193+T193</f>
        <v>461.925</v>
      </c>
      <c r="X193" s="4" t="n">
        <f aca="false">'City Data'!K193</f>
        <v>50</v>
      </c>
      <c r="Y193" s="4" t="n">
        <f aca="false">'City Data'!L193</f>
        <v>130</v>
      </c>
      <c r="Z193" s="4" t="n">
        <f aca="false">'City Data'!M193</f>
        <v>385</v>
      </c>
      <c r="AA193" s="4" t="n">
        <f aca="false">U193-X193</f>
        <v>35.5</v>
      </c>
      <c r="AB193" s="4" t="n">
        <f aca="false">V193-Y193</f>
        <v>55.28</v>
      </c>
      <c r="AC193" s="4" t="n">
        <f aca="false">W193-Z193</f>
        <v>76.925</v>
      </c>
      <c r="AD193" s="4" t="str">
        <f aca="false">IF(OR(AND(X193&lt;&gt;0,ABS(AA193)&gt;Assumptions!$B$18*X193),AND(Y193&lt;&gt;0,ABS(AB193)&gt;Assumptions!$B$18*Y193),AND(Z193&lt;&gt;0,ABS(AC193)&gt;Assumptions!$B$18*Z193)),"REVIEW","")</f>
        <v>REVIEW</v>
      </c>
    </row>
    <row r="194" customFormat="false" ht="15" hidden="false" customHeight="false" outlineLevel="0" collapsed="false">
      <c r="A194" s="0" t="str">
        <f aca="false">'City Data'!A194</f>
        <v>Paramaribo</v>
      </c>
      <c r="B194" s="4" t="n">
        <f aca="false">'City Data'!B194/Assumptions!$B$2</f>
        <v>17.5</v>
      </c>
      <c r="C194" s="4" t="n">
        <f aca="false">'City Data'!C194/Assumptions!$B$2</f>
        <v>45</v>
      </c>
      <c r="D194" s="4" t="n">
        <f aca="false">'City Data'!D194/Assumptions!$B$2</f>
        <v>90</v>
      </c>
      <c r="E194" s="4" t="n">
        <f aca="false">Assumptions!$B$3*Assumptions!$B$4*'City Data'!E194</f>
        <v>36</v>
      </c>
      <c r="F194" s="4" t="n">
        <f aca="false">Assumptions!$B$3*Assumptions!$B$5*'City Data'!E194</f>
        <v>64.8</v>
      </c>
      <c r="G194" s="4" t="n">
        <f aca="false">Assumptions!$B$3*Assumptions!$B$6*'City Data'!E194</f>
        <v>126</v>
      </c>
      <c r="H194" s="4" t="n">
        <f aca="false">Assumptions!$B$7*'City Data'!F194</f>
        <v>6</v>
      </c>
      <c r="I194" s="4" t="n">
        <f aca="false">Assumptions!$B$8*'City Data'!F194</f>
        <v>12</v>
      </c>
      <c r="J194" s="4" t="n">
        <f aca="false">Assumptions!$B$9*'City Data'!F194</f>
        <v>24</v>
      </c>
      <c r="K194" s="4" t="n">
        <f aca="false">'City Data'!G194+'City Data'!H194</f>
        <v>3.65</v>
      </c>
      <c r="L194" s="4" t="n">
        <f aca="false">IF(AND(Assumptions!$B$13,ISNUMBER('City Data'!I194)),Assumptions!$B$10*'City Data'!I194,0)</f>
        <v>2.7</v>
      </c>
      <c r="M194" s="4" t="n">
        <f aca="false">IF(AND(Assumptions!$B$13,ISNUMBER('City Data'!I194)),Assumptions!$B$11*'City Data'!I194,0)</f>
        <v>5.4</v>
      </c>
      <c r="N194" s="4" t="n">
        <f aca="false">IF(AND(Assumptions!$B$13,ISNUMBER('City Data'!I194)),Assumptions!$B$12*'City Data'!I194,0)</f>
        <v>8.1</v>
      </c>
      <c r="O194" s="4" t="n">
        <f aca="false">B194+E194+H194+K194</f>
        <v>63.15</v>
      </c>
      <c r="P194" s="4" t="n">
        <f aca="false">C194+F194+I194+K194</f>
        <v>125.45</v>
      </c>
      <c r="Q194" s="4" t="n">
        <f aca="false">D194+G194+J194+K194</f>
        <v>243.65</v>
      </c>
      <c r="R194" s="4" t="n">
        <f aca="false">IF(Assumptions!$B$14,Assumptions!$B$15*O194,0)</f>
        <v>6.315</v>
      </c>
      <c r="S194" s="4" t="n">
        <f aca="false">IF(Assumptions!$B$14,Assumptions!$B$16*P194,0)</f>
        <v>25.09</v>
      </c>
      <c r="T194" s="4" t="n">
        <f aca="false">IF(Assumptions!$B$14,Assumptions!$B$17*Q194,0)</f>
        <v>85.2775</v>
      </c>
      <c r="U194" s="4" t="n">
        <f aca="false">O194+L194+R194</f>
        <v>72.165</v>
      </c>
      <c r="V194" s="4" t="n">
        <f aca="false">P194+M194+S194</f>
        <v>155.94</v>
      </c>
      <c r="W194" s="4" t="n">
        <f aca="false">Q194+N194+T194</f>
        <v>337.0275</v>
      </c>
      <c r="X194" s="4" t="n">
        <f aca="false">'City Data'!K194</f>
        <v>45</v>
      </c>
      <c r="Y194" s="4" t="n">
        <f aca="false">'City Data'!L194</f>
        <v>105</v>
      </c>
      <c r="Z194" s="4" t="n">
        <f aca="false">'City Data'!M194</f>
        <v>310</v>
      </c>
      <c r="AA194" s="4" t="n">
        <f aca="false">U194-X194</f>
        <v>27.165</v>
      </c>
      <c r="AB194" s="4" t="n">
        <f aca="false">V194-Y194</f>
        <v>50.94</v>
      </c>
      <c r="AC194" s="4" t="n">
        <f aca="false">W194-Z194</f>
        <v>27.0275</v>
      </c>
      <c r="AD194" s="4" t="str">
        <f aca="false">IF(OR(AND(X194&lt;&gt;0,ABS(AA194)&gt;Assumptions!$B$18*X194),AND(Y194&lt;&gt;0,ABS(AB194)&gt;Assumptions!$B$18*Y194),AND(Z194&lt;&gt;0,ABS(AC194)&gt;Assumptions!$B$18*Z194)),"REVIEW","")</f>
        <v>REVIEW</v>
      </c>
    </row>
    <row r="195" customFormat="false" ht="15" hidden="false" customHeight="false" outlineLevel="0" collapsed="false">
      <c r="A195" s="0" t="str">
        <f aca="false">'City Data'!A195</f>
        <v>Paris</v>
      </c>
      <c r="B195" s="4" t="n">
        <f aca="false">'City Data'!B195/Assumptions!$B$2</f>
        <v>37.5</v>
      </c>
      <c r="C195" s="4" t="n">
        <f aca="false">'City Data'!C195/Assumptions!$B$2</f>
        <v>75</v>
      </c>
      <c r="D195" s="4" t="n">
        <f aca="false">'City Data'!D195/Assumptions!$B$2</f>
        <v>200</v>
      </c>
      <c r="E195" s="4" t="n">
        <f aca="false">Assumptions!$B$3*Assumptions!$B$4*'City Data'!E195</f>
        <v>84</v>
      </c>
      <c r="F195" s="4" t="n">
        <f aca="false">Assumptions!$B$3*Assumptions!$B$5*'City Data'!E195</f>
        <v>151.2</v>
      </c>
      <c r="G195" s="4" t="n">
        <f aca="false">Assumptions!$B$3*Assumptions!$B$6*'City Data'!E195</f>
        <v>294</v>
      </c>
      <c r="H195" s="4" t="n">
        <f aca="false">Assumptions!$B$7*'City Data'!F195</f>
        <v>20</v>
      </c>
      <c r="I195" s="4" t="n">
        <f aca="false">Assumptions!$B$8*'City Data'!F195</f>
        <v>40</v>
      </c>
      <c r="J195" s="4" t="n">
        <f aca="false">Assumptions!$B$9*'City Data'!F195</f>
        <v>80</v>
      </c>
      <c r="K195" s="4" t="n">
        <f aca="false">'City Data'!G195+'City Data'!H195</f>
        <v>5</v>
      </c>
      <c r="L195" s="4" t="n">
        <f aca="false">IF(AND(Assumptions!$B$13,ISNUMBER('City Data'!I195)),Assumptions!$B$10*'City Data'!I195,0)</f>
        <v>7</v>
      </c>
      <c r="M195" s="4" t="n">
        <f aca="false">IF(AND(Assumptions!$B$13,ISNUMBER('City Data'!I195)),Assumptions!$B$11*'City Data'!I195,0)</f>
        <v>14</v>
      </c>
      <c r="N195" s="4" t="n">
        <f aca="false">IF(AND(Assumptions!$B$13,ISNUMBER('City Data'!I195)),Assumptions!$B$12*'City Data'!I195,0)</f>
        <v>21</v>
      </c>
      <c r="O195" s="4" t="n">
        <f aca="false">B195+E195+H195+K195</f>
        <v>146.5</v>
      </c>
      <c r="P195" s="4" t="n">
        <f aca="false">C195+F195+I195+K195</f>
        <v>271.2</v>
      </c>
      <c r="Q195" s="4" t="n">
        <f aca="false">D195+G195+J195+K195</f>
        <v>579</v>
      </c>
      <c r="R195" s="4" t="n">
        <f aca="false">IF(Assumptions!$B$14,Assumptions!$B$15*O195,0)</f>
        <v>14.65</v>
      </c>
      <c r="S195" s="4" t="n">
        <f aca="false">IF(Assumptions!$B$14,Assumptions!$B$16*P195,0)</f>
        <v>54.24</v>
      </c>
      <c r="T195" s="4" t="n">
        <f aca="false">IF(Assumptions!$B$14,Assumptions!$B$17*Q195,0)</f>
        <v>202.65</v>
      </c>
      <c r="U195" s="4" t="n">
        <f aca="false">O195+L195+R195</f>
        <v>168.15</v>
      </c>
      <c r="V195" s="4" t="n">
        <f aca="false">P195+M195+S195</f>
        <v>339.44</v>
      </c>
      <c r="W195" s="4" t="n">
        <f aca="false">Q195+N195+T195</f>
        <v>802.65</v>
      </c>
      <c r="X195" s="4" t="n">
        <f aca="false">'City Data'!K195</f>
        <v>100</v>
      </c>
      <c r="Y195" s="4" t="n">
        <f aca="false">'City Data'!L195</f>
        <v>250</v>
      </c>
      <c r="Z195" s="4" t="n">
        <f aca="false">'City Data'!M195</f>
        <v>700</v>
      </c>
      <c r="AA195" s="4" t="n">
        <f aca="false">U195-X195</f>
        <v>68.15</v>
      </c>
      <c r="AB195" s="4" t="n">
        <f aca="false">V195-Y195</f>
        <v>89.4400000000001</v>
      </c>
      <c r="AC195" s="4" t="n">
        <f aca="false">W195-Z195</f>
        <v>102.65</v>
      </c>
      <c r="AD195" s="4" t="str">
        <f aca="false">IF(OR(AND(X195&lt;&gt;0,ABS(AA195)&gt;Assumptions!$B$18*X195),AND(Y195&lt;&gt;0,ABS(AB195)&gt;Assumptions!$B$18*Y195),AND(Z195&lt;&gt;0,ABS(AC195)&gt;Assumptions!$B$18*Z195)),"REVIEW","")</f>
        <v>REVIEW</v>
      </c>
    </row>
    <row r="196" customFormat="false" ht="15" hidden="false" customHeight="false" outlineLevel="0" collapsed="false">
      <c r="A196" s="0" t="str">
        <f aca="false">'City Data'!A196</f>
        <v>Pattaya-Chonburi</v>
      </c>
      <c r="B196" s="4" t="n">
        <f aca="false">'City Data'!B196/Assumptions!$B$2</f>
        <v>10</v>
      </c>
      <c r="C196" s="4" t="n">
        <f aca="false">'City Data'!C196/Assumptions!$B$2</f>
        <v>22.5</v>
      </c>
      <c r="D196" s="4" t="n">
        <f aca="false">'City Data'!D196/Assumptions!$B$2</f>
        <v>90</v>
      </c>
      <c r="E196" s="4" t="n">
        <f aca="false">Assumptions!$B$3*Assumptions!$B$4*'City Data'!E196</f>
        <v>24</v>
      </c>
      <c r="F196" s="4" t="n">
        <f aca="false">Assumptions!$B$3*Assumptions!$B$5*'City Data'!E196</f>
        <v>43.2</v>
      </c>
      <c r="G196" s="4" t="n">
        <f aca="false">Assumptions!$B$3*Assumptions!$B$6*'City Data'!E196</f>
        <v>84</v>
      </c>
      <c r="H196" s="4" t="n">
        <f aca="false">Assumptions!$B$7*'City Data'!F196</f>
        <v>10</v>
      </c>
      <c r="I196" s="4" t="n">
        <f aca="false">Assumptions!$B$8*'City Data'!F196</f>
        <v>20</v>
      </c>
      <c r="J196" s="4" t="n">
        <f aca="false">Assumptions!$B$9*'City Data'!F196</f>
        <v>40</v>
      </c>
      <c r="K196" s="4" t="n">
        <f aca="false">'City Data'!G196+'City Data'!H196</f>
        <v>2.8</v>
      </c>
      <c r="L196" s="4" t="n">
        <f aca="false">IF(AND(Assumptions!$B$13,ISNUMBER('City Data'!I196)),Assumptions!$B$10*'City Data'!I196,0)</f>
        <v>2</v>
      </c>
      <c r="M196" s="4" t="n">
        <f aca="false">IF(AND(Assumptions!$B$13,ISNUMBER('City Data'!I196)),Assumptions!$B$11*'City Data'!I196,0)</f>
        <v>4</v>
      </c>
      <c r="N196" s="4" t="n">
        <f aca="false">IF(AND(Assumptions!$B$13,ISNUMBER('City Data'!I196)),Assumptions!$B$12*'City Data'!I196,0)</f>
        <v>6</v>
      </c>
      <c r="O196" s="4" t="n">
        <f aca="false">B196+E196+H196+K196</f>
        <v>46.8</v>
      </c>
      <c r="P196" s="4" t="n">
        <f aca="false">C196+F196+I196+K196</f>
        <v>88.5</v>
      </c>
      <c r="Q196" s="4" t="n">
        <f aca="false">D196+G196+J196+K196</f>
        <v>216.8</v>
      </c>
      <c r="R196" s="4" t="n">
        <f aca="false">IF(Assumptions!$B$14,Assumptions!$B$15*O196,0)</f>
        <v>4.68</v>
      </c>
      <c r="S196" s="4" t="n">
        <f aca="false">IF(Assumptions!$B$14,Assumptions!$B$16*P196,0)</f>
        <v>17.7</v>
      </c>
      <c r="T196" s="4" t="n">
        <f aca="false">IF(Assumptions!$B$14,Assumptions!$B$17*Q196,0)</f>
        <v>75.88</v>
      </c>
      <c r="U196" s="4" t="n">
        <f aca="false">O196+L196+R196</f>
        <v>53.48</v>
      </c>
      <c r="V196" s="4" t="n">
        <f aca="false">P196+M196+S196</f>
        <v>110.2</v>
      </c>
      <c r="W196" s="4" t="n">
        <f aca="false">Q196+N196+T196</f>
        <v>298.68</v>
      </c>
      <c r="X196" s="4" t="n">
        <f aca="false">'City Data'!K196</f>
        <v>35</v>
      </c>
      <c r="Y196" s="4" t="n">
        <f aca="false">'City Data'!L196</f>
        <v>85</v>
      </c>
      <c r="Z196" s="4" t="n">
        <f aca="false">'City Data'!M196</f>
        <v>250</v>
      </c>
      <c r="AA196" s="4" t="n">
        <f aca="false">U196-X196</f>
        <v>18.48</v>
      </c>
      <c r="AB196" s="4" t="n">
        <f aca="false">V196-Y196</f>
        <v>25.2</v>
      </c>
      <c r="AC196" s="4" t="n">
        <f aca="false">W196-Z196</f>
        <v>48.68</v>
      </c>
      <c r="AD196" s="4" t="str">
        <f aca="false">IF(OR(AND(X196&lt;&gt;0,ABS(AA196)&gt;Assumptions!$B$18*X196),AND(Y196&lt;&gt;0,ABS(AB196)&gt;Assumptions!$B$18*Y196),AND(Z196&lt;&gt;0,ABS(AC196)&gt;Assumptions!$B$18*Z196)),"REVIEW","")</f>
        <v>REVIEW</v>
      </c>
    </row>
    <row r="197" customFormat="false" ht="15" hidden="false" customHeight="false" outlineLevel="0" collapsed="false">
      <c r="A197" s="0" t="str">
        <f aca="false">'City Data'!A197</f>
        <v>Phuket</v>
      </c>
      <c r="B197" s="4" t="n">
        <f aca="false">'City Data'!B197/Assumptions!$B$2</f>
        <v>11</v>
      </c>
      <c r="C197" s="4" t="n">
        <f aca="false">'City Data'!C197/Assumptions!$B$2</f>
        <v>27.5</v>
      </c>
      <c r="D197" s="4" t="n">
        <f aca="false">'City Data'!D197/Assumptions!$B$2</f>
        <v>100</v>
      </c>
      <c r="E197" s="4" t="n">
        <f aca="false">Assumptions!$B$3*Assumptions!$B$4*'City Data'!E197</f>
        <v>30</v>
      </c>
      <c r="F197" s="4" t="n">
        <f aca="false">Assumptions!$B$3*Assumptions!$B$5*'City Data'!E197</f>
        <v>54</v>
      </c>
      <c r="G197" s="4" t="n">
        <f aca="false">Assumptions!$B$3*Assumptions!$B$6*'City Data'!E197</f>
        <v>105</v>
      </c>
      <c r="H197" s="4" t="n">
        <f aca="false">Assumptions!$B$7*'City Data'!F197</f>
        <v>12</v>
      </c>
      <c r="I197" s="4" t="n">
        <f aca="false">Assumptions!$B$8*'City Data'!F197</f>
        <v>24</v>
      </c>
      <c r="J197" s="4" t="n">
        <f aca="false">Assumptions!$B$9*'City Data'!F197</f>
        <v>48</v>
      </c>
      <c r="K197" s="4" t="n">
        <f aca="false">'City Data'!G197+'City Data'!H197</f>
        <v>3</v>
      </c>
      <c r="L197" s="4" t="n">
        <f aca="false">IF(AND(Assumptions!$B$13,ISNUMBER('City Data'!I197)),Assumptions!$B$10*'City Data'!I197,0)</f>
        <v>3</v>
      </c>
      <c r="M197" s="4" t="n">
        <f aca="false">IF(AND(Assumptions!$B$13,ISNUMBER('City Data'!I197)),Assumptions!$B$11*'City Data'!I197,0)</f>
        <v>6</v>
      </c>
      <c r="N197" s="4" t="n">
        <f aca="false">IF(AND(Assumptions!$B$13,ISNUMBER('City Data'!I197)),Assumptions!$B$12*'City Data'!I197,0)</f>
        <v>9</v>
      </c>
      <c r="O197" s="4" t="n">
        <f aca="false">B197+E197+H197+K197</f>
        <v>56</v>
      </c>
      <c r="P197" s="4" t="n">
        <f aca="false">C197+F197+I197+K197</f>
        <v>108.5</v>
      </c>
      <c r="Q197" s="4" t="n">
        <f aca="false">D197+G197+J197+K197</f>
        <v>256</v>
      </c>
      <c r="R197" s="4" t="n">
        <f aca="false">IF(Assumptions!$B$14,Assumptions!$B$15*O197,0)</f>
        <v>5.6</v>
      </c>
      <c r="S197" s="4" t="n">
        <f aca="false">IF(Assumptions!$B$14,Assumptions!$B$16*P197,0)</f>
        <v>21.7</v>
      </c>
      <c r="T197" s="4" t="n">
        <f aca="false">IF(Assumptions!$B$14,Assumptions!$B$17*Q197,0)</f>
        <v>89.6</v>
      </c>
      <c r="U197" s="4" t="n">
        <f aca="false">O197+L197+R197</f>
        <v>64.6</v>
      </c>
      <c r="V197" s="4" t="n">
        <f aca="false">P197+M197+S197</f>
        <v>136.2</v>
      </c>
      <c r="W197" s="4" t="n">
        <f aca="false">Q197+N197+T197</f>
        <v>354.6</v>
      </c>
      <c r="X197" s="4" t="n">
        <f aca="false">'City Data'!K197</f>
        <v>40</v>
      </c>
      <c r="Y197" s="4" t="n">
        <f aca="false">'City Data'!L197</f>
        <v>100</v>
      </c>
      <c r="Z197" s="4" t="n">
        <f aca="false">'City Data'!M197</f>
        <v>300</v>
      </c>
      <c r="AA197" s="4" t="n">
        <f aca="false">U197-X197</f>
        <v>24.6</v>
      </c>
      <c r="AB197" s="4" t="n">
        <f aca="false">V197-Y197</f>
        <v>36.2</v>
      </c>
      <c r="AC197" s="4" t="n">
        <f aca="false">W197-Z197</f>
        <v>54.6</v>
      </c>
      <c r="AD197" s="4" t="str">
        <f aca="false">IF(OR(AND(X197&lt;&gt;0,ABS(AA197)&gt;Assumptions!$B$18*X197),AND(Y197&lt;&gt;0,ABS(AB197)&gt;Assumptions!$B$18*Y197),AND(Z197&lt;&gt;0,ABS(AC197)&gt;Assumptions!$B$18*Z197)),"REVIEW","")</f>
        <v>REVIEW</v>
      </c>
    </row>
    <row r="198" customFormat="false" ht="15" hidden="false" customHeight="false" outlineLevel="0" collapsed="false">
      <c r="A198" s="0" t="str">
        <f aca="false">'City Data'!A198</f>
        <v>Port Louis</v>
      </c>
      <c r="B198" s="4" t="n">
        <f aca="false">'City Data'!B198/Assumptions!$B$2</f>
        <v>15</v>
      </c>
      <c r="C198" s="4" t="n">
        <f aca="false">'City Data'!C198/Assumptions!$B$2</f>
        <v>45</v>
      </c>
      <c r="D198" s="4" t="n">
        <f aca="false">'City Data'!D198/Assumptions!$B$2</f>
        <v>160</v>
      </c>
      <c r="E198" s="4" t="n">
        <f aca="false">Assumptions!$B$3*Assumptions!$B$4*'City Data'!E198</f>
        <v>45</v>
      </c>
      <c r="F198" s="4" t="n">
        <f aca="false">Assumptions!$B$3*Assumptions!$B$5*'City Data'!E198</f>
        <v>81</v>
      </c>
      <c r="G198" s="4" t="n">
        <f aca="false">Assumptions!$B$3*Assumptions!$B$6*'City Data'!E198</f>
        <v>157.5</v>
      </c>
      <c r="H198" s="4" t="n">
        <f aca="false">Assumptions!$B$7*'City Data'!F198</f>
        <v>8</v>
      </c>
      <c r="I198" s="4" t="n">
        <f aca="false">Assumptions!$B$8*'City Data'!F198</f>
        <v>16</v>
      </c>
      <c r="J198" s="4" t="n">
        <f aca="false">Assumptions!$B$9*'City Data'!F198</f>
        <v>32</v>
      </c>
      <c r="K198" s="4" t="n">
        <f aca="false">'City Data'!G198+'City Data'!H198</f>
        <v>3.5</v>
      </c>
      <c r="L198" s="4" t="n">
        <f aca="false">IF(AND(Assumptions!$B$13,ISNUMBER('City Data'!I198)),Assumptions!$B$10*'City Data'!I198,0)</f>
        <v>3</v>
      </c>
      <c r="M198" s="4" t="n">
        <f aca="false">IF(AND(Assumptions!$B$13,ISNUMBER('City Data'!I198)),Assumptions!$B$11*'City Data'!I198,0)</f>
        <v>6</v>
      </c>
      <c r="N198" s="4" t="n">
        <f aca="false">IF(AND(Assumptions!$B$13,ISNUMBER('City Data'!I198)),Assumptions!$B$12*'City Data'!I198,0)</f>
        <v>9</v>
      </c>
      <c r="O198" s="4" t="n">
        <f aca="false">B198+E198+H198+K198</f>
        <v>71.5</v>
      </c>
      <c r="P198" s="4" t="n">
        <f aca="false">C198+F198+I198+K198</f>
        <v>145.5</v>
      </c>
      <c r="Q198" s="4" t="n">
        <f aca="false">D198+G198+J198+K198</f>
        <v>353</v>
      </c>
      <c r="R198" s="4" t="n">
        <f aca="false">IF(Assumptions!$B$14,Assumptions!$B$15*O198,0)</f>
        <v>7.15</v>
      </c>
      <c r="S198" s="4" t="n">
        <f aca="false">IF(Assumptions!$B$14,Assumptions!$B$16*P198,0)</f>
        <v>29.1</v>
      </c>
      <c r="T198" s="4" t="n">
        <f aca="false">IF(Assumptions!$B$14,Assumptions!$B$17*Q198,0)</f>
        <v>123.55</v>
      </c>
      <c r="U198" s="4" t="n">
        <f aca="false">O198+L198+R198</f>
        <v>81.65</v>
      </c>
      <c r="V198" s="4" t="n">
        <f aca="false">P198+M198+S198</f>
        <v>180.6</v>
      </c>
      <c r="W198" s="4" t="n">
        <f aca="false">Q198+N198+T198</f>
        <v>485.55</v>
      </c>
      <c r="X198" s="4" t="n">
        <f aca="false">'City Data'!K198</f>
        <v>50</v>
      </c>
      <c r="Y198" s="4" t="n">
        <f aca="false">'City Data'!L198</f>
        <v>125</v>
      </c>
      <c r="Z198" s="4" t="n">
        <f aca="false">'City Data'!M198</f>
        <v>390</v>
      </c>
      <c r="AA198" s="4" t="n">
        <f aca="false">U198-X198</f>
        <v>31.65</v>
      </c>
      <c r="AB198" s="4" t="n">
        <f aca="false">V198-Y198</f>
        <v>55.6</v>
      </c>
      <c r="AC198" s="4" t="n">
        <f aca="false">W198-Z198</f>
        <v>95.55</v>
      </c>
      <c r="AD198" s="4" t="str">
        <f aca="false">IF(OR(AND(X198&lt;&gt;0,ABS(AA198)&gt;Assumptions!$B$18*X198),AND(Y198&lt;&gt;0,ABS(AB198)&gt;Assumptions!$B$18*Y198),AND(Z198&lt;&gt;0,ABS(AC198)&gt;Assumptions!$B$18*Z198)),"REVIEW","")</f>
        <v>REVIEW</v>
      </c>
    </row>
    <row r="199" customFormat="false" ht="15" hidden="false" customHeight="false" outlineLevel="0" collapsed="false">
      <c r="A199" s="0" t="str">
        <f aca="false">'City Data'!A199</f>
        <v>Port Moresby</v>
      </c>
      <c r="B199" s="4" t="n">
        <f aca="false">'City Data'!B199/Assumptions!$B$2</f>
        <v>30</v>
      </c>
      <c r="C199" s="4" t="n">
        <f aca="false">'City Data'!C199/Assumptions!$B$2</f>
        <v>80</v>
      </c>
      <c r="D199" s="4" t="n">
        <f aca="false">'City Data'!D199/Assumptions!$B$2</f>
        <v>125</v>
      </c>
      <c r="E199" s="4" t="n">
        <f aca="false">Assumptions!$B$3*Assumptions!$B$4*'City Data'!E199</f>
        <v>60</v>
      </c>
      <c r="F199" s="4" t="n">
        <f aca="false">Assumptions!$B$3*Assumptions!$B$5*'City Data'!E199</f>
        <v>108</v>
      </c>
      <c r="G199" s="4" t="n">
        <f aca="false">Assumptions!$B$3*Assumptions!$B$6*'City Data'!E199</f>
        <v>210</v>
      </c>
      <c r="H199" s="4" t="n">
        <f aca="false">Assumptions!$B$7*'City Data'!F199</f>
        <v>15</v>
      </c>
      <c r="I199" s="4" t="n">
        <f aca="false">Assumptions!$B$8*'City Data'!F199</f>
        <v>30</v>
      </c>
      <c r="J199" s="4" t="n">
        <f aca="false">Assumptions!$B$9*'City Data'!F199</f>
        <v>60</v>
      </c>
      <c r="K199" s="4" t="n">
        <f aca="false">'City Data'!G199+'City Data'!H199</f>
        <v>5</v>
      </c>
      <c r="L199" s="4" t="n">
        <f aca="false">IF(AND(Assumptions!$B$13,ISNUMBER('City Data'!I199)),Assumptions!$B$10*'City Data'!I199,0)</f>
        <v>5</v>
      </c>
      <c r="M199" s="4" t="n">
        <f aca="false">IF(AND(Assumptions!$B$13,ISNUMBER('City Data'!I199)),Assumptions!$B$11*'City Data'!I199,0)</f>
        <v>10</v>
      </c>
      <c r="N199" s="4" t="n">
        <f aca="false">IF(AND(Assumptions!$B$13,ISNUMBER('City Data'!I199)),Assumptions!$B$12*'City Data'!I199,0)</f>
        <v>15</v>
      </c>
      <c r="O199" s="4" t="n">
        <f aca="false">B199+E199+H199+K199</f>
        <v>110</v>
      </c>
      <c r="P199" s="4" t="n">
        <f aca="false">C199+F199+I199+K199</f>
        <v>223</v>
      </c>
      <c r="Q199" s="4" t="n">
        <f aca="false">D199+G199+J199+K199</f>
        <v>400</v>
      </c>
      <c r="R199" s="4" t="n">
        <f aca="false">IF(Assumptions!$B$14,Assumptions!$B$15*O199,0)</f>
        <v>11</v>
      </c>
      <c r="S199" s="4" t="n">
        <f aca="false">IF(Assumptions!$B$14,Assumptions!$B$16*P199,0)</f>
        <v>44.6</v>
      </c>
      <c r="T199" s="4" t="n">
        <f aca="false">IF(Assumptions!$B$14,Assumptions!$B$17*Q199,0)</f>
        <v>140</v>
      </c>
      <c r="U199" s="4" t="n">
        <f aca="false">O199+L199+R199</f>
        <v>126</v>
      </c>
      <c r="V199" s="4" t="n">
        <f aca="false">P199+M199+S199</f>
        <v>277.6</v>
      </c>
      <c r="W199" s="4" t="n">
        <f aca="false">Q199+N199+T199</f>
        <v>555</v>
      </c>
      <c r="X199" s="4" t="n">
        <f aca="false">'City Data'!K199</f>
        <v>65</v>
      </c>
      <c r="Y199" s="4" t="n">
        <f aca="false">'City Data'!L199</f>
        <v>160</v>
      </c>
      <c r="Z199" s="4" t="n">
        <f aca="false">'City Data'!M199</f>
        <v>445</v>
      </c>
      <c r="AA199" s="4" t="n">
        <f aca="false">U199-X199</f>
        <v>61</v>
      </c>
      <c r="AB199" s="4" t="n">
        <f aca="false">V199-Y199</f>
        <v>117.6</v>
      </c>
      <c r="AC199" s="4" t="n">
        <f aca="false">W199-Z199</f>
        <v>110</v>
      </c>
      <c r="AD199" s="4" t="str">
        <f aca="false">IF(OR(AND(X199&lt;&gt;0,ABS(AA199)&gt;Assumptions!$B$18*X199),AND(Y199&lt;&gt;0,ABS(AB199)&gt;Assumptions!$B$18*Y199),AND(Z199&lt;&gt;0,ABS(AC199)&gt;Assumptions!$B$18*Z199)),"REVIEW","")</f>
        <v>REVIEW</v>
      </c>
    </row>
    <row r="200" customFormat="false" ht="15" hidden="false" customHeight="false" outlineLevel="0" collapsed="false">
      <c r="A200" s="0" t="str">
        <f aca="false">'City Data'!A200</f>
        <v>Port Vila</v>
      </c>
      <c r="B200" s="4" t="n">
        <f aca="false">'City Data'!B200/Assumptions!$B$2</f>
        <v>22.5</v>
      </c>
      <c r="C200" s="4" t="n">
        <f aca="false">'City Data'!C200/Assumptions!$B$2</f>
        <v>60</v>
      </c>
      <c r="D200" s="4" t="n">
        <f aca="false">'City Data'!D200/Assumptions!$B$2</f>
        <v>175</v>
      </c>
      <c r="E200" s="4" t="n">
        <f aca="false">Assumptions!$B$3*Assumptions!$B$4*'City Data'!E200</f>
        <v>54</v>
      </c>
      <c r="F200" s="4" t="n">
        <f aca="false">Assumptions!$B$3*Assumptions!$B$5*'City Data'!E200</f>
        <v>97.2</v>
      </c>
      <c r="G200" s="4" t="n">
        <f aca="false">Assumptions!$B$3*Assumptions!$B$6*'City Data'!E200</f>
        <v>189</v>
      </c>
      <c r="H200" s="4" t="n">
        <f aca="false">Assumptions!$B$7*'City Data'!F200</f>
        <v>8</v>
      </c>
      <c r="I200" s="4" t="n">
        <f aca="false">Assumptions!$B$8*'City Data'!F200</f>
        <v>16</v>
      </c>
      <c r="J200" s="4" t="n">
        <f aca="false">Assumptions!$B$9*'City Data'!F200</f>
        <v>32</v>
      </c>
      <c r="K200" s="4" t="n">
        <f aca="false">'City Data'!G200+'City Data'!H200</f>
        <v>6</v>
      </c>
      <c r="L200" s="4" t="n">
        <f aca="false">IF(AND(Assumptions!$B$13,ISNUMBER('City Data'!I200)),Assumptions!$B$10*'City Data'!I200,0)</f>
        <v>5</v>
      </c>
      <c r="M200" s="4" t="n">
        <f aca="false">IF(AND(Assumptions!$B$13,ISNUMBER('City Data'!I200)),Assumptions!$B$11*'City Data'!I200,0)</f>
        <v>10</v>
      </c>
      <c r="N200" s="4" t="n">
        <f aca="false">IF(AND(Assumptions!$B$13,ISNUMBER('City Data'!I200)),Assumptions!$B$12*'City Data'!I200,0)</f>
        <v>15</v>
      </c>
      <c r="O200" s="4" t="n">
        <f aca="false">B200+E200+H200+K200</f>
        <v>90.5</v>
      </c>
      <c r="P200" s="4" t="n">
        <f aca="false">C200+F200+I200+K200</f>
        <v>179.2</v>
      </c>
      <c r="Q200" s="4" t="n">
        <f aca="false">D200+G200+J200+K200</f>
        <v>402</v>
      </c>
      <c r="R200" s="4" t="n">
        <f aca="false">IF(Assumptions!$B$14,Assumptions!$B$15*O200,0)</f>
        <v>9.05</v>
      </c>
      <c r="S200" s="4" t="n">
        <f aca="false">IF(Assumptions!$B$14,Assumptions!$B$16*P200,0)</f>
        <v>35.84</v>
      </c>
      <c r="T200" s="4" t="n">
        <f aca="false">IF(Assumptions!$B$14,Assumptions!$B$17*Q200,0)</f>
        <v>140.7</v>
      </c>
      <c r="U200" s="4" t="n">
        <f aca="false">O200+L200+R200</f>
        <v>104.55</v>
      </c>
      <c r="V200" s="4" t="n">
        <f aca="false">P200+M200+S200</f>
        <v>225.04</v>
      </c>
      <c r="W200" s="4" t="n">
        <f aca="false">Q200+N200+T200</f>
        <v>557.7</v>
      </c>
      <c r="X200" s="4" t="n">
        <f aca="false">'City Data'!K200</f>
        <v>60</v>
      </c>
      <c r="Y200" s="4" t="n">
        <f aca="false">'City Data'!L200</f>
        <v>150</v>
      </c>
      <c r="Z200" s="4" t="n">
        <f aca="false">'City Data'!M200</f>
        <v>450</v>
      </c>
      <c r="AA200" s="4" t="n">
        <f aca="false">U200-X200</f>
        <v>44.55</v>
      </c>
      <c r="AB200" s="4" t="n">
        <f aca="false">V200-Y200</f>
        <v>75.04</v>
      </c>
      <c r="AC200" s="4" t="n">
        <f aca="false">W200-Z200</f>
        <v>107.7</v>
      </c>
      <c r="AD200" s="4" t="str">
        <f aca="false">IF(OR(AND(X200&lt;&gt;0,ABS(AA200)&gt;Assumptions!$B$18*X200),AND(Y200&lt;&gt;0,ABS(AB200)&gt;Assumptions!$B$18*Y200),AND(Z200&lt;&gt;0,ABS(AC200)&gt;Assumptions!$B$18*Z200)),"REVIEW","")</f>
        <v>REVIEW</v>
      </c>
    </row>
    <row r="201" customFormat="false" ht="15" hidden="false" customHeight="false" outlineLevel="0" collapsed="false">
      <c r="A201" s="0" t="str">
        <f aca="false">'City Data'!A201</f>
        <v>Port of Spain</v>
      </c>
      <c r="B201" s="4" t="n">
        <f aca="false">'City Data'!B201/Assumptions!$B$2</f>
        <v>22.5</v>
      </c>
      <c r="C201" s="4" t="n">
        <f aca="false">'City Data'!C201/Assumptions!$B$2</f>
        <v>55</v>
      </c>
      <c r="D201" s="4" t="n">
        <f aca="false">'City Data'!D201/Assumptions!$B$2</f>
        <v>110</v>
      </c>
      <c r="E201" s="4" t="n">
        <f aca="false">Assumptions!$B$3*Assumptions!$B$4*'City Data'!E201</f>
        <v>54</v>
      </c>
      <c r="F201" s="4" t="n">
        <f aca="false">Assumptions!$B$3*Assumptions!$B$5*'City Data'!E201</f>
        <v>97.2</v>
      </c>
      <c r="G201" s="4" t="n">
        <f aca="false">Assumptions!$B$3*Assumptions!$B$6*'City Data'!E201</f>
        <v>189</v>
      </c>
      <c r="H201" s="4" t="n">
        <f aca="false">Assumptions!$B$7*'City Data'!F201</f>
        <v>8</v>
      </c>
      <c r="I201" s="4" t="n">
        <f aca="false">Assumptions!$B$8*'City Data'!F201</f>
        <v>16</v>
      </c>
      <c r="J201" s="4" t="n">
        <f aca="false">Assumptions!$B$9*'City Data'!F201</f>
        <v>32</v>
      </c>
      <c r="K201" s="4" t="n">
        <f aca="false">'City Data'!G201+'City Data'!H201</f>
        <v>3.5</v>
      </c>
      <c r="L201" s="4" t="n">
        <f aca="false">IF(AND(Assumptions!$B$13,ISNUMBER('City Data'!I201)),Assumptions!$B$10*'City Data'!I201,0)</f>
        <v>3.5</v>
      </c>
      <c r="M201" s="4" t="n">
        <f aca="false">IF(AND(Assumptions!$B$13,ISNUMBER('City Data'!I201)),Assumptions!$B$11*'City Data'!I201,0)</f>
        <v>7</v>
      </c>
      <c r="N201" s="4" t="n">
        <f aca="false">IF(AND(Assumptions!$B$13,ISNUMBER('City Data'!I201)),Assumptions!$B$12*'City Data'!I201,0)</f>
        <v>10.5</v>
      </c>
      <c r="O201" s="4" t="n">
        <f aca="false">B201+E201+H201+K201</f>
        <v>88</v>
      </c>
      <c r="P201" s="4" t="n">
        <f aca="false">C201+F201+I201+K201</f>
        <v>171.7</v>
      </c>
      <c r="Q201" s="4" t="n">
        <f aca="false">D201+G201+J201+K201</f>
        <v>334.5</v>
      </c>
      <c r="R201" s="4" t="n">
        <f aca="false">IF(Assumptions!$B$14,Assumptions!$B$15*O201,0)</f>
        <v>8.8</v>
      </c>
      <c r="S201" s="4" t="n">
        <f aca="false">IF(Assumptions!$B$14,Assumptions!$B$16*P201,0)</f>
        <v>34.34</v>
      </c>
      <c r="T201" s="4" t="n">
        <f aca="false">IF(Assumptions!$B$14,Assumptions!$B$17*Q201,0)</f>
        <v>117.075</v>
      </c>
      <c r="U201" s="4" t="n">
        <f aca="false">O201+L201+R201</f>
        <v>100.3</v>
      </c>
      <c r="V201" s="4" t="n">
        <f aca="false">P201+M201+S201</f>
        <v>213.04</v>
      </c>
      <c r="W201" s="4" t="n">
        <f aca="false">Q201+N201+T201</f>
        <v>462.075</v>
      </c>
      <c r="X201" s="4" t="n">
        <f aca="false">'City Data'!K201</f>
        <v>55</v>
      </c>
      <c r="Y201" s="4" t="n">
        <f aca="false">'City Data'!L201</f>
        <v>135</v>
      </c>
      <c r="Z201" s="4" t="n">
        <f aca="false">'City Data'!M201</f>
        <v>390</v>
      </c>
      <c r="AA201" s="4" t="n">
        <f aca="false">U201-X201</f>
        <v>45.3</v>
      </c>
      <c r="AB201" s="4" t="n">
        <f aca="false">V201-Y201</f>
        <v>78.04</v>
      </c>
      <c r="AC201" s="4" t="n">
        <f aca="false">W201-Z201</f>
        <v>72.075</v>
      </c>
      <c r="AD201" s="4" t="str">
        <f aca="false">IF(OR(AND(X201&lt;&gt;0,ABS(AA201)&gt;Assumptions!$B$18*X201),AND(Y201&lt;&gt;0,ABS(AB201)&gt;Assumptions!$B$18*Y201),AND(Z201&lt;&gt;0,ABS(AC201)&gt;Assumptions!$B$18*Z201)),"REVIEW","")</f>
        <v>REVIEW</v>
      </c>
    </row>
    <row r="202" customFormat="false" ht="15" hidden="false" customHeight="false" outlineLevel="0" collapsed="false">
      <c r="A202" s="0" t="str">
        <f aca="false">'City Data'!A202</f>
        <v>Port-au-Prince</v>
      </c>
      <c r="B202" s="4" t="n">
        <f aca="false">'City Data'!B202/Assumptions!$B$2</f>
        <v>22.5</v>
      </c>
      <c r="C202" s="4" t="n">
        <f aca="false">'City Data'!C202/Assumptions!$B$2</f>
        <v>55</v>
      </c>
      <c r="D202" s="4" t="n">
        <f aca="false">'City Data'!D202/Assumptions!$B$2</f>
        <v>140</v>
      </c>
      <c r="E202" s="4" t="n">
        <f aca="false">Assumptions!$B$3*Assumptions!$B$4*'City Data'!E202</f>
        <v>54</v>
      </c>
      <c r="F202" s="4" t="n">
        <f aca="false">Assumptions!$B$3*Assumptions!$B$5*'City Data'!E202</f>
        <v>97.2</v>
      </c>
      <c r="G202" s="4" t="n">
        <f aca="false">Assumptions!$B$3*Assumptions!$B$6*'City Data'!E202</f>
        <v>189</v>
      </c>
      <c r="H202" s="4" t="n">
        <f aca="false">Assumptions!$B$7*'City Data'!F202</f>
        <v>12</v>
      </c>
      <c r="I202" s="4" t="n">
        <f aca="false">Assumptions!$B$8*'City Data'!F202</f>
        <v>24</v>
      </c>
      <c r="J202" s="4" t="n">
        <f aca="false">Assumptions!$B$9*'City Data'!F202</f>
        <v>48</v>
      </c>
      <c r="K202" s="4" t="n">
        <f aca="false">'City Data'!G202+'City Data'!H202</f>
        <v>4.5</v>
      </c>
      <c r="L202" s="4" t="n">
        <f aca="false">IF(AND(Assumptions!$B$13,ISNUMBER('City Data'!I202)),Assumptions!$B$10*'City Data'!I202,0)</f>
        <v>3</v>
      </c>
      <c r="M202" s="4" t="n">
        <f aca="false">IF(AND(Assumptions!$B$13,ISNUMBER('City Data'!I202)),Assumptions!$B$11*'City Data'!I202,0)</f>
        <v>6</v>
      </c>
      <c r="N202" s="4" t="n">
        <f aca="false">IF(AND(Assumptions!$B$13,ISNUMBER('City Data'!I202)),Assumptions!$B$12*'City Data'!I202,0)</f>
        <v>9</v>
      </c>
      <c r="O202" s="4" t="n">
        <f aca="false">B202+E202+H202+K202</f>
        <v>93</v>
      </c>
      <c r="P202" s="4" t="n">
        <f aca="false">C202+F202+I202+K202</f>
        <v>180.7</v>
      </c>
      <c r="Q202" s="4" t="n">
        <f aca="false">D202+G202+J202+K202</f>
        <v>381.5</v>
      </c>
      <c r="R202" s="4" t="n">
        <f aca="false">IF(Assumptions!$B$14,Assumptions!$B$15*O202,0)</f>
        <v>9.3</v>
      </c>
      <c r="S202" s="4" t="n">
        <f aca="false">IF(Assumptions!$B$14,Assumptions!$B$16*P202,0)</f>
        <v>36.14</v>
      </c>
      <c r="T202" s="4" t="n">
        <f aca="false">IF(Assumptions!$B$14,Assumptions!$B$17*Q202,0)</f>
        <v>133.525</v>
      </c>
      <c r="U202" s="4" t="n">
        <f aca="false">O202+L202+R202</f>
        <v>105.3</v>
      </c>
      <c r="V202" s="4" t="n">
        <f aca="false">P202+M202+S202</f>
        <v>222.84</v>
      </c>
      <c r="W202" s="4" t="n">
        <f aca="false">Q202+N202+T202</f>
        <v>524.025</v>
      </c>
      <c r="X202" s="4" t="n">
        <f aca="false">'City Data'!K202</f>
        <v>60</v>
      </c>
      <c r="Y202" s="4" t="n">
        <f aca="false">'City Data'!L202</f>
        <v>145</v>
      </c>
      <c r="Z202" s="4" t="n">
        <f aca="false">'City Data'!M202</f>
        <v>420</v>
      </c>
      <c r="AA202" s="4" t="n">
        <f aca="false">U202-X202</f>
        <v>45.3</v>
      </c>
      <c r="AB202" s="4" t="n">
        <f aca="false">V202-Y202</f>
        <v>77.84</v>
      </c>
      <c r="AC202" s="4" t="n">
        <f aca="false">W202-Z202</f>
        <v>104.025</v>
      </c>
      <c r="AD202" s="4" t="str">
        <f aca="false">IF(OR(AND(X202&lt;&gt;0,ABS(AA202)&gt;Assumptions!$B$18*X202),AND(Y202&lt;&gt;0,ABS(AB202)&gt;Assumptions!$B$18*Y202),AND(Z202&lt;&gt;0,ABS(AC202)&gt;Assumptions!$B$18*Z202)),"REVIEW","")</f>
        <v>REVIEW</v>
      </c>
    </row>
    <row r="203" customFormat="false" ht="15" hidden="false" customHeight="false" outlineLevel="0" collapsed="false">
      <c r="A203" s="0" t="str">
        <f aca="false">'City Data'!A203</f>
        <v>Porto</v>
      </c>
      <c r="B203" s="4" t="n">
        <f aca="false">'City Data'!B203/Assumptions!$B$2</f>
        <v>30</v>
      </c>
      <c r="C203" s="4" t="n">
        <f aca="false">'City Data'!C203/Assumptions!$B$2</f>
        <v>60</v>
      </c>
      <c r="D203" s="4" t="n">
        <f aca="false">'City Data'!D203/Assumptions!$B$2</f>
        <v>150</v>
      </c>
      <c r="E203" s="4" t="n">
        <f aca="false">Assumptions!$B$3*Assumptions!$B$4*'City Data'!E203</f>
        <v>66</v>
      </c>
      <c r="F203" s="4" t="n">
        <f aca="false">Assumptions!$B$3*Assumptions!$B$5*'City Data'!E203</f>
        <v>118.8</v>
      </c>
      <c r="G203" s="4" t="n">
        <f aca="false">Assumptions!$B$3*Assumptions!$B$6*'City Data'!E203</f>
        <v>231</v>
      </c>
      <c r="H203" s="4" t="n">
        <f aca="false">Assumptions!$B$7*'City Data'!F203</f>
        <v>15</v>
      </c>
      <c r="I203" s="4" t="n">
        <f aca="false">Assumptions!$B$8*'City Data'!F203</f>
        <v>30</v>
      </c>
      <c r="J203" s="4" t="n">
        <f aca="false">Assumptions!$B$9*'City Data'!F203</f>
        <v>60</v>
      </c>
      <c r="K203" s="4" t="n">
        <f aca="false">'City Data'!G203+'City Data'!H203</f>
        <v>2</v>
      </c>
      <c r="L203" s="4" t="n">
        <f aca="false">IF(AND(Assumptions!$B$13,ISNUMBER('City Data'!I203)),Assumptions!$B$10*'City Data'!I203,0)</f>
        <v>2.5</v>
      </c>
      <c r="M203" s="4" t="n">
        <f aca="false">IF(AND(Assumptions!$B$13,ISNUMBER('City Data'!I203)),Assumptions!$B$11*'City Data'!I203,0)</f>
        <v>5</v>
      </c>
      <c r="N203" s="4" t="n">
        <f aca="false">IF(AND(Assumptions!$B$13,ISNUMBER('City Data'!I203)),Assumptions!$B$12*'City Data'!I203,0)</f>
        <v>7.5</v>
      </c>
      <c r="O203" s="4" t="n">
        <f aca="false">B203+E203+H203+K203</f>
        <v>113</v>
      </c>
      <c r="P203" s="4" t="n">
        <f aca="false">C203+F203+I203+K203</f>
        <v>210.8</v>
      </c>
      <c r="Q203" s="4" t="n">
        <f aca="false">D203+G203+J203+K203</f>
        <v>443</v>
      </c>
      <c r="R203" s="4" t="n">
        <f aca="false">IF(Assumptions!$B$14,Assumptions!$B$15*O203,0)</f>
        <v>11.3</v>
      </c>
      <c r="S203" s="4" t="n">
        <f aca="false">IF(Assumptions!$B$14,Assumptions!$B$16*P203,0)</f>
        <v>42.16</v>
      </c>
      <c r="T203" s="4" t="n">
        <f aca="false">IF(Assumptions!$B$14,Assumptions!$B$17*Q203,0)</f>
        <v>155.05</v>
      </c>
      <c r="U203" s="4" t="n">
        <f aca="false">O203+L203+R203</f>
        <v>126.8</v>
      </c>
      <c r="V203" s="4" t="n">
        <f aca="false">P203+M203+S203</f>
        <v>257.96</v>
      </c>
      <c r="W203" s="4" t="n">
        <f aca="false">Q203+N203+T203</f>
        <v>605.55</v>
      </c>
      <c r="X203" s="4" t="n">
        <f aca="false">'City Data'!K203</f>
        <v>60</v>
      </c>
      <c r="Y203" s="4" t="n">
        <f aca="false">'City Data'!L203</f>
        <v>145</v>
      </c>
      <c r="Z203" s="4" t="n">
        <f aca="false">'City Data'!M203</f>
        <v>400</v>
      </c>
      <c r="AA203" s="4" t="n">
        <f aca="false">U203-X203</f>
        <v>66.8</v>
      </c>
      <c r="AB203" s="4" t="n">
        <f aca="false">V203-Y203</f>
        <v>112.96</v>
      </c>
      <c r="AC203" s="4" t="n">
        <f aca="false">W203-Z203</f>
        <v>205.55</v>
      </c>
      <c r="AD203" s="4" t="str">
        <f aca="false">IF(OR(AND(X203&lt;&gt;0,ABS(AA203)&gt;Assumptions!$B$18*X203),AND(Y203&lt;&gt;0,ABS(AB203)&gt;Assumptions!$B$18*Y203),AND(Z203&lt;&gt;0,ABS(AC203)&gt;Assumptions!$B$18*Z203)),"REVIEW","")</f>
        <v>REVIEW</v>
      </c>
    </row>
    <row r="204" customFormat="false" ht="15" hidden="false" customHeight="false" outlineLevel="0" collapsed="false">
      <c r="A204" s="0" t="str">
        <f aca="false">'City Data'!A204</f>
        <v>Prague</v>
      </c>
      <c r="B204" s="4" t="n">
        <f aca="false">'City Data'!B204/Assumptions!$B$2</f>
        <v>20</v>
      </c>
      <c r="C204" s="4" t="n">
        <f aca="false">'City Data'!C204/Assumptions!$B$2</f>
        <v>45</v>
      </c>
      <c r="D204" s="4" t="n">
        <f aca="false">'City Data'!D204/Assumptions!$B$2</f>
        <v>115</v>
      </c>
      <c r="E204" s="4" t="n">
        <f aca="false">Assumptions!$B$3*Assumptions!$B$4*'City Data'!E204</f>
        <v>45</v>
      </c>
      <c r="F204" s="4" t="n">
        <f aca="false">Assumptions!$B$3*Assumptions!$B$5*'City Data'!E204</f>
        <v>81</v>
      </c>
      <c r="G204" s="4" t="n">
        <f aca="false">Assumptions!$B$3*Assumptions!$B$6*'City Data'!E204</f>
        <v>157.5</v>
      </c>
      <c r="H204" s="4" t="n">
        <f aca="false">Assumptions!$B$7*'City Data'!F204</f>
        <v>12</v>
      </c>
      <c r="I204" s="4" t="n">
        <f aca="false">Assumptions!$B$8*'City Data'!F204</f>
        <v>24</v>
      </c>
      <c r="J204" s="4" t="n">
        <f aca="false">Assumptions!$B$9*'City Data'!F204</f>
        <v>48</v>
      </c>
      <c r="K204" s="4" t="n">
        <f aca="false">'City Data'!G204+'City Data'!H204</f>
        <v>4</v>
      </c>
      <c r="L204" s="4" t="n">
        <f aca="false">IF(AND(Assumptions!$B$13,ISNUMBER('City Data'!I204)),Assumptions!$B$10*'City Data'!I204,0)</f>
        <v>2</v>
      </c>
      <c r="M204" s="4" t="n">
        <f aca="false">IF(AND(Assumptions!$B$13,ISNUMBER('City Data'!I204)),Assumptions!$B$11*'City Data'!I204,0)</f>
        <v>4</v>
      </c>
      <c r="N204" s="4" t="n">
        <f aca="false">IF(AND(Assumptions!$B$13,ISNUMBER('City Data'!I204)),Assumptions!$B$12*'City Data'!I204,0)</f>
        <v>6</v>
      </c>
      <c r="O204" s="4" t="n">
        <f aca="false">B204+E204+H204+K204</f>
        <v>81</v>
      </c>
      <c r="P204" s="4" t="n">
        <f aca="false">C204+F204+I204+K204</f>
        <v>154</v>
      </c>
      <c r="Q204" s="4" t="n">
        <f aca="false">D204+G204+J204+K204</f>
        <v>324.5</v>
      </c>
      <c r="R204" s="4" t="n">
        <f aca="false">IF(Assumptions!$B$14,Assumptions!$B$15*O204,0)</f>
        <v>8.1</v>
      </c>
      <c r="S204" s="4" t="n">
        <f aca="false">IF(Assumptions!$B$14,Assumptions!$B$16*P204,0)</f>
        <v>30.8</v>
      </c>
      <c r="T204" s="4" t="n">
        <f aca="false">IF(Assumptions!$B$14,Assumptions!$B$17*Q204,0)</f>
        <v>113.575</v>
      </c>
      <c r="U204" s="4" t="n">
        <f aca="false">O204+L204+R204</f>
        <v>91.1</v>
      </c>
      <c r="V204" s="4" t="n">
        <f aca="false">P204+M204+S204</f>
        <v>188.8</v>
      </c>
      <c r="W204" s="4" t="n">
        <f aca="false">Q204+N204+T204</f>
        <v>444.075</v>
      </c>
      <c r="X204" s="4" t="n">
        <f aca="false">'City Data'!K204</f>
        <v>55</v>
      </c>
      <c r="Y204" s="4" t="n">
        <f aca="false">'City Data'!L204</f>
        <v>130</v>
      </c>
      <c r="Z204" s="4" t="n">
        <f aca="false">'City Data'!M204</f>
        <v>350</v>
      </c>
      <c r="AA204" s="4" t="n">
        <f aca="false">U204-X204</f>
        <v>36.1</v>
      </c>
      <c r="AB204" s="4" t="n">
        <f aca="false">V204-Y204</f>
        <v>58.8</v>
      </c>
      <c r="AC204" s="4" t="n">
        <f aca="false">W204-Z204</f>
        <v>94.075</v>
      </c>
      <c r="AD204" s="4" t="str">
        <f aca="false">IF(OR(AND(X204&lt;&gt;0,ABS(AA204)&gt;Assumptions!$B$18*X204),AND(Y204&lt;&gt;0,ABS(AB204)&gt;Assumptions!$B$18*Y204),AND(Z204&lt;&gt;0,ABS(AC204)&gt;Assumptions!$B$18*Z204)),"REVIEW","")</f>
        <v>REVIEW</v>
      </c>
    </row>
    <row r="205" customFormat="false" ht="15" hidden="false" customHeight="false" outlineLevel="0" collapsed="false">
      <c r="A205" s="0" t="str">
        <f aca="false">'City Data'!A205</f>
        <v>Praia</v>
      </c>
      <c r="B205" s="4" t="n">
        <f aca="false">'City Data'!B205/Assumptions!$B$2</f>
        <v>17.5</v>
      </c>
      <c r="C205" s="4" t="n">
        <f aca="false">'City Data'!C205/Assumptions!$B$2</f>
        <v>35</v>
      </c>
      <c r="D205" s="4" t="n">
        <f aca="false">'City Data'!D205/Assumptions!$B$2</f>
        <v>90</v>
      </c>
      <c r="E205" s="4" t="n">
        <f aca="false">Assumptions!$B$3*Assumptions!$B$4*'City Data'!E205</f>
        <v>30</v>
      </c>
      <c r="F205" s="4" t="n">
        <f aca="false">Assumptions!$B$3*Assumptions!$B$5*'City Data'!E205</f>
        <v>54</v>
      </c>
      <c r="G205" s="4" t="n">
        <f aca="false">Assumptions!$B$3*Assumptions!$B$6*'City Data'!E205</f>
        <v>105</v>
      </c>
      <c r="H205" s="4" t="n">
        <f aca="false">Assumptions!$B$7*'City Data'!F205</f>
        <v>6</v>
      </c>
      <c r="I205" s="4" t="n">
        <f aca="false">Assumptions!$B$8*'City Data'!F205</f>
        <v>12</v>
      </c>
      <c r="J205" s="4" t="n">
        <f aca="false">Assumptions!$B$9*'City Data'!F205</f>
        <v>24</v>
      </c>
      <c r="K205" s="4" t="n">
        <f aca="false">'City Data'!G205+'City Data'!H205</f>
        <v>2.5</v>
      </c>
      <c r="L205" s="4" t="n">
        <f aca="false">IF(AND(Assumptions!$B$13,ISNUMBER('City Data'!I205)),Assumptions!$B$10*'City Data'!I205,0)</f>
        <v>2.5</v>
      </c>
      <c r="M205" s="4" t="n">
        <f aca="false">IF(AND(Assumptions!$B$13,ISNUMBER('City Data'!I205)),Assumptions!$B$11*'City Data'!I205,0)</f>
        <v>5</v>
      </c>
      <c r="N205" s="4" t="n">
        <f aca="false">IF(AND(Assumptions!$B$13,ISNUMBER('City Data'!I205)),Assumptions!$B$12*'City Data'!I205,0)</f>
        <v>7.5</v>
      </c>
      <c r="O205" s="4" t="n">
        <f aca="false">B205+E205+H205+K205</f>
        <v>56</v>
      </c>
      <c r="P205" s="4" t="n">
        <f aca="false">C205+F205+I205+K205</f>
        <v>103.5</v>
      </c>
      <c r="Q205" s="4" t="n">
        <f aca="false">D205+G205+J205+K205</f>
        <v>221.5</v>
      </c>
      <c r="R205" s="4" t="n">
        <f aca="false">IF(Assumptions!$B$14,Assumptions!$B$15*O205,0)</f>
        <v>5.6</v>
      </c>
      <c r="S205" s="4" t="n">
        <f aca="false">IF(Assumptions!$B$14,Assumptions!$B$16*P205,0)</f>
        <v>20.7</v>
      </c>
      <c r="T205" s="4" t="n">
        <f aca="false">IF(Assumptions!$B$14,Assumptions!$B$17*Q205,0)</f>
        <v>77.525</v>
      </c>
      <c r="U205" s="4" t="n">
        <f aca="false">O205+L205+R205</f>
        <v>64.1</v>
      </c>
      <c r="V205" s="4" t="n">
        <f aca="false">P205+M205+S205</f>
        <v>129.2</v>
      </c>
      <c r="W205" s="4" t="n">
        <f aca="false">Q205+N205+T205</f>
        <v>306.525</v>
      </c>
      <c r="X205" s="4" t="n">
        <f aca="false">'City Data'!K205</f>
        <v>40</v>
      </c>
      <c r="Y205" s="4" t="n">
        <f aca="false">'City Data'!L205</f>
        <v>100</v>
      </c>
      <c r="Z205" s="4" t="n">
        <f aca="false">'City Data'!M205</f>
        <v>295</v>
      </c>
      <c r="AA205" s="4" t="n">
        <f aca="false">U205-X205</f>
        <v>24.1</v>
      </c>
      <c r="AB205" s="4" t="n">
        <f aca="false">V205-Y205</f>
        <v>29.2</v>
      </c>
      <c r="AC205" s="4" t="n">
        <f aca="false">W205-Z205</f>
        <v>11.525</v>
      </c>
      <c r="AD205" s="4" t="str">
        <f aca="false">IF(OR(AND(X205&lt;&gt;0,ABS(AA205)&gt;Assumptions!$B$18*X205),AND(Y205&lt;&gt;0,ABS(AB205)&gt;Assumptions!$B$18*Y205),AND(Z205&lt;&gt;0,ABS(AC205)&gt;Assumptions!$B$18*Z205)),"REVIEW","")</f>
        <v>REVIEW</v>
      </c>
    </row>
    <row r="206" customFormat="false" ht="15" hidden="false" customHeight="false" outlineLevel="0" collapsed="false">
      <c r="A206" s="0" t="str">
        <f aca="false">'City Data'!A206</f>
        <v>Punta Cana</v>
      </c>
      <c r="B206" s="4" t="n">
        <f aca="false">'City Data'!B206/Assumptions!$B$2</f>
        <v>30</v>
      </c>
      <c r="C206" s="4" t="n">
        <f aca="false">'City Data'!C206/Assumptions!$B$2</f>
        <v>75</v>
      </c>
      <c r="D206" s="4" t="n">
        <f aca="false">'City Data'!D206/Assumptions!$B$2</f>
        <v>175</v>
      </c>
      <c r="E206" s="4" t="n">
        <f aca="false">Assumptions!$B$3*Assumptions!$B$4*'City Data'!E206</f>
        <v>75</v>
      </c>
      <c r="F206" s="4" t="n">
        <f aca="false">Assumptions!$B$3*Assumptions!$B$5*'City Data'!E206</f>
        <v>135</v>
      </c>
      <c r="G206" s="4" t="n">
        <f aca="false">Assumptions!$B$3*Assumptions!$B$6*'City Data'!E206</f>
        <v>262.5</v>
      </c>
      <c r="H206" s="4" t="n">
        <f aca="false">Assumptions!$B$7*'City Data'!F206</f>
        <v>20</v>
      </c>
      <c r="I206" s="4" t="n">
        <f aca="false">Assumptions!$B$8*'City Data'!F206</f>
        <v>40</v>
      </c>
      <c r="J206" s="4" t="n">
        <f aca="false">Assumptions!$B$9*'City Data'!F206</f>
        <v>80</v>
      </c>
      <c r="K206" s="4" t="n">
        <f aca="false">'City Data'!G206+'City Data'!H206</f>
        <v>4</v>
      </c>
      <c r="L206" s="4" t="n">
        <f aca="false">IF(AND(Assumptions!$B$13,ISNUMBER('City Data'!I206)),Assumptions!$B$10*'City Data'!I206,0)</f>
        <v>3</v>
      </c>
      <c r="M206" s="4" t="n">
        <f aca="false">IF(AND(Assumptions!$B$13,ISNUMBER('City Data'!I206)),Assumptions!$B$11*'City Data'!I206,0)</f>
        <v>6</v>
      </c>
      <c r="N206" s="4" t="n">
        <f aca="false">IF(AND(Assumptions!$B$13,ISNUMBER('City Data'!I206)),Assumptions!$B$12*'City Data'!I206,0)</f>
        <v>9</v>
      </c>
      <c r="O206" s="4" t="n">
        <f aca="false">B206+E206+H206+K206</f>
        <v>129</v>
      </c>
      <c r="P206" s="4" t="n">
        <f aca="false">C206+F206+I206+K206</f>
        <v>254</v>
      </c>
      <c r="Q206" s="4" t="n">
        <f aca="false">D206+G206+J206+K206</f>
        <v>521.5</v>
      </c>
      <c r="R206" s="4" t="n">
        <f aca="false">IF(Assumptions!$B$14,Assumptions!$B$15*O206,0)</f>
        <v>12.9</v>
      </c>
      <c r="S206" s="4" t="n">
        <f aca="false">IF(Assumptions!$B$14,Assumptions!$B$16*P206,0)</f>
        <v>50.8</v>
      </c>
      <c r="T206" s="4" t="n">
        <f aca="false">IF(Assumptions!$B$14,Assumptions!$B$17*Q206,0)</f>
        <v>182.525</v>
      </c>
      <c r="U206" s="4" t="n">
        <f aca="false">O206+L206+R206</f>
        <v>144.9</v>
      </c>
      <c r="V206" s="4" t="n">
        <f aca="false">P206+M206+S206</f>
        <v>310.8</v>
      </c>
      <c r="W206" s="4" t="n">
        <f aca="false">Q206+N206+T206</f>
        <v>713.025</v>
      </c>
      <c r="X206" s="4" t="n">
        <f aca="false">'City Data'!K206</f>
        <v>70</v>
      </c>
      <c r="Y206" s="4" t="n">
        <f aca="false">'City Data'!L206</f>
        <v>180</v>
      </c>
      <c r="Z206" s="4" t="n">
        <f aca="false">'City Data'!M206</f>
        <v>550</v>
      </c>
      <c r="AA206" s="4" t="n">
        <f aca="false">U206-X206</f>
        <v>74.9</v>
      </c>
      <c r="AB206" s="4" t="n">
        <f aca="false">V206-Y206</f>
        <v>130.8</v>
      </c>
      <c r="AC206" s="4" t="n">
        <f aca="false">W206-Z206</f>
        <v>163.025</v>
      </c>
      <c r="AD206" s="4" t="str">
        <f aca="false">IF(OR(AND(X206&lt;&gt;0,ABS(AA206)&gt;Assumptions!$B$18*X206),AND(Y206&lt;&gt;0,ABS(AB206)&gt;Assumptions!$B$18*Y206),AND(Z206&lt;&gt;0,ABS(AC206)&gt;Assumptions!$B$18*Z206)),"REVIEW","")</f>
        <v>REVIEW</v>
      </c>
    </row>
    <row r="207" customFormat="false" ht="15" hidden="false" customHeight="false" outlineLevel="0" collapsed="false">
      <c r="A207" s="0" t="str">
        <f aca="false">'City Data'!A207</f>
        <v>Pyongyang</v>
      </c>
      <c r="B207" s="4" t="n">
        <f aca="false">'City Data'!B207/Assumptions!$B$2</f>
        <v>17.5</v>
      </c>
      <c r="C207" s="4" t="n">
        <f aca="false">'City Data'!C207/Assumptions!$B$2</f>
        <v>35</v>
      </c>
      <c r="D207" s="4" t="n">
        <f aca="false">'City Data'!D207/Assumptions!$B$2</f>
        <v>75</v>
      </c>
      <c r="E207" s="4" t="n">
        <f aca="false">Assumptions!$B$3*Assumptions!$B$4*'City Data'!E207</f>
        <v>54</v>
      </c>
      <c r="F207" s="4" t="n">
        <f aca="false">Assumptions!$B$3*Assumptions!$B$5*'City Data'!E207</f>
        <v>97.2</v>
      </c>
      <c r="G207" s="4" t="n">
        <f aca="false">Assumptions!$B$3*Assumptions!$B$6*'City Data'!E207</f>
        <v>189</v>
      </c>
      <c r="H207" s="4" t="n">
        <f aca="false">Assumptions!$B$7*'City Data'!F207</f>
        <v>8</v>
      </c>
      <c r="I207" s="4" t="n">
        <f aca="false">Assumptions!$B$8*'City Data'!F207</f>
        <v>16</v>
      </c>
      <c r="J207" s="4" t="n">
        <f aca="false">Assumptions!$B$9*'City Data'!F207</f>
        <v>32</v>
      </c>
      <c r="K207" s="4" t="n">
        <f aca="false">'City Data'!G207+'City Data'!H207</f>
        <v>4.5</v>
      </c>
      <c r="L207" s="4" t="n">
        <f aca="false">IF(AND(Assumptions!$B$13,ISNUMBER('City Data'!I207)),Assumptions!$B$10*'City Data'!I207,0)</f>
        <v>3</v>
      </c>
      <c r="M207" s="4" t="n">
        <f aca="false">IF(AND(Assumptions!$B$13,ISNUMBER('City Data'!I207)),Assumptions!$B$11*'City Data'!I207,0)</f>
        <v>6</v>
      </c>
      <c r="N207" s="4" t="n">
        <f aca="false">IF(AND(Assumptions!$B$13,ISNUMBER('City Data'!I207)),Assumptions!$B$12*'City Data'!I207,0)</f>
        <v>9</v>
      </c>
      <c r="O207" s="4" t="n">
        <f aca="false">B207+E207+H207+K207</f>
        <v>84</v>
      </c>
      <c r="P207" s="4" t="n">
        <f aca="false">C207+F207+I207+K207</f>
        <v>152.7</v>
      </c>
      <c r="Q207" s="4" t="n">
        <f aca="false">D207+G207+J207+K207</f>
        <v>300.5</v>
      </c>
      <c r="R207" s="4" t="n">
        <f aca="false">IF(Assumptions!$B$14,Assumptions!$B$15*O207,0)</f>
        <v>8.4</v>
      </c>
      <c r="S207" s="4" t="n">
        <f aca="false">IF(Assumptions!$B$14,Assumptions!$B$16*P207,0)</f>
        <v>30.54</v>
      </c>
      <c r="T207" s="4" t="n">
        <f aca="false">IF(Assumptions!$B$14,Assumptions!$B$17*Q207,0)</f>
        <v>105.175</v>
      </c>
      <c r="U207" s="4" t="n">
        <f aca="false">O207+L207+R207</f>
        <v>95.4</v>
      </c>
      <c r="V207" s="4" t="n">
        <f aca="false">P207+M207+S207</f>
        <v>189.24</v>
      </c>
      <c r="W207" s="4" t="n">
        <f aca="false">Q207+N207+T207</f>
        <v>414.675</v>
      </c>
      <c r="X207" s="4" t="n">
        <f aca="false">'City Data'!K207</f>
        <v>50</v>
      </c>
      <c r="Y207" s="4" t="n">
        <f aca="false">'City Data'!L207</f>
        <v>120</v>
      </c>
      <c r="Z207" s="4" t="n">
        <f aca="false">'City Data'!M207</f>
        <v>345</v>
      </c>
      <c r="AA207" s="4" t="n">
        <f aca="false">U207-X207</f>
        <v>45.4</v>
      </c>
      <c r="AB207" s="4" t="n">
        <f aca="false">V207-Y207</f>
        <v>69.24</v>
      </c>
      <c r="AC207" s="4" t="n">
        <f aca="false">W207-Z207</f>
        <v>69.675</v>
      </c>
      <c r="AD207" s="4" t="str">
        <f aca="false">IF(OR(AND(X207&lt;&gt;0,ABS(AA207)&gt;Assumptions!$B$18*X207),AND(Y207&lt;&gt;0,ABS(AB207)&gt;Assumptions!$B$18*Y207),AND(Z207&lt;&gt;0,ABS(AC207)&gt;Assumptions!$B$18*Z207)),"REVIEW","")</f>
        <v>REVIEW</v>
      </c>
    </row>
    <row r="208" customFormat="false" ht="15" hidden="false" customHeight="false" outlineLevel="0" collapsed="false">
      <c r="A208" s="0" t="str">
        <f aca="false">'City Data'!A208</f>
        <v>Qingdao</v>
      </c>
      <c r="B208" s="4" t="n">
        <f aca="false">'City Data'!B208/Assumptions!$B$2</f>
        <v>10</v>
      </c>
      <c r="C208" s="4" t="n">
        <f aca="false">'City Data'!C208/Assumptions!$B$2</f>
        <v>27.5</v>
      </c>
      <c r="D208" s="4" t="n">
        <f aca="false">'City Data'!D208/Assumptions!$B$2</f>
        <v>75</v>
      </c>
      <c r="E208" s="4" t="n">
        <f aca="false">Assumptions!$B$3*Assumptions!$B$4*'City Data'!E208</f>
        <v>24</v>
      </c>
      <c r="F208" s="4" t="n">
        <f aca="false">Assumptions!$B$3*Assumptions!$B$5*'City Data'!E208</f>
        <v>43.2</v>
      </c>
      <c r="G208" s="4" t="n">
        <f aca="false">Assumptions!$B$3*Assumptions!$B$6*'City Data'!E208</f>
        <v>84</v>
      </c>
      <c r="H208" s="4" t="n">
        <f aca="false">Assumptions!$B$7*'City Data'!F208</f>
        <v>3</v>
      </c>
      <c r="I208" s="4" t="n">
        <f aca="false">Assumptions!$B$8*'City Data'!F208</f>
        <v>6</v>
      </c>
      <c r="J208" s="4" t="n">
        <f aca="false">Assumptions!$B$9*'City Data'!F208</f>
        <v>12</v>
      </c>
      <c r="K208" s="4" t="n">
        <f aca="false">'City Data'!G208+'City Data'!H208</f>
        <v>4.5</v>
      </c>
      <c r="L208" s="4" t="n">
        <f aca="false">IF(AND(Assumptions!$B$13,ISNUMBER('City Data'!I208)),Assumptions!$B$10*'City Data'!I208,0)</f>
        <v>1.5</v>
      </c>
      <c r="M208" s="4" t="n">
        <f aca="false">IF(AND(Assumptions!$B$13,ISNUMBER('City Data'!I208)),Assumptions!$B$11*'City Data'!I208,0)</f>
        <v>3</v>
      </c>
      <c r="N208" s="4" t="n">
        <f aca="false">IF(AND(Assumptions!$B$13,ISNUMBER('City Data'!I208)),Assumptions!$B$12*'City Data'!I208,0)</f>
        <v>4.5</v>
      </c>
      <c r="O208" s="4" t="n">
        <f aca="false">B208+E208+H208+K208</f>
        <v>41.5</v>
      </c>
      <c r="P208" s="4" t="n">
        <f aca="false">C208+F208+I208+K208</f>
        <v>81.2</v>
      </c>
      <c r="Q208" s="4" t="n">
        <f aca="false">D208+G208+J208+K208</f>
        <v>175.5</v>
      </c>
      <c r="R208" s="4" t="n">
        <f aca="false">IF(Assumptions!$B$14,Assumptions!$B$15*O208,0)</f>
        <v>4.15</v>
      </c>
      <c r="S208" s="4" t="n">
        <f aca="false">IF(Assumptions!$B$14,Assumptions!$B$16*P208,0)</f>
        <v>16.24</v>
      </c>
      <c r="T208" s="4" t="n">
        <f aca="false">IF(Assumptions!$B$14,Assumptions!$B$17*Q208,0)</f>
        <v>61.425</v>
      </c>
      <c r="U208" s="4" t="n">
        <f aca="false">O208+L208+R208</f>
        <v>47.15</v>
      </c>
      <c r="V208" s="4" t="n">
        <f aca="false">P208+M208+S208</f>
        <v>100.44</v>
      </c>
      <c r="W208" s="4" t="n">
        <f aca="false">Q208+N208+T208</f>
        <v>241.425</v>
      </c>
      <c r="X208" s="4" t="n">
        <f aca="false">'City Data'!K208</f>
        <v>30</v>
      </c>
      <c r="Y208" s="4" t="n">
        <f aca="false">'City Data'!L208</f>
        <v>75</v>
      </c>
      <c r="Z208" s="4" t="n">
        <f aca="false">'City Data'!M208</f>
        <v>220</v>
      </c>
      <c r="AA208" s="4" t="n">
        <f aca="false">U208-X208</f>
        <v>17.15</v>
      </c>
      <c r="AB208" s="4" t="n">
        <f aca="false">V208-Y208</f>
        <v>25.44</v>
      </c>
      <c r="AC208" s="4" t="n">
        <f aca="false">W208-Z208</f>
        <v>21.425</v>
      </c>
      <c r="AD208" s="4" t="str">
        <f aca="false">IF(OR(AND(X208&lt;&gt;0,ABS(AA208)&gt;Assumptions!$B$18*X208),AND(Y208&lt;&gt;0,ABS(AB208)&gt;Assumptions!$B$18*Y208),AND(Z208&lt;&gt;0,ABS(AC208)&gt;Assumptions!$B$18*Z208)),"REVIEW","")</f>
        <v>REVIEW</v>
      </c>
    </row>
    <row r="209" customFormat="false" ht="15" hidden="false" customHeight="false" outlineLevel="0" collapsed="false">
      <c r="A209" s="0" t="str">
        <f aca="false">'City Data'!A209</f>
        <v>Quito</v>
      </c>
      <c r="B209" s="4" t="n">
        <f aca="false">'City Data'!B209/Assumptions!$B$2</f>
        <v>10</v>
      </c>
      <c r="C209" s="4" t="n">
        <f aca="false">'City Data'!C209/Assumptions!$B$2</f>
        <v>37.5</v>
      </c>
      <c r="D209" s="4" t="n">
        <f aca="false">'City Data'!D209/Assumptions!$B$2</f>
        <v>140</v>
      </c>
      <c r="E209" s="4" t="n">
        <f aca="false">Assumptions!$B$3*Assumptions!$B$4*'City Data'!E209</f>
        <v>36</v>
      </c>
      <c r="F209" s="4" t="n">
        <f aca="false">Assumptions!$B$3*Assumptions!$B$5*'City Data'!E209</f>
        <v>64.8</v>
      </c>
      <c r="G209" s="4" t="n">
        <f aca="false">Assumptions!$B$3*Assumptions!$B$6*'City Data'!E209</f>
        <v>126</v>
      </c>
      <c r="H209" s="4" t="n">
        <f aca="false">Assumptions!$B$7*'City Data'!F209</f>
        <v>4</v>
      </c>
      <c r="I209" s="4" t="n">
        <f aca="false">Assumptions!$B$8*'City Data'!F209</f>
        <v>8</v>
      </c>
      <c r="J209" s="4" t="n">
        <f aca="false">Assumptions!$B$9*'City Data'!F209</f>
        <v>16</v>
      </c>
      <c r="K209" s="4" t="n">
        <f aca="false">'City Data'!G209+'City Data'!H209</f>
        <v>3.5</v>
      </c>
      <c r="L209" s="4" t="n">
        <f aca="false">IF(AND(Assumptions!$B$13,ISNUMBER('City Data'!I209)),Assumptions!$B$10*'City Data'!I209,0)</f>
        <v>3.5</v>
      </c>
      <c r="M209" s="4" t="n">
        <f aca="false">IF(AND(Assumptions!$B$13,ISNUMBER('City Data'!I209)),Assumptions!$B$11*'City Data'!I209,0)</f>
        <v>7</v>
      </c>
      <c r="N209" s="4" t="n">
        <f aca="false">IF(AND(Assumptions!$B$13,ISNUMBER('City Data'!I209)),Assumptions!$B$12*'City Data'!I209,0)</f>
        <v>10.5</v>
      </c>
      <c r="O209" s="4" t="n">
        <f aca="false">B209+E209+H209+K209</f>
        <v>53.5</v>
      </c>
      <c r="P209" s="4" t="n">
        <f aca="false">C209+F209+I209+K209</f>
        <v>113.8</v>
      </c>
      <c r="Q209" s="4" t="n">
        <f aca="false">D209+G209+J209+K209</f>
        <v>285.5</v>
      </c>
      <c r="R209" s="4" t="n">
        <f aca="false">IF(Assumptions!$B$14,Assumptions!$B$15*O209,0)</f>
        <v>5.35</v>
      </c>
      <c r="S209" s="4" t="n">
        <f aca="false">IF(Assumptions!$B$14,Assumptions!$B$16*P209,0)</f>
        <v>22.76</v>
      </c>
      <c r="T209" s="4" t="n">
        <f aca="false">IF(Assumptions!$B$14,Assumptions!$B$17*Q209,0)</f>
        <v>99.925</v>
      </c>
      <c r="U209" s="4" t="n">
        <f aca="false">O209+L209+R209</f>
        <v>62.35</v>
      </c>
      <c r="V209" s="4" t="n">
        <f aca="false">P209+M209+S209</f>
        <v>143.56</v>
      </c>
      <c r="W209" s="4" t="n">
        <f aca="false">Q209+N209+T209</f>
        <v>395.925</v>
      </c>
      <c r="X209" s="4" t="n">
        <f aca="false">'City Data'!K209</f>
        <v>40</v>
      </c>
      <c r="Y209" s="4" t="n">
        <f aca="false">'City Data'!L209</f>
        <v>105</v>
      </c>
      <c r="Z209" s="4" t="n">
        <f aca="false">'City Data'!M209</f>
        <v>335</v>
      </c>
      <c r="AA209" s="4" t="n">
        <f aca="false">U209-X209</f>
        <v>22.35</v>
      </c>
      <c r="AB209" s="4" t="n">
        <f aca="false">V209-Y209</f>
        <v>38.56</v>
      </c>
      <c r="AC209" s="4" t="n">
        <f aca="false">W209-Z209</f>
        <v>60.925</v>
      </c>
      <c r="AD209" s="4" t="str">
        <f aca="false">IF(OR(AND(X209&lt;&gt;0,ABS(AA209)&gt;Assumptions!$B$18*X209),AND(Y209&lt;&gt;0,ABS(AB209)&gt;Assumptions!$B$18*Y209),AND(Z209&lt;&gt;0,ABS(AC209)&gt;Assumptions!$B$18*Z209)),"REVIEW","")</f>
        <v>REVIEW</v>
      </c>
    </row>
    <row r="210" customFormat="false" ht="15" hidden="false" customHeight="false" outlineLevel="0" collapsed="false">
      <c r="A210" s="0" t="str">
        <f aca="false">'City Data'!A210</f>
        <v>Reykjavík</v>
      </c>
      <c r="B210" s="4" t="n">
        <f aca="false">'City Data'!B210/Assumptions!$B$2</f>
        <v>45</v>
      </c>
      <c r="C210" s="4" t="n">
        <f aca="false">'City Data'!C210/Assumptions!$B$2</f>
        <v>95</v>
      </c>
      <c r="D210" s="4" t="n">
        <f aca="false">'City Data'!D210/Assumptions!$B$2</f>
        <v>240</v>
      </c>
      <c r="E210" s="4" t="n">
        <f aca="false">Assumptions!$B$3*Assumptions!$B$4*'City Data'!E210</f>
        <v>96</v>
      </c>
      <c r="F210" s="4" t="n">
        <f aca="false">Assumptions!$B$3*Assumptions!$B$5*'City Data'!E210</f>
        <v>172.8</v>
      </c>
      <c r="G210" s="4" t="n">
        <f aca="false">Assumptions!$B$3*Assumptions!$B$6*'City Data'!E210</f>
        <v>336</v>
      </c>
      <c r="H210" s="4" t="n">
        <f aca="false">Assumptions!$B$7*'City Data'!F210</f>
        <v>20</v>
      </c>
      <c r="I210" s="4" t="n">
        <f aca="false">Assumptions!$B$8*'City Data'!F210</f>
        <v>40</v>
      </c>
      <c r="J210" s="4" t="n">
        <f aca="false">Assumptions!$B$9*'City Data'!F210</f>
        <v>80</v>
      </c>
      <c r="K210" s="4" t="n">
        <f aca="false">'City Data'!G210+'City Data'!H210</f>
        <v>9.5</v>
      </c>
      <c r="L210" s="4" t="n">
        <f aca="false">IF(AND(Assumptions!$B$13,ISNUMBER('City Data'!I210)),Assumptions!$B$10*'City Data'!I210,0)</f>
        <v>11</v>
      </c>
      <c r="M210" s="4" t="n">
        <f aca="false">IF(AND(Assumptions!$B$13,ISNUMBER('City Data'!I210)),Assumptions!$B$11*'City Data'!I210,0)</f>
        <v>22</v>
      </c>
      <c r="N210" s="4" t="n">
        <f aca="false">IF(AND(Assumptions!$B$13,ISNUMBER('City Data'!I210)),Assumptions!$B$12*'City Data'!I210,0)</f>
        <v>33</v>
      </c>
      <c r="O210" s="4" t="n">
        <f aca="false">B210+E210+H210+K210</f>
        <v>170.5</v>
      </c>
      <c r="P210" s="4" t="n">
        <f aca="false">C210+F210+I210+K210</f>
        <v>317.3</v>
      </c>
      <c r="Q210" s="4" t="n">
        <f aca="false">D210+G210+J210+K210</f>
        <v>665.5</v>
      </c>
      <c r="R210" s="4" t="n">
        <f aca="false">IF(Assumptions!$B$14,Assumptions!$B$15*O210,0)</f>
        <v>17.05</v>
      </c>
      <c r="S210" s="4" t="n">
        <f aca="false">IF(Assumptions!$B$14,Assumptions!$B$16*P210,0)</f>
        <v>63.46</v>
      </c>
      <c r="T210" s="4" t="n">
        <f aca="false">IF(Assumptions!$B$14,Assumptions!$B$17*Q210,0)</f>
        <v>232.925</v>
      </c>
      <c r="U210" s="4" t="n">
        <f aca="false">O210+L210+R210</f>
        <v>198.55</v>
      </c>
      <c r="V210" s="4" t="n">
        <f aca="false">P210+M210+S210</f>
        <v>402.76</v>
      </c>
      <c r="W210" s="4" t="n">
        <f aca="false">Q210+N210+T210</f>
        <v>931.425</v>
      </c>
      <c r="X210" s="4" t="n">
        <f aca="false">'City Data'!K210</f>
        <v>95</v>
      </c>
      <c r="Y210" s="4" t="n">
        <f aca="false">'City Data'!L210</f>
        <v>240</v>
      </c>
      <c r="Z210" s="4" t="n">
        <f aca="false">'City Data'!M210</f>
        <v>690</v>
      </c>
      <c r="AA210" s="4" t="n">
        <f aca="false">U210-X210</f>
        <v>103.55</v>
      </c>
      <c r="AB210" s="4" t="n">
        <f aca="false">V210-Y210</f>
        <v>162.76</v>
      </c>
      <c r="AC210" s="4" t="n">
        <f aca="false">W210-Z210</f>
        <v>241.425</v>
      </c>
      <c r="AD210" s="4" t="str">
        <f aca="false">IF(OR(AND(X210&lt;&gt;0,ABS(AA210)&gt;Assumptions!$B$18*X210),AND(Y210&lt;&gt;0,ABS(AB210)&gt;Assumptions!$B$18*Y210),AND(Z210&lt;&gt;0,ABS(AC210)&gt;Assumptions!$B$18*Z210)),"REVIEW","")</f>
        <v>REVIEW</v>
      </c>
    </row>
    <row r="211" customFormat="false" ht="15" hidden="false" customHeight="false" outlineLevel="0" collapsed="false">
      <c r="A211" s="0" t="str">
        <f aca="false">'City Data'!A211</f>
        <v>Rhodes</v>
      </c>
      <c r="B211" s="4" t="n">
        <f aca="false">'City Data'!B211/Assumptions!$B$2</f>
        <v>27.5</v>
      </c>
      <c r="C211" s="4" t="n">
        <f aca="false">'City Data'!C211/Assumptions!$B$2</f>
        <v>55</v>
      </c>
      <c r="D211" s="4" t="n">
        <f aca="false">'City Data'!D211/Assumptions!$B$2</f>
        <v>140</v>
      </c>
      <c r="E211" s="4" t="n">
        <f aca="false">Assumptions!$B$3*Assumptions!$B$4*'City Data'!E211</f>
        <v>75</v>
      </c>
      <c r="F211" s="4" t="n">
        <f aca="false">Assumptions!$B$3*Assumptions!$B$5*'City Data'!E211</f>
        <v>135</v>
      </c>
      <c r="G211" s="4" t="n">
        <f aca="false">Assumptions!$B$3*Assumptions!$B$6*'City Data'!E211</f>
        <v>262.5</v>
      </c>
      <c r="H211" s="4" t="n">
        <f aca="false">Assumptions!$B$7*'City Data'!F211</f>
        <v>20</v>
      </c>
      <c r="I211" s="4" t="n">
        <f aca="false">Assumptions!$B$8*'City Data'!F211</f>
        <v>40</v>
      </c>
      <c r="J211" s="4" t="n">
        <f aca="false">Assumptions!$B$9*'City Data'!F211</f>
        <v>80</v>
      </c>
      <c r="K211" s="4" t="n">
        <f aca="false">'City Data'!G211+'City Data'!H211</f>
        <v>4.1</v>
      </c>
      <c r="L211" s="4" t="n">
        <f aca="false">IF(AND(Assumptions!$B$13,ISNUMBER('City Data'!I211)),Assumptions!$B$10*'City Data'!I211,0)</f>
        <v>4</v>
      </c>
      <c r="M211" s="4" t="n">
        <f aca="false">IF(AND(Assumptions!$B$13,ISNUMBER('City Data'!I211)),Assumptions!$B$11*'City Data'!I211,0)</f>
        <v>8</v>
      </c>
      <c r="N211" s="4" t="n">
        <f aca="false">IF(AND(Assumptions!$B$13,ISNUMBER('City Data'!I211)),Assumptions!$B$12*'City Data'!I211,0)</f>
        <v>12</v>
      </c>
      <c r="O211" s="4" t="n">
        <f aca="false">B211+E211+H211+K211</f>
        <v>126.6</v>
      </c>
      <c r="P211" s="4" t="n">
        <f aca="false">C211+F211+I211+K211</f>
        <v>234.1</v>
      </c>
      <c r="Q211" s="4" t="n">
        <f aca="false">D211+G211+J211+K211</f>
        <v>486.6</v>
      </c>
      <c r="R211" s="4" t="n">
        <f aca="false">IF(Assumptions!$B$14,Assumptions!$B$15*O211,0)</f>
        <v>12.66</v>
      </c>
      <c r="S211" s="4" t="n">
        <f aca="false">IF(Assumptions!$B$14,Assumptions!$B$16*P211,0)</f>
        <v>46.82</v>
      </c>
      <c r="T211" s="4" t="n">
        <f aca="false">IF(Assumptions!$B$14,Assumptions!$B$17*Q211,0)</f>
        <v>170.31</v>
      </c>
      <c r="U211" s="4" t="n">
        <f aca="false">O211+L211+R211</f>
        <v>143.26</v>
      </c>
      <c r="V211" s="4" t="n">
        <f aca="false">P211+M211+S211</f>
        <v>288.92</v>
      </c>
      <c r="W211" s="4" t="n">
        <f aca="false">Q211+N211+T211</f>
        <v>668.91</v>
      </c>
      <c r="X211" s="4" t="n">
        <f aca="false">'City Data'!K211</f>
        <v>60</v>
      </c>
      <c r="Y211" s="4" t="n">
        <f aca="false">'City Data'!L211</f>
        <v>140</v>
      </c>
      <c r="Z211" s="4" t="n">
        <f aca="false">'City Data'!M211</f>
        <v>400</v>
      </c>
      <c r="AA211" s="4" t="n">
        <f aca="false">U211-X211</f>
        <v>83.26</v>
      </c>
      <c r="AB211" s="4" t="n">
        <f aca="false">V211-Y211</f>
        <v>148.92</v>
      </c>
      <c r="AC211" s="4" t="n">
        <f aca="false">W211-Z211</f>
        <v>268.91</v>
      </c>
      <c r="AD211" s="4" t="str">
        <f aca="false">IF(OR(AND(X211&lt;&gt;0,ABS(AA211)&gt;Assumptions!$B$18*X211),AND(Y211&lt;&gt;0,ABS(AB211)&gt;Assumptions!$B$18*Y211),AND(Z211&lt;&gt;0,ABS(AC211)&gt;Assumptions!$B$18*Z211)),"REVIEW","")</f>
        <v>REVIEW</v>
      </c>
    </row>
    <row r="212" customFormat="false" ht="15" hidden="false" customHeight="false" outlineLevel="0" collapsed="false">
      <c r="A212" s="0" t="str">
        <f aca="false">'City Data'!A212</f>
        <v>Riga</v>
      </c>
      <c r="B212" s="4" t="n">
        <f aca="false">'City Data'!B212/Assumptions!$B$2</f>
        <v>15</v>
      </c>
      <c r="C212" s="4" t="n">
        <f aca="false">'City Data'!C212/Assumptions!$B$2</f>
        <v>45</v>
      </c>
      <c r="D212" s="4" t="n">
        <f aca="false">'City Data'!D212/Assumptions!$B$2</f>
        <v>110</v>
      </c>
      <c r="E212" s="4" t="n">
        <f aca="false">Assumptions!$B$3*Assumptions!$B$4*'City Data'!E212</f>
        <v>45</v>
      </c>
      <c r="F212" s="4" t="n">
        <f aca="false">Assumptions!$B$3*Assumptions!$B$5*'City Data'!E212</f>
        <v>81</v>
      </c>
      <c r="G212" s="4" t="n">
        <f aca="false">Assumptions!$B$3*Assumptions!$B$6*'City Data'!E212</f>
        <v>157.5</v>
      </c>
      <c r="H212" s="4" t="n">
        <f aca="false">Assumptions!$B$7*'City Data'!F212</f>
        <v>8</v>
      </c>
      <c r="I212" s="4" t="n">
        <f aca="false">Assumptions!$B$8*'City Data'!F212</f>
        <v>16</v>
      </c>
      <c r="J212" s="4" t="n">
        <f aca="false">Assumptions!$B$9*'City Data'!F212</f>
        <v>32</v>
      </c>
      <c r="K212" s="4" t="n">
        <f aca="false">'City Data'!G212+'City Data'!H212</f>
        <v>4.9</v>
      </c>
      <c r="L212" s="4" t="n">
        <f aca="false">IF(AND(Assumptions!$B$13,ISNUMBER('City Data'!I212)),Assumptions!$B$10*'City Data'!I212,0)</f>
        <v>4.5</v>
      </c>
      <c r="M212" s="4" t="n">
        <f aca="false">IF(AND(Assumptions!$B$13,ISNUMBER('City Data'!I212)),Assumptions!$B$11*'City Data'!I212,0)</f>
        <v>9</v>
      </c>
      <c r="N212" s="4" t="n">
        <f aca="false">IF(AND(Assumptions!$B$13,ISNUMBER('City Data'!I212)),Assumptions!$B$12*'City Data'!I212,0)</f>
        <v>13.5</v>
      </c>
      <c r="O212" s="4" t="n">
        <f aca="false">B212+E212+H212+K212</f>
        <v>72.9</v>
      </c>
      <c r="P212" s="4" t="n">
        <f aca="false">C212+F212+I212+K212</f>
        <v>146.9</v>
      </c>
      <c r="Q212" s="4" t="n">
        <f aca="false">D212+G212+J212+K212</f>
        <v>304.4</v>
      </c>
      <c r="R212" s="4" t="n">
        <f aca="false">IF(Assumptions!$B$14,Assumptions!$B$15*O212,0)</f>
        <v>7.29</v>
      </c>
      <c r="S212" s="4" t="n">
        <f aca="false">IF(Assumptions!$B$14,Assumptions!$B$16*P212,0)</f>
        <v>29.38</v>
      </c>
      <c r="T212" s="4" t="n">
        <f aca="false">IF(Assumptions!$B$14,Assumptions!$B$17*Q212,0)</f>
        <v>106.54</v>
      </c>
      <c r="U212" s="4" t="n">
        <f aca="false">O212+L212+R212</f>
        <v>84.69</v>
      </c>
      <c r="V212" s="4" t="n">
        <f aca="false">P212+M212+S212</f>
        <v>185.28</v>
      </c>
      <c r="W212" s="4" t="n">
        <f aca="false">Q212+N212+T212</f>
        <v>424.44</v>
      </c>
      <c r="X212" s="4" t="n">
        <f aca="false">'City Data'!K212</f>
        <v>45</v>
      </c>
      <c r="Y212" s="4" t="n">
        <f aca="false">'City Data'!L212</f>
        <v>115</v>
      </c>
      <c r="Z212" s="4" t="n">
        <f aca="false">'City Data'!M212</f>
        <v>345</v>
      </c>
      <c r="AA212" s="4" t="n">
        <f aca="false">U212-X212</f>
        <v>39.69</v>
      </c>
      <c r="AB212" s="4" t="n">
        <f aca="false">V212-Y212</f>
        <v>70.28</v>
      </c>
      <c r="AC212" s="4" t="n">
        <f aca="false">W212-Z212</f>
        <v>79.4399999999999</v>
      </c>
      <c r="AD212" s="4" t="str">
        <f aca="false">IF(OR(AND(X212&lt;&gt;0,ABS(AA212)&gt;Assumptions!$B$18*X212),AND(Y212&lt;&gt;0,ABS(AB212)&gt;Assumptions!$B$18*Y212),AND(Z212&lt;&gt;0,ABS(AC212)&gt;Assumptions!$B$18*Z212)),"REVIEW","")</f>
        <v>REVIEW</v>
      </c>
    </row>
    <row r="213" customFormat="false" ht="15" hidden="false" customHeight="false" outlineLevel="0" collapsed="false">
      <c r="A213" s="0" t="str">
        <f aca="false">'City Data'!A213</f>
        <v>Rio de Janeiro</v>
      </c>
      <c r="B213" s="4" t="n">
        <f aca="false">'City Data'!B213/Assumptions!$B$2</f>
        <v>17.5</v>
      </c>
      <c r="C213" s="4" t="n">
        <f aca="false">'City Data'!C213/Assumptions!$B$2</f>
        <v>40</v>
      </c>
      <c r="D213" s="4" t="n">
        <f aca="false">'City Data'!D213/Assumptions!$B$2</f>
        <v>110</v>
      </c>
      <c r="E213" s="4" t="n">
        <f aca="false">Assumptions!$B$3*Assumptions!$B$4*'City Data'!E213</f>
        <v>45</v>
      </c>
      <c r="F213" s="4" t="n">
        <f aca="false">Assumptions!$B$3*Assumptions!$B$5*'City Data'!E213</f>
        <v>81</v>
      </c>
      <c r="G213" s="4" t="n">
        <f aca="false">Assumptions!$B$3*Assumptions!$B$6*'City Data'!E213</f>
        <v>157.5</v>
      </c>
      <c r="H213" s="4" t="n">
        <f aca="false">Assumptions!$B$7*'City Data'!F213</f>
        <v>10</v>
      </c>
      <c r="I213" s="4" t="n">
        <f aca="false">Assumptions!$B$8*'City Data'!F213</f>
        <v>20</v>
      </c>
      <c r="J213" s="4" t="n">
        <f aca="false">Assumptions!$B$9*'City Data'!F213</f>
        <v>40</v>
      </c>
      <c r="K213" s="4" t="n">
        <f aca="false">'City Data'!G213+'City Data'!H213</f>
        <v>2.8</v>
      </c>
      <c r="L213" s="4" t="n">
        <f aca="false">IF(AND(Assumptions!$B$13,ISNUMBER('City Data'!I213)),Assumptions!$B$10*'City Data'!I213,0)</f>
        <v>2.5</v>
      </c>
      <c r="M213" s="4" t="n">
        <f aca="false">IF(AND(Assumptions!$B$13,ISNUMBER('City Data'!I213)),Assumptions!$B$11*'City Data'!I213,0)</f>
        <v>5</v>
      </c>
      <c r="N213" s="4" t="n">
        <f aca="false">IF(AND(Assumptions!$B$13,ISNUMBER('City Data'!I213)),Assumptions!$B$12*'City Data'!I213,0)</f>
        <v>7.5</v>
      </c>
      <c r="O213" s="4" t="n">
        <f aca="false">B213+E213+H213+K213</f>
        <v>75.3</v>
      </c>
      <c r="P213" s="4" t="n">
        <f aca="false">C213+F213+I213+K213</f>
        <v>143.8</v>
      </c>
      <c r="Q213" s="4" t="n">
        <f aca="false">D213+G213+J213+K213</f>
        <v>310.3</v>
      </c>
      <c r="R213" s="4" t="n">
        <f aca="false">IF(Assumptions!$B$14,Assumptions!$B$15*O213,0)</f>
        <v>7.53</v>
      </c>
      <c r="S213" s="4" t="n">
        <f aca="false">IF(Assumptions!$B$14,Assumptions!$B$16*P213,0)</f>
        <v>28.76</v>
      </c>
      <c r="T213" s="4" t="n">
        <f aca="false">IF(Assumptions!$B$14,Assumptions!$B$17*Q213,0)</f>
        <v>108.605</v>
      </c>
      <c r="U213" s="4" t="n">
        <f aca="false">O213+L213+R213</f>
        <v>85.33</v>
      </c>
      <c r="V213" s="4" t="n">
        <f aca="false">P213+M213+S213</f>
        <v>177.56</v>
      </c>
      <c r="W213" s="4" t="n">
        <f aca="false">Q213+N213+T213</f>
        <v>426.405</v>
      </c>
      <c r="X213" s="4" t="n">
        <f aca="false">'City Data'!K213</f>
        <v>45</v>
      </c>
      <c r="Y213" s="4" t="n">
        <f aca="false">'City Data'!L213</f>
        <v>110</v>
      </c>
      <c r="Z213" s="4" t="n">
        <f aca="false">'City Data'!M213</f>
        <v>320</v>
      </c>
      <c r="AA213" s="4" t="n">
        <f aca="false">U213-X213</f>
        <v>40.33</v>
      </c>
      <c r="AB213" s="4" t="n">
        <f aca="false">V213-Y213</f>
        <v>67.56</v>
      </c>
      <c r="AC213" s="4" t="n">
        <f aca="false">W213-Z213</f>
        <v>106.405</v>
      </c>
      <c r="AD213" s="4" t="str">
        <f aca="false">IF(OR(AND(X213&lt;&gt;0,ABS(AA213)&gt;Assumptions!$B$18*X213),AND(Y213&lt;&gt;0,ABS(AB213)&gt;Assumptions!$B$18*Y213),AND(Z213&lt;&gt;0,ABS(AC213)&gt;Assumptions!$B$18*Z213)),"REVIEW","")</f>
        <v>REVIEW</v>
      </c>
    </row>
    <row r="214" customFormat="false" ht="15" hidden="false" customHeight="false" outlineLevel="0" collapsed="false">
      <c r="A214" s="0" t="str">
        <f aca="false">'City Data'!A214</f>
        <v>Riyadh</v>
      </c>
      <c r="B214" s="4" t="n">
        <f aca="false">'City Data'!B214/Assumptions!$B$2</f>
        <v>25</v>
      </c>
      <c r="C214" s="4" t="n">
        <f aca="false">'City Data'!C214/Assumptions!$B$2</f>
        <v>55</v>
      </c>
      <c r="D214" s="4" t="n">
        <f aca="false">'City Data'!D214/Assumptions!$B$2</f>
        <v>125</v>
      </c>
      <c r="E214" s="4" t="n">
        <f aca="false">Assumptions!$B$3*Assumptions!$B$4*'City Data'!E214</f>
        <v>60</v>
      </c>
      <c r="F214" s="4" t="n">
        <f aca="false">Assumptions!$B$3*Assumptions!$B$5*'City Data'!E214</f>
        <v>108</v>
      </c>
      <c r="G214" s="4" t="n">
        <f aca="false">Assumptions!$B$3*Assumptions!$B$6*'City Data'!E214</f>
        <v>210</v>
      </c>
      <c r="H214" s="4" t="n">
        <f aca="false">Assumptions!$B$7*'City Data'!F214</f>
        <v>12</v>
      </c>
      <c r="I214" s="4" t="n">
        <f aca="false">Assumptions!$B$8*'City Data'!F214</f>
        <v>24</v>
      </c>
      <c r="J214" s="4" t="n">
        <f aca="false">Assumptions!$B$9*'City Data'!F214</f>
        <v>48</v>
      </c>
      <c r="K214" s="4" t="n">
        <f aca="false">'City Data'!G214+'City Data'!H214</f>
        <v>2.8</v>
      </c>
      <c r="L214" s="4" t="n">
        <f aca="false">IF(AND(Assumptions!$B$13,ISNUMBER('City Data'!I214)),Assumptions!$B$10*'City Data'!I214,0)</f>
        <v>0</v>
      </c>
      <c r="M214" s="4" t="n">
        <f aca="false">IF(AND(Assumptions!$B$13,ISNUMBER('City Data'!I214)),Assumptions!$B$11*'City Data'!I214,0)</f>
        <v>0</v>
      </c>
      <c r="N214" s="4" t="n">
        <f aca="false">IF(AND(Assumptions!$B$13,ISNUMBER('City Data'!I214)),Assumptions!$B$12*'City Data'!I214,0)</f>
        <v>0</v>
      </c>
      <c r="O214" s="4" t="n">
        <f aca="false">B214+E214+H214+K214</f>
        <v>99.8</v>
      </c>
      <c r="P214" s="4" t="n">
        <f aca="false">C214+F214+I214+K214</f>
        <v>189.8</v>
      </c>
      <c r="Q214" s="4" t="n">
        <f aca="false">D214+G214+J214+K214</f>
        <v>385.8</v>
      </c>
      <c r="R214" s="4" t="n">
        <f aca="false">IF(Assumptions!$B$14,Assumptions!$B$15*O214,0)</f>
        <v>9.98</v>
      </c>
      <c r="S214" s="4" t="n">
        <f aca="false">IF(Assumptions!$B$14,Assumptions!$B$16*P214,0)</f>
        <v>37.96</v>
      </c>
      <c r="T214" s="4" t="n">
        <f aca="false">IF(Assumptions!$B$14,Assumptions!$B$17*Q214,0)</f>
        <v>135.03</v>
      </c>
      <c r="U214" s="4" t="n">
        <f aca="false">O214+L214+R214</f>
        <v>109.78</v>
      </c>
      <c r="V214" s="4" t="n">
        <f aca="false">P214+M214+S214</f>
        <v>227.76</v>
      </c>
      <c r="W214" s="4" t="n">
        <f aca="false">Q214+N214+T214</f>
        <v>520.83</v>
      </c>
      <c r="X214" s="4" t="n">
        <f aca="false">'City Data'!K214</f>
        <v>70</v>
      </c>
      <c r="Y214" s="4" t="n">
        <f aca="false">'City Data'!L214</f>
        <v>180</v>
      </c>
      <c r="Z214" s="4" t="n">
        <f aca="false">'City Data'!M214</f>
        <v>550</v>
      </c>
      <c r="AA214" s="4" t="n">
        <f aca="false">U214-X214</f>
        <v>39.78</v>
      </c>
      <c r="AB214" s="4" t="n">
        <f aca="false">V214-Y214</f>
        <v>47.76</v>
      </c>
      <c r="AC214" s="4" t="n">
        <f aca="false">W214-Z214</f>
        <v>-29.17</v>
      </c>
      <c r="AD214" s="4" t="str">
        <f aca="false">IF(OR(AND(X214&lt;&gt;0,ABS(AA214)&gt;Assumptions!$B$18*X214),AND(Y214&lt;&gt;0,ABS(AB214)&gt;Assumptions!$B$18*Y214),AND(Z214&lt;&gt;0,ABS(AC214)&gt;Assumptions!$B$18*Z214)),"REVIEW","")</f>
        <v>REVIEW</v>
      </c>
    </row>
    <row r="215" customFormat="false" ht="15" hidden="false" customHeight="false" outlineLevel="0" collapsed="false">
      <c r="A215" s="0" t="str">
        <f aca="false">'City Data'!A215</f>
        <v>Rome</v>
      </c>
      <c r="B215" s="4" t="n">
        <f aca="false">'City Data'!B215/Assumptions!$B$2</f>
        <v>30</v>
      </c>
      <c r="C215" s="4" t="n">
        <f aca="false">'City Data'!C215/Assumptions!$B$2</f>
        <v>60</v>
      </c>
      <c r="D215" s="4" t="n">
        <f aca="false">'City Data'!D215/Assumptions!$B$2</f>
        <v>165</v>
      </c>
      <c r="E215" s="4" t="n">
        <f aca="false">Assumptions!$B$3*Assumptions!$B$4*'City Data'!E215</f>
        <v>75</v>
      </c>
      <c r="F215" s="4" t="n">
        <f aca="false">Assumptions!$B$3*Assumptions!$B$5*'City Data'!E215</f>
        <v>135</v>
      </c>
      <c r="G215" s="4" t="n">
        <f aca="false">Assumptions!$B$3*Assumptions!$B$6*'City Data'!E215</f>
        <v>262.5</v>
      </c>
      <c r="H215" s="4" t="n">
        <f aca="false">Assumptions!$B$7*'City Data'!F215</f>
        <v>18</v>
      </c>
      <c r="I215" s="4" t="n">
        <f aca="false">Assumptions!$B$8*'City Data'!F215</f>
        <v>36</v>
      </c>
      <c r="J215" s="4" t="n">
        <f aca="false">Assumptions!$B$9*'City Data'!F215</f>
        <v>72</v>
      </c>
      <c r="K215" s="4" t="n">
        <f aca="false">'City Data'!G215+'City Data'!H215</f>
        <v>2.5</v>
      </c>
      <c r="L215" s="4" t="n">
        <f aca="false">IF(AND(Assumptions!$B$13,ISNUMBER('City Data'!I215)),Assumptions!$B$10*'City Data'!I215,0)</f>
        <v>6</v>
      </c>
      <c r="M215" s="4" t="n">
        <f aca="false">IF(AND(Assumptions!$B$13,ISNUMBER('City Data'!I215)),Assumptions!$B$11*'City Data'!I215,0)</f>
        <v>12</v>
      </c>
      <c r="N215" s="4" t="n">
        <f aca="false">IF(AND(Assumptions!$B$13,ISNUMBER('City Data'!I215)),Assumptions!$B$12*'City Data'!I215,0)</f>
        <v>18</v>
      </c>
      <c r="O215" s="4" t="n">
        <f aca="false">B215+E215+H215+K215</f>
        <v>125.5</v>
      </c>
      <c r="P215" s="4" t="n">
        <f aca="false">C215+F215+I215+K215</f>
        <v>233.5</v>
      </c>
      <c r="Q215" s="4" t="n">
        <f aca="false">D215+G215+J215+K215</f>
        <v>502</v>
      </c>
      <c r="R215" s="4" t="n">
        <f aca="false">IF(Assumptions!$B$14,Assumptions!$B$15*O215,0)</f>
        <v>12.55</v>
      </c>
      <c r="S215" s="4" t="n">
        <f aca="false">IF(Assumptions!$B$14,Assumptions!$B$16*P215,0)</f>
        <v>46.7</v>
      </c>
      <c r="T215" s="4" t="n">
        <f aca="false">IF(Assumptions!$B$14,Assumptions!$B$17*Q215,0)</f>
        <v>175.7</v>
      </c>
      <c r="U215" s="4" t="n">
        <f aca="false">O215+L215+R215</f>
        <v>144.05</v>
      </c>
      <c r="V215" s="4" t="n">
        <f aca="false">P215+M215+S215</f>
        <v>292.2</v>
      </c>
      <c r="W215" s="4" t="n">
        <f aca="false">Q215+N215+T215</f>
        <v>695.7</v>
      </c>
      <c r="X215" s="4" t="n">
        <f aca="false">'City Data'!K215</f>
        <v>80</v>
      </c>
      <c r="Y215" s="4" t="n">
        <f aca="false">'City Data'!L215</f>
        <v>190</v>
      </c>
      <c r="Z215" s="4" t="n">
        <f aca="false">'City Data'!M215</f>
        <v>520</v>
      </c>
      <c r="AA215" s="4" t="n">
        <f aca="false">U215-X215</f>
        <v>64.05</v>
      </c>
      <c r="AB215" s="4" t="n">
        <f aca="false">V215-Y215</f>
        <v>102.2</v>
      </c>
      <c r="AC215" s="4" t="n">
        <f aca="false">W215-Z215</f>
        <v>175.7</v>
      </c>
      <c r="AD215" s="4" t="str">
        <f aca="false">IF(OR(AND(X215&lt;&gt;0,ABS(AA215)&gt;Assumptions!$B$18*X215),AND(Y215&lt;&gt;0,ABS(AB215)&gt;Assumptions!$B$18*Y215),AND(Z215&lt;&gt;0,ABS(AC215)&gt;Assumptions!$B$18*Z215)),"REVIEW","")</f>
        <v>REVIEW</v>
      </c>
    </row>
    <row r="216" customFormat="false" ht="15" hidden="false" customHeight="false" outlineLevel="0" collapsed="false">
      <c r="A216" s="0" t="str">
        <f aca="false">'City Data'!A216</f>
        <v>Roseau</v>
      </c>
      <c r="B216" s="4" t="n">
        <f aca="false">'City Data'!B216/Assumptions!$B$2</f>
        <v>22.5</v>
      </c>
      <c r="C216" s="4" t="n">
        <f aca="false">'City Data'!C216/Assumptions!$B$2</f>
        <v>55</v>
      </c>
      <c r="D216" s="4" t="n">
        <f aca="false">'City Data'!D216/Assumptions!$B$2</f>
        <v>130</v>
      </c>
      <c r="E216" s="4" t="n">
        <f aca="false">Assumptions!$B$3*Assumptions!$B$4*'City Data'!E216</f>
        <v>60</v>
      </c>
      <c r="F216" s="4" t="n">
        <f aca="false">Assumptions!$B$3*Assumptions!$B$5*'City Data'!E216</f>
        <v>108</v>
      </c>
      <c r="G216" s="4" t="n">
        <f aca="false">Assumptions!$B$3*Assumptions!$B$6*'City Data'!E216</f>
        <v>210</v>
      </c>
      <c r="H216" s="4" t="n">
        <f aca="false">Assumptions!$B$7*'City Data'!F216</f>
        <v>10</v>
      </c>
      <c r="I216" s="4" t="n">
        <f aca="false">Assumptions!$B$8*'City Data'!F216</f>
        <v>20</v>
      </c>
      <c r="J216" s="4" t="n">
        <f aca="false">Assumptions!$B$9*'City Data'!F216</f>
        <v>40</v>
      </c>
      <c r="K216" s="4" t="n">
        <f aca="false">'City Data'!G216+'City Data'!H216</f>
        <v>5</v>
      </c>
      <c r="L216" s="4" t="n">
        <f aca="false">IF(AND(Assumptions!$B$13,ISNUMBER('City Data'!I216)),Assumptions!$B$10*'City Data'!I216,0)</f>
        <v>4.5</v>
      </c>
      <c r="M216" s="4" t="n">
        <f aca="false">IF(AND(Assumptions!$B$13,ISNUMBER('City Data'!I216)),Assumptions!$B$11*'City Data'!I216,0)</f>
        <v>9</v>
      </c>
      <c r="N216" s="4" t="n">
        <f aca="false">IF(AND(Assumptions!$B$13,ISNUMBER('City Data'!I216)),Assumptions!$B$12*'City Data'!I216,0)</f>
        <v>13.5</v>
      </c>
      <c r="O216" s="4" t="n">
        <f aca="false">B216+E216+H216+K216</f>
        <v>97.5</v>
      </c>
      <c r="P216" s="4" t="n">
        <f aca="false">C216+F216+I216+K216</f>
        <v>188</v>
      </c>
      <c r="Q216" s="4" t="n">
        <f aca="false">D216+G216+J216+K216</f>
        <v>385</v>
      </c>
      <c r="R216" s="4" t="n">
        <f aca="false">IF(Assumptions!$B$14,Assumptions!$B$15*O216,0)</f>
        <v>9.75</v>
      </c>
      <c r="S216" s="4" t="n">
        <f aca="false">IF(Assumptions!$B$14,Assumptions!$B$16*P216,0)</f>
        <v>37.6</v>
      </c>
      <c r="T216" s="4" t="n">
        <f aca="false">IF(Assumptions!$B$14,Assumptions!$B$17*Q216,0)</f>
        <v>134.75</v>
      </c>
      <c r="U216" s="4" t="n">
        <f aca="false">O216+L216+R216</f>
        <v>111.75</v>
      </c>
      <c r="V216" s="4" t="n">
        <f aca="false">P216+M216+S216</f>
        <v>234.6</v>
      </c>
      <c r="W216" s="4" t="n">
        <f aca="false">Q216+N216+T216</f>
        <v>533.25</v>
      </c>
      <c r="X216" s="4" t="n">
        <f aca="false">'City Data'!K216</f>
        <v>60</v>
      </c>
      <c r="Y216" s="4" t="n">
        <f aca="false">'City Data'!L216</f>
        <v>145</v>
      </c>
      <c r="Z216" s="4" t="n">
        <f aca="false">'City Data'!M216</f>
        <v>425</v>
      </c>
      <c r="AA216" s="4" t="n">
        <f aca="false">U216-X216</f>
        <v>51.75</v>
      </c>
      <c r="AB216" s="4" t="n">
        <f aca="false">V216-Y216</f>
        <v>89.6</v>
      </c>
      <c r="AC216" s="4" t="n">
        <f aca="false">W216-Z216</f>
        <v>108.25</v>
      </c>
      <c r="AD216" s="4" t="str">
        <f aca="false">IF(OR(AND(X216&lt;&gt;0,ABS(AA216)&gt;Assumptions!$B$18*X216),AND(Y216&lt;&gt;0,ABS(AB216)&gt;Assumptions!$B$18*Y216),AND(Z216&lt;&gt;0,ABS(AC216)&gt;Assumptions!$B$18*Z216)),"REVIEW","")</f>
        <v>REVIEW</v>
      </c>
    </row>
    <row r="217" customFormat="false" ht="15" hidden="false" customHeight="false" outlineLevel="0" collapsed="false">
      <c r="A217" s="0" t="str">
        <f aca="false">'City Data'!A217</f>
        <v>Saint Petersburg</v>
      </c>
      <c r="B217" s="4" t="n">
        <f aca="false">'City Data'!B217/Assumptions!$B$2</f>
        <v>11</v>
      </c>
      <c r="C217" s="4" t="n">
        <f aca="false">'City Data'!C217/Assumptions!$B$2</f>
        <v>27.5</v>
      </c>
      <c r="D217" s="4" t="n">
        <f aca="false">'City Data'!D217/Assumptions!$B$2</f>
        <v>65</v>
      </c>
      <c r="E217" s="4" t="n">
        <f aca="false">Assumptions!$B$3*Assumptions!$B$4*'City Data'!E217</f>
        <v>36</v>
      </c>
      <c r="F217" s="4" t="n">
        <f aca="false">Assumptions!$B$3*Assumptions!$B$5*'City Data'!E217</f>
        <v>64.8</v>
      </c>
      <c r="G217" s="4" t="n">
        <f aca="false">Assumptions!$B$3*Assumptions!$B$6*'City Data'!E217</f>
        <v>126</v>
      </c>
      <c r="H217" s="4" t="n">
        <f aca="false">Assumptions!$B$7*'City Data'!F217</f>
        <v>4</v>
      </c>
      <c r="I217" s="4" t="n">
        <f aca="false">Assumptions!$B$8*'City Data'!F217</f>
        <v>8</v>
      </c>
      <c r="J217" s="4" t="n">
        <f aca="false">Assumptions!$B$9*'City Data'!F217</f>
        <v>16</v>
      </c>
      <c r="K217" s="4" t="n">
        <f aca="false">'City Data'!G217+'City Data'!H217</f>
        <v>3.1</v>
      </c>
      <c r="L217" s="4" t="n">
        <f aca="false">IF(AND(Assumptions!$B$13,ISNUMBER('City Data'!I217)),Assumptions!$B$10*'City Data'!I217,0)</f>
        <v>2</v>
      </c>
      <c r="M217" s="4" t="n">
        <f aca="false">IF(AND(Assumptions!$B$13,ISNUMBER('City Data'!I217)),Assumptions!$B$11*'City Data'!I217,0)</f>
        <v>4</v>
      </c>
      <c r="N217" s="4" t="n">
        <f aca="false">IF(AND(Assumptions!$B$13,ISNUMBER('City Data'!I217)),Assumptions!$B$12*'City Data'!I217,0)</f>
        <v>6</v>
      </c>
      <c r="O217" s="4" t="n">
        <f aca="false">B217+E217+H217+K217</f>
        <v>54.1</v>
      </c>
      <c r="P217" s="4" t="n">
        <f aca="false">C217+F217+I217+K217</f>
        <v>103.4</v>
      </c>
      <c r="Q217" s="4" t="n">
        <f aca="false">D217+G217+J217+K217</f>
        <v>210.1</v>
      </c>
      <c r="R217" s="4" t="n">
        <f aca="false">IF(Assumptions!$B$14,Assumptions!$B$15*O217,0)</f>
        <v>5.41</v>
      </c>
      <c r="S217" s="4" t="n">
        <f aca="false">IF(Assumptions!$B$14,Assumptions!$B$16*P217,0)</f>
        <v>20.68</v>
      </c>
      <c r="T217" s="4" t="n">
        <f aca="false">IF(Assumptions!$B$14,Assumptions!$B$17*Q217,0)</f>
        <v>73.535</v>
      </c>
      <c r="U217" s="4" t="n">
        <f aca="false">O217+L217+R217</f>
        <v>61.51</v>
      </c>
      <c r="V217" s="4" t="n">
        <f aca="false">P217+M217+S217</f>
        <v>128.08</v>
      </c>
      <c r="W217" s="4" t="n">
        <f aca="false">Q217+N217+T217</f>
        <v>289.635</v>
      </c>
      <c r="X217" s="4" t="n">
        <f aca="false">'City Data'!K217</f>
        <v>40</v>
      </c>
      <c r="Y217" s="4" t="n">
        <f aca="false">'City Data'!L217</f>
        <v>95</v>
      </c>
      <c r="Z217" s="4" t="n">
        <f aca="false">'City Data'!M217</f>
        <v>300</v>
      </c>
      <c r="AA217" s="4" t="n">
        <f aca="false">U217-X217</f>
        <v>21.51</v>
      </c>
      <c r="AB217" s="4" t="n">
        <f aca="false">V217-Y217</f>
        <v>33.08</v>
      </c>
      <c r="AC217" s="4" t="n">
        <f aca="false">W217-Z217</f>
        <v>-10.365</v>
      </c>
      <c r="AD217" s="4" t="str">
        <f aca="false">IF(OR(AND(X217&lt;&gt;0,ABS(AA217)&gt;Assumptions!$B$18*X217),AND(Y217&lt;&gt;0,ABS(AB217)&gt;Assumptions!$B$18*Y217),AND(Z217&lt;&gt;0,ABS(AC217)&gt;Assumptions!$B$18*Z217)),"REVIEW","")</f>
        <v>REVIEW</v>
      </c>
    </row>
    <row r="218" customFormat="false" ht="15" hidden="false" customHeight="false" outlineLevel="0" collapsed="false">
      <c r="A218" s="0" t="str">
        <f aca="false">'City Data'!A218</f>
        <v>San Francisco</v>
      </c>
      <c r="B218" s="4" t="n">
        <f aca="false">'City Data'!B218/Assumptions!$B$2</f>
        <v>65</v>
      </c>
      <c r="C218" s="4" t="n">
        <f aca="false">'City Data'!C218/Assumptions!$B$2</f>
        <v>115</v>
      </c>
      <c r="D218" s="4" t="n">
        <f aca="false">'City Data'!D218/Assumptions!$B$2</f>
        <v>250</v>
      </c>
      <c r="E218" s="4" t="n">
        <f aca="false">Assumptions!$B$3*Assumptions!$B$4*'City Data'!E218</f>
        <v>90</v>
      </c>
      <c r="F218" s="4" t="n">
        <f aca="false">Assumptions!$B$3*Assumptions!$B$5*'City Data'!E218</f>
        <v>162</v>
      </c>
      <c r="G218" s="4" t="n">
        <f aca="false">Assumptions!$B$3*Assumptions!$B$6*'City Data'!E218</f>
        <v>315</v>
      </c>
      <c r="H218" s="4" t="n">
        <f aca="false">Assumptions!$B$7*'City Data'!F218</f>
        <v>30</v>
      </c>
      <c r="I218" s="4" t="n">
        <f aca="false">Assumptions!$B$8*'City Data'!F218</f>
        <v>60</v>
      </c>
      <c r="J218" s="4" t="n">
        <f aca="false">Assumptions!$B$9*'City Data'!F218</f>
        <v>120</v>
      </c>
      <c r="K218" s="4" t="n">
        <f aca="false">'City Data'!G218+'City Data'!H218</f>
        <v>6.5</v>
      </c>
      <c r="L218" s="4" t="n">
        <f aca="false">IF(AND(Assumptions!$B$13,ISNUMBER('City Data'!I218)),Assumptions!$B$10*'City Data'!I218,0)</f>
        <v>7</v>
      </c>
      <c r="M218" s="4" t="n">
        <f aca="false">IF(AND(Assumptions!$B$13,ISNUMBER('City Data'!I218)),Assumptions!$B$11*'City Data'!I218,0)</f>
        <v>14</v>
      </c>
      <c r="N218" s="4" t="n">
        <f aca="false">IF(AND(Assumptions!$B$13,ISNUMBER('City Data'!I218)),Assumptions!$B$12*'City Data'!I218,0)</f>
        <v>21</v>
      </c>
      <c r="O218" s="4" t="n">
        <f aca="false">B218+E218+H218+K218</f>
        <v>191.5</v>
      </c>
      <c r="P218" s="4" t="n">
        <f aca="false">C218+F218+I218+K218</f>
        <v>343.5</v>
      </c>
      <c r="Q218" s="4" t="n">
        <f aca="false">D218+G218+J218+K218</f>
        <v>691.5</v>
      </c>
      <c r="R218" s="4" t="n">
        <f aca="false">IF(Assumptions!$B$14,Assumptions!$B$15*O218,0)</f>
        <v>19.15</v>
      </c>
      <c r="S218" s="4" t="n">
        <f aca="false">IF(Assumptions!$B$14,Assumptions!$B$16*P218,0)</f>
        <v>68.7</v>
      </c>
      <c r="T218" s="4" t="n">
        <f aca="false">IF(Assumptions!$B$14,Assumptions!$B$17*Q218,0)</f>
        <v>242.025</v>
      </c>
      <c r="U218" s="4" t="n">
        <f aca="false">O218+L218+R218</f>
        <v>217.65</v>
      </c>
      <c r="V218" s="4" t="n">
        <f aca="false">P218+M218+S218</f>
        <v>426.2</v>
      </c>
      <c r="W218" s="4" t="n">
        <f aca="false">Q218+N218+T218</f>
        <v>954.525</v>
      </c>
      <c r="X218" s="4" t="n">
        <f aca="false">'City Data'!K218</f>
        <v>120</v>
      </c>
      <c r="Y218" s="4" t="n">
        <f aca="false">'City Data'!L218</f>
        <v>300</v>
      </c>
      <c r="Z218" s="4" t="n">
        <f aca="false">'City Data'!M218</f>
        <v>800</v>
      </c>
      <c r="AA218" s="4" t="n">
        <f aca="false">U218-X218</f>
        <v>97.65</v>
      </c>
      <c r="AB218" s="4" t="n">
        <f aca="false">V218-Y218</f>
        <v>126.2</v>
      </c>
      <c r="AC218" s="4" t="n">
        <f aca="false">W218-Z218</f>
        <v>154.525</v>
      </c>
      <c r="AD218" s="4" t="str">
        <f aca="false">IF(OR(AND(X218&lt;&gt;0,ABS(AA218)&gt;Assumptions!$B$18*X218),AND(Y218&lt;&gt;0,ABS(AB218)&gt;Assumptions!$B$18*Y218),AND(Z218&lt;&gt;0,ABS(AC218)&gt;Assumptions!$B$18*Z218)),"REVIEW","")</f>
        <v>REVIEW</v>
      </c>
    </row>
    <row r="219" customFormat="false" ht="15" hidden="false" customHeight="false" outlineLevel="0" collapsed="false">
      <c r="A219" s="0" t="str">
        <f aca="false">'City Data'!A219</f>
        <v>San José</v>
      </c>
      <c r="B219" s="4" t="n">
        <f aca="false">'City Data'!B219/Assumptions!$B$2</f>
        <v>12.5</v>
      </c>
      <c r="C219" s="4" t="n">
        <f aca="false">'City Data'!C219/Assumptions!$B$2</f>
        <v>37.5</v>
      </c>
      <c r="D219" s="4" t="n">
        <f aca="false">'City Data'!D219/Assumptions!$B$2</f>
        <v>90</v>
      </c>
      <c r="E219" s="4" t="n">
        <f aca="false">Assumptions!$B$3*Assumptions!$B$4*'City Data'!E219</f>
        <v>36</v>
      </c>
      <c r="F219" s="4" t="n">
        <f aca="false">Assumptions!$B$3*Assumptions!$B$5*'City Data'!E219</f>
        <v>64.8</v>
      </c>
      <c r="G219" s="4" t="n">
        <f aca="false">Assumptions!$B$3*Assumptions!$B$6*'City Data'!E219</f>
        <v>126</v>
      </c>
      <c r="H219" s="4" t="n">
        <f aca="false">Assumptions!$B$7*'City Data'!F219</f>
        <v>6</v>
      </c>
      <c r="I219" s="4" t="n">
        <f aca="false">Assumptions!$B$8*'City Data'!F219</f>
        <v>12</v>
      </c>
      <c r="J219" s="4" t="n">
        <f aca="false">Assumptions!$B$9*'City Data'!F219</f>
        <v>24</v>
      </c>
      <c r="K219" s="4" t="n">
        <f aca="false">'City Data'!G219+'City Data'!H219</f>
        <v>4</v>
      </c>
      <c r="L219" s="4" t="n">
        <f aca="false">IF(AND(Assumptions!$B$13,ISNUMBER('City Data'!I219)),Assumptions!$B$10*'City Data'!I219,0)</f>
        <v>3.5</v>
      </c>
      <c r="M219" s="4" t="n">
        <f aca="false">IF(AND(Assumptions!$B$13,ISNUMBER('City Data'!I219)),Assumptions!$B$11*'City Data'!I219,0)</f>
        <v>7</v>
      </c>
      <c r="N219" s="4" t="n">
        <f aca="false">IF(AND(Assumptions!$B$13,ISNUMBER('City Data'!I219)),Assumptions!$B$12*'City Data'!I219,0)</f>
        <v>10.5</v>
      </c>
      <c r="O219" s="4" t="n">
        <f aca="false">B219+E219+H219+K219</f>
        <v>58.5</v>
      </c>
      <c r="P219" s="4" t="n">
        <f aca="false">C219+F219+I219+K219</f>
        <v>118.3</v>
      </c>
      <c r="Q219" s="4" t="n">
        <f aca="false">D219+G219+J219+K219</f>
        <v>244</v>
      </c>
      <c r="R219" s="4" t="n">
        <f aca="false">IF(Assumptions!$B$14,Assumptions!$B$15*O219,0)</f>
        <v>5.85</v>
      </c>
      <c r="S219" s="4" t="n">
        <f aca="false">IF(Assumptions!$B$14,Assumptions!$B$16*P219,0)</f>
        <v>23.66</v>
      </c>
      <c r="T219" s="4" t="n">
        <f aca="false">IF(Assumptions!$B$14,Assumptions!$B$17*Q219,0)</f>
        <v>85.4</v>
      </c>
      <c r="U219" s="4" t="n">
        <f aca="false">O219+L219+R219</f>
        <v>67.85</v>
      </c>
      <c r="V219" s="4" t="n">
        <f aca="false">P219+M219+S219</f>
        <v>148.96</v>
      </c>
      <c r="W219" s="4" t="n">
        <f aca="false">Q219+N219+T219</f>
        <v>339.9</v>
      </c>
      <c r="X219" s="4" t="n">
        <f aca="false">'City Data'!K219</f>
        <v>40</v>
      </c>
      <c r="Y219" s="4" t="n">
        <f aca="false">'City Data'!L219</f>
        <v>100</v>
      </c>
      <c r="Z219" s="4" t="n">
        <f aca="false">'City Data'!M219</f>
        <v>295</v>
      </c>
      <c r="AA219" s="4" t="n">
        <f aca="false">U219-X219</f>
        <v>27.85</v>
      </c>
      <c r="AB219" s="4" t="n">
        <f aca="false">V219-Y219</f>
        <v>48.96</v>
      </c>
      <c r="AC219" s="4" t="n">
        <f aca="false">W219-Z219</f>
        <v>44.9</v>
      </c>
      <c r="AD219" s="4" t="str">
        <f aca="false">IF(OR(AND(X219&lt;&gt;0,ABS(AA219)&gt;Assumptions!$B$18*X219),AND(Y219&lt;&gt;0,ABS(AB219)&gt;Assumptions!$B$18*Y219),AND(Z219&lt;&gt;0,ABS(AC219)&gt;Assumptions!$B$18*Z219)),"REVIEW","")</f>
        <v>REVIEW</v>
      </c>
    </row>
    <row r="220" customFormat="false" ht="15" hidden="false" customHeight="false" outlineLevel="0" collapsed="false">
      <c r="A220" s="0" t="str">
        <f aca="false">'City Data'!A220</f>
        <v>San Marino</v>
      </c>
      <c r="B220" s="4" t="n">
        <f aca="false">'City Data'!B220/Assumptions!$B$2</f>
        <v>35</v>
      </c>
      <c r="C220" s="4" t="n">
        <f aca="false">'City Data'!C220/Assumptions!$B$2</f>
        <v>65</v>
      </c>
      <c r="D220" s="4" t="n">
        <f aca="false">'City Data'!D220/Assumptions!$B$2</f>
        <v>125</v>
      </c>
      <c r="E220" s="4" t="n">
        <f aca="false">Assumptions!$B$3*Assumptions!$B$4*'City Data'!E220</f>
        <v>75</v>
      </c>
      <c r="F220" s="4" t="n">
        <f aca="false">Assumptions!$B$3*Assumptions!$B$5*'City Data'!E220</f>
        <v>135</v>
      </c>
      <c r="G220" s="4" t="n">
        <f aca="false">Assumptions!$B$3*Assumptions!$B$6*'City Data'!E220</f>
        <v>262.5</v>
      </c>
      <c r="H220" s="4" t="n">
        <f aca="false">Assumptions!$B$7*'City Data'!F220</f>
        <v>15</v>
      </c>
      <c r="I220" s="4" t="n">
        <f aca="false">Assumptions!$B$8*'City Data'!F220</f>
        <v>30</v>
      </c>
      <c r="J220" s="4" t="n">
        <f aca="false">Assumptions!$B$9*'City Data'!F220</f>
        <v>60</v>
      </c>
      <c r="K220" s="4" t="n">
        <f aca="false">'City Data'!G220+'City Data'!H220</f>
        <v>3</v>
      </c>
      <c r="L220" s="4" t="n">
        <f aca="false">IF(AND(Assumptions!$B$13,ISNUMBER('City Data'!I220)),Assumptions!$B$10*'City Data'!I220,0)</f>
        <v>5</v>
      </c>
      <c r="M220" s="4" t="n">
        <f aca="false">IF(AND(Assumptions!$B$13,ISNUMBER('City Data'!I220)),Assumptions!$B$11*'City Data'!I220,0)</f>
        <v>10</v>
      </c>
      <c r="N220" s="4" t="n">
        <f aca="false">IF(AND(Assumptions!$B$13,ISNUMBER('City Data'!I220)),Assumptions!$B$12*'City Data'!I220,0)</f>
        <v>15</v>
      </c>
      <c r="O220" s="4" t="n">
        <f aca="false">B220+E220+H220+K220</f>
        <v>128</v>
      </c>
      <c r="P220" s="4" t="n">
        <f aca="false">C220+F220+I220+K220</f>
        <v>233</v>
      </c>
      <c r="Q220" s="4" t="n">
        <f aca="false">D220+G220+J220+K220</f>
        <v>450.5</v>
      </c>
      <c r="R220" s="4" t="n">
        <f aca="false">IF(Assumptions!$B$14,Assumptions!$B$15*O220,0)</f>
        <v>12.8</v>
      </c>
      <c r="S220" s="4" t="n">
        <f aca="false">IF(Assumptions!$B$14,Assumptions!$B$16*P220,0)</f>
        <v>46.6</v>
      </c>
      <c r="T220" s="4" t="n">
        <f aca="false">IF(Assumptions!$B$14,Assumptions!$B$17*Q220,0)</f>
        <v>157.675</v>
      </c>
      <c r="U220" s="4" t="n">
        <f aca="false">O220+L220+R220</f>
        <v>145.8</v>
      </c>
      <c r="V220" s="4" t="n">
        <f aca="false">P220+M220+S220</f>
        <v>289.6</v>
      </c>
      <c r="W220" s="4" t="n">
        <f aca="false">Q220+N220+T220</f>
        <v>623.175</v>
      </c>
      <c r="X220" s="4" t="n">
        <f aca="false">'City Data'!K220</f>
        <v>75</v>
      </c>
      <c r="Y220" s="4" t="n">
        <f aca="false">'City Data'!L220</f>
        <v>180</v>
      </c>
      <c r="Z220" s="4" t="n">
        <f aca="false">'City Data'!M220</f>
        <v>500</v>
      </c>
      <c r="AA220" s="4" t="n">
        <f aca="false">U220-X220</f>
        <v>70.8</v>
      </c>
      <c r="AB220" s="4" t="n">
        <f aca="false">V220-Y220</f>
        <v>109.6</v>
      </c>
      <c r="AC220" s="4" t="n">
        <f aca="false">W220-Z220</f>
        <v>123.175</v>
      </c>
      <c r="AD220" s="4" t="str">
        <f aca="false">IF(OR(AND(X220&lt;&gt;0,ABS(AA220)&gt;Assumptions!$B$18*X220),AND(Y220&lt;&gt;0,ABS(AB220)&gt;Assumptions!$B$18*Y220),AND(Z220&lt;&gt;0,ABS(AC220)&gt;Assumptions!$B$18*Z220)),"REVIEW","")</f>
        <v>REVIEW</v>
      </c>
    </row>
    <row r="221" customFormat="false" ht="15" hidden="false" customHeight="false" outlineLevel="0" collapsed="false">
      <c r="A221" s="0" t="str">
        <f aca="false">'City Data'!A221</f>
        <v>San Salvador</v>
      </c>
      <c r="B221" s="4" t="n">
        <f aca="false">'City Data'!B221/Assumptions!$B$2</f>
        <v>12.5</v>
      </c>
      <c r="C221" s="4" t="n">
        <f aca="false">'City Data'!C221/Assumptions!$B$2</f>
        <v>35</v>
      </c>
      <c r="D221" s="4" t="n">
        <f aca="false">'City Data'!D221/Assumptions!$B$2</f>
        <v>90</v>
      </c>
      <c r="E221" s="4" t="n">
        <f aca="false">Assumptions!$B$3*Assumptions!$B$4*'City Data'!E221</f>
        <v>30</v>
      </c>
      <c r="F221" s="4" t="n">
        <f aca="false">Assumptions!$B$3*Assumptions!$B$5*'City Data'!E221</f>
        <v>54</v>
      </c>
      <c r="G221" s="4" t="n">
        <f aca="false">Assumptions!$B$3*Assumptions!$B$6*'City Data'!E221</f>
        <v>105</v>
      </c>
      <c r="H221" s="4" t="n">
        <f aca="false">Assumptions!$B$7*'City Data'!F221</f>
        <v>6</v>
      </c>
      <c r="I221" s="4" t="n">
        <f aca="false">Assumptions!$B$8*'City Data'!F221</f>
        <v>12</v>
      </c>
      <c r="J221" s="4" t="n">
        <f aca="false">Assumptions!$B$9*'City Data'!F221</f>
        <v>24</v>
      </c>
      <c r="K221" s="4" t="n">
        <f aca="false">'City Data'!G221+'City Data'!H221</f>
        <v>3.5</v>
      </c>
      <c r="L221" s="4" t="n">
        <f aca="false">IF(AND(Assumptions!$B$13,ISNUMBER('City Data'!I221)),Assumptions!$B$10*'City Data'!I221,0)</f>
        <v>2.75</v>
      </c>
      <c r="M221" s="4" t="n">
        <f aca="false">IF(AND(Assumptions!$B$13,ISNUMBER('City Data'!I221)),Assumptions!$B$11*'City Data'!I221,0)</f>
        <v>5.5</v>
      </c>
      <c r="N221" s="4" t="n">
        <f aca="false">IF(AND(Assumptions!$B$13,ISNUMBER('City Data'!I221)),Assumptions!$B$12*'City Data'!I221,0)</f>
        <v>8.25</v>
      </c>
      <c r="O221" s="4" t="n">
        <f aca="false">B221+E221+H221+K221</f>
        <v>52</v>
      </c>
      <c r="P221" s="4" t="n">
        <f aca="false">C221+F221+I221+K221</f>
        <v>104.5</v>
      </c>
      <c r="Q221" s="4" t="n">
        <f aca="false">D221+G221+J221+K221</f>
        <v>222.5</v>
      </c>
      <c r="R221" s="4" t="n">
        <f aca="false">IF(Assumptions!$B$14,Assumptions!$B$15*O221,0)</f>
        <v>5.2</v>
      </c>
      <c r="S221" s="4" t="n">
        <f aca="false">IF(Assumptions!$B$14,Assumptions!$B$16*P221,0)</f>
        <v>20.9</v>
      </c>
      <c r="T221" s="4" t="n">
        <f aca="false">IF(Assumptions!$B$14,Assumptions!$B$17*Q221,0)</f>
        <v>77.875</v>
      </c>
      <c r="U221" s="4" t="n">
        <f aca="false">O221+L221+R221</f>
        <v>59.95</v>
      </c>
      <c r="V221" s="4" t="n">
        <f aca="false">P221+M221+S221</f>
        <v>130.9</v>
      </c>
      <c r="W221" s="4" t="n">
        <f aca="false">Q221+N221+T221</f>
        <v>308.625</v>
      </c>
      <c r="X221" s="4" t="n">
        <f aca="false">'City Data'!K221</f>
        <v>40</v>
      </c>
      <c r="Y221" s="4" t="n">
        <f aca="false">'City Data'!L221</f>
        <v>95</v>
      </c>
      <c r="Z221" s="4" t="n">
        <f aca="false">'City Data'!M221</f>
        <v>280</v>
      </c>
      <c r="AA221" s="4" t="n">
        <f aca="false">U221-X221</f>
        <v>19.95</v>
      </c>
      <c r="AB221" s="4" t="n">
        <f aca="false">V221-Y221</f>
        <v>35.9</v>
      </c>
      <c r="AC221" s="4" t="n">
        <f aca="false">W221-Z221</f>
        <v>28.625</v>
      </c>
      <c r="AD221" s="4" t="str">
        <f aca="false">IF(OR(AND(X221&lt;&gt;0,ABS(AA221)&gt;Assumptions!$B$18*X221),AND(Y221&lt;&gt;0,ABS(AB221)&gt;Assumptions!$B$18*Y221),AND(Z221&lt;&gt;0,ABS(AC221)&gt;Assumptions!$B$18*Z221)),"REVIEW","")</f>
        <v>REVIEW</v>
      </c>
    </row>
    <row r="222" customFormat="false" ht="15" hidden="false" customHeight="false" outlineLevel="0" collapsed="false">
      <c r="A222" s="0" t="str">
        <f aca="false">'City Data'!A222</f>
        <v>Sana'a</v>
      </c>
      <c r="B222" s="4" t="n">
        <f aca="false">'City Data'!B222/Assumptions!$B$2</f>
        <v>7.5</v>
      </c>
      <c r="C222" s="4" t="n">
        <f aca="false">'City Data'!C222/Assumptions!$B$2</f>
        <v>22.5</v>
      </c>
      <c r="D222" s="4" t="n">
        <f aca="false">'City Data'!D222/Assumptions!$B$2</f>
        <v>65</v>
      </c>
      <c r="E222" s="4" t="n">
        <f aca="false">Assumptions!$B$3*Assumptions!$B$4*'City Data'!E222</f>
        <v>15</v>
      </c>
      <c r="F222" s="4" t="n">
        <f aca="false">Assumptions!$B$3*Assumptions!$B$5*'City Data'!E222</f>
        <v>27</v>
      </c>
      <c r="G222" s="4" t="n">
        <f aca="false">Assumptions!$B$3*Assumptions!$B$6*'City Data'!E222</f>
        <v>52.5</v>
      </c>
      <c r="H222" s="4" t="n">
        <f aca="false">Assumptions!$B$7*'City Data'!F222</f>
        <v>3</v>
      </c>
      <c r="I222" s="4" t="n">
        <f aca="false">Assumptions!$B$8*'City Data'!F222</f>
        <v>6</v>
      </c>
      <c r="J222" s="4" t="n">
        <f aca="false">Assumptions!$B$9*'City Data'!F222</f>
        <v>12</v>
      </c>
      <c r="K222" s="4" t="n">
        <f aca="false">'City Data'!G222+'City Data'!H222</f>
        <v>2.5</v>
      </c>
      <c r="L222" s="4" t="n">
        <f aca="false">IF(AND(Assumptions!$B$13,ISNUMBER('City Data'!I222)),Assumptions!$B$10*'City Data'!I222,0)</f>
        <v>0</v>
      </c>
      <c r="M222" s="4" t="n">
        <f aca="false">IF(AND(Assumptions!$B$13,ISNUMBER('City Data'!I222)),Assumptions!$B$11*'City Data'!I222,0)</f>
        <v>0</v>
      </c>
      <c r="N222" s="4" t="n">
        <f aca="false">IF(AND(Assumptions!$B$13,ISNUMBER('City Data'!I222)),Assumptions!$B$12*'City Data'!I222,0)</f>
        <v>0</v>
      </c>
      <c r="O222" s="4" t="n">
        <f aca="false">B222+E222+H222+K222</f>
        <v>28</v>
      </c>
      <c r="P222" s="4" t="n">
        <f aca="false">C222+F222+I222+K222</f>
        <v>58</v>
      </c>
      <c r="Q222" s="4" t="n">
        <f aca="false">D222+G222+J222+K222</f>
        <v>132</v>
      </c>
      <c r="R222" s="4" t="n">
        <f aca="false">IF(Assumptions!$B$14,Assumptions!$B$15*O222,0)</f>
        <v>2.8</v>
      </c>
      <c r="S222" s="4" t="n">
        <f aca="false">IF(Assumptions!$B$14,Assumptions!$B$16*P222,0)</f>
        <v>11.6</v>
      </c>
      <c r="T222" s="4" t="n">
        <f aca="false">IF(Assumptions!$B$14,Assumptions!$B$17*Q222,0)</f>
        <v>46.2</v>
      </c>
      <c r="U222" s="4" t="n">
        <f aca="false">O222+L222+R222</f>
        <v>30.8</v>
      </c>
      <c r="V222" s="4" t="n">
        <f aca="false">P222+M222+S222</f>
        <v>69.6</v>
      </c>
      <c r="W222" s="4" t="n">
        <f aca="false">Q222+N222+T222</f>
        <v>178.2</v>
      </c>
      <c r="X222" s="4" t="n">
        <f aca="false">'City Data'!K222</f>
        <v>30</v>
      </c>
      <c r="Y222" s="4" t="n">
        <f aca="false">'City Data'!L222</f>
        <v>65</v>
      </c>
      <c r="Z222" s="4" t="n">
        <f aca="false">'City Data'!M222</f>
        <v>205</v>
      </c>
      <c r="AA222" s="4" t="n">
        <f aca="false">U222-X222</f>
        <v>0.800000000000001</v>
      </c>
      <c r="AB222" s="4" t="n">
        <f aca="false">V222-Y222</f>
        <v>4.59999999999999</v>
      </c>
      <c r="AC222" s="4" t="n">
        <f aca="false">W222-Z222</f>
        <v>-26.8</v>
      </c>
      <c r="AD222" s="4" t="str">
        <f aca="false">IF(OR(AND(X222&lt;&gt;0,ABS(AA222)&gt;Assumptions!$B$18*X222),AND(Y222&lt;&gt;0,ABS(AB222)&gt;Assumptions!$B$18*Y222),AND(Z222&lt;&gt;0,ABS(AC222)&gt;Assumptions!$B$18*Z222)),"REVIEW","")</f>
        <v/>
      </c>
    </row>
    <row r="223" customFormat="false" ht="15" hidden="false" customHeight="false" outlineLevel="0" collapsed="false">
      <c r="A223" s="0" t="str">
        <f aca="false">'City Data'!A223</f>
        <v>Santiago</v>
      </c>
      <c r="B223" s="4" t="n">
        <f aca="false">'City Data'!B223/Assumptions!$B$2</f>
        <v>20</v>
      </c>
      <c r="C223" s="4" t="n">
        <f aca="false">'City Data'!C223/Assumptions!$B$2</f>
        <v>45</v>
      </c>
      <c r="D223" s="4" t="n">
        <f aca="false">'City Data'!D223/Assumptions!$B$2</f>
        <v>95</v>
      </c>
      <c r="E223" s="4" t="n">
        <f aca="false">Assumptions!$B$3*Assumptions!$B$4*'City Data'!E223</f>
        <v>54</v>
      </c>
      <c r="F223" s="4" t="n">
        <f aca="false">Assumptions!$B$3*Assumptions!$B$5*'City Data'!E223</f>
        <v>97.2</v>
      </c>
      <c r="G223" s="4" t="n">
        <f aca="false">Assumptions!$B$3*Assumptions!$B$6*'City Data'!E223</f>
        <v>189</v>
      </c>
      <c r="H223" s="4" t="n">
        <f aca="false">Assumptions!$B$7*'City Data'!F223</f>
        <v>12</v>
      </c>
      <c r="I223" s="4" t="n">
        <f aca="false">Assumptions!$B$8*'City Data'!F223</f>
        <v>24</v>
      </c>
      <c r="J223" s="4" t="n">
        <f aca="false">Assumptions!$B$9*'City Data'!F223</f>
        <v>48</v>
      </c>
      <c r="K223" s="4" t="n">
        <f aca="false">'City Data'!G223+'City Data'!H223</f>
        <v>3.5</v>
      </c>
      <c r="L223" s="4" t="n">
        <f aca="false">IF(AND(Assumptions!$B$13,ISNUMBER('City Data'!I223)),Assumptions!$B$10*'City Data'!I223,0)</f>
        <v>3</v>
      </c>
      <c r="M223" s="4" t="n">
        <f aca="false">IF(AND(Assumptions!$B$13,ISNUMBER('City Data'!I223)),Assumptions!$B$11*'City Data'!I223,0)</f>
        <v>6</v>
      </c>
      <c r="N223" s="4" t="n">
        <f aca="false">IF(AND(Assumptions!$B$13,ISNUMBER('City Data'!I223)),Assumptions!$B$12*'City Data'!I223,0)</f>
        <v>9</v>
      </c>
      <c r="O223" s="4" t="n">
        <f aca="false">B223+E223+H223+K223</f>
        <v>89.5</v>
      </c>
      <c r="P223" s="4" t="n">
        <f aca="false">C223+F223+I223+K223</f>
        <v>169.7</v>
      </c>
      <c r="Q223" s="4" t="n">
        <f aca="false">D223+G223+J223+K223</f>
        <v>335.5</v>
      </c>
      <c r="R223" s="4" t="n">
        <f aca="false">IF(Assumptions!$B$14,Assumptions!$B$15*O223,0)</f>
        <v>8.95</v>
      </c>
      <c r="S223" s="4" t="n">
        <f aca="false">IF(Assumptions!$B$14,Assumptions!$B$16*P223,0)</f>
        <v>33.94</v>
      </c>
      <c r="T223" s="4" t="n">
        <f aca="false">IF(Assumptions!$B$14,Assumptions!$B$17*Q223,0)</f>
        <v>117.425</v>
      </c>
      <c r="U223" s="4" t="n">
        <f aca="false">O223+L223+R223</f>
        <v>101.45</v>
      </c>
      <c r="V223" s="4" t="n">
        <f aca="false">P223+M223+S223</f>
        <v>209.64</v>
      </c>
      <c r="W223" s="4" t="n">
        <f aca="false">Q223+N223+T223</f>
        <v>461.925</v>
      </c>
      <c r="X223" s="4" t="n">
        <f aca="false">'City Data'!K223</f>
        <v>55</v>
      </c>
      <c r="Y223" s="4" t="n">
        <f aca="false">'City Data'!L223</f>
        <v>130</v>
      </c>
      <c r="Z223" s="4" t="n">
        <f aca="false">'City Data'!M223</f>
        <v>370</v>
      </c>
      <c r="AA223" s="4" t="n">
        <f aca="false">U223-X223</f>
        <v>46.45</v>
      </c>
      <c r="AB223" s="4" t="n">
        <f aca="false">V223-Y223</f>
        <v>79.64</v>
      </c>
      <c r="AC223" s="4" t="n">
        <f aca="false">W223-Z223</f>
        <v>91.925</v>
      </c>
      <c r="AD223" s="4" t="str">
        <f aca="false">IF(OR(AND(X223&lt;&gt;0,ABS(AA223)&gt;Assumptions!$B$18*X223),AND(Y223&lt;&gt;0,ABS(AB223)&gt;Assumptions!$B$18*Y223),AND(Z223&lt;&gt;0,ABS(AC223)&gt;Assumptions!$B$18*Z223)),"REVIEW","")</f>
        <v>REVIEW</v>
      </c>
    </row>
    <row r="224" customFormat="false" ht="15" hidden="false" customHeight="false" outlineLevel="0" collapsed="false">
      <c r="A224" s="0" t="str">
        <f aca="false">'City Data'!A224</f>
        <v>Sapporo</v>
      </c>
      <c r="B224" s="4" t="n">
        <f aca="false">'City Data'!B224/Assumptions!$B$2</f>
        <v>20</v>
      </c>
      <c r="C224" s="4" t="n">
        <f aca="false">'City Data'!C224/Assumptions!$B$2</f>
        <v>42.5</v>
      </c>
      <c r="D224" s="4" t="n">
        <f aca="false">'City Data'!D224/Assumptions!$B$2</f>
        <v>120</v>
      </c>
      <c r="E224" s="4" t="n">
        <f aca="false">Assumptions!$B$3*Assumptions!$B$4*'City Data'!E224</f>
        <v>45</v>
      </c>
      <c r="F224" s="4" t="n">
        <f aca="false">Assumptions!$B$3*Assumptions!$B$5*'City Data'!E224</f>
        <v>81</v>
      </c>
      <c r="G224" s="4" t="n">
        <f aca="false">Assumptions!$B$3*Assumptions!$B$6*'City Data'!E224</f>
        <v>157.5</v>
      </c>
      <c r="H224" s="4" t="n">
        <f aca="false">Assumptions!$B$7*'City Data'!F224</f>
        <v>18</v>
      </c>
      <c r="I224" s="4" t="n">
        <f aca="false">Assumptions!$B$8*'City Data'!F224</f>
        <v>36</v>
      </c>
      <c r="J224" s="4" t="n">
        <f aca="false">Assumptions!$B$9*'City Data'!F224</f>
        <v>72</v>
      </c>
      <c r="K224" s="4" t="n">
        <f aca="false">'City Data'!G224+'City Data'!H224</f>
        <v>5.5</v>
      </c>
      <c r="L224" s="4" t="n">
        <f aca="false">IF(AND(Assumptions!$B$13,ISNUMBER('City Data'!I224)),Assumptions!$B$10*'City Data'!I224,0)</f>
        <v>5</v>
      </c>
      <c r="M224" s="4" t="n">
        <f aca="false">IF(AND(Assumptions!$B$13,ISNUMBER('City Data'!I224)),Assumptions!$B$11*'City Data'!I224,0)</f>
        <v>10</v>
      </c>
      <c r="N224" s="4" t="n">
        <f aca="false">IF(AND(Assumptions!$B$13,ISNUMBER('City Data'!I224)),Assumptions!$B$12*'City Data'!I224,0)</f>
        <v>15</v>
      </c>
      <c r="O224" s="4" t="n">
        <f aca="false">B224+E224+H224+K224</f>
        <v>88.5</v>
      </c>
      <c r="P224" s="4" t="n">
        <f aca="false">C224+F224+I224+K224</f>
        <v>165</v>
      </c>
      <c r="Q224" s="4" t="n">
        <f aca="false">D224+G224+J224+K224</f>
        <v>355</v>
      </c>
      <c r="R224" s="4" t="n">
        <f aca="false">IF(Assumptions!$B$14,Assumptions!$B$15*O224,0)</f>
        <v>8.85</v>
      </c>
      <c r="S224" s="4" t="n">
        <f aca="false">IF(Assumptions!$B$14,Assumptions!$B$16*P224,0)</f>
        <v>33</v>
      </c>
      <c r="T224" s="4" t="n">
        <f aca="false">IF(Assumptions!$B$14,Assumptions!$B$17*Q224,0)</f>
        <v>124.25</v>
      </c>
      <c r="U224" s="4" t="n">
        <f aca="false">O224+L224+R224</f>
        <v>102.35</v>
      </c>
      <c r="V224" s="4" t="n">
        <f aca="false">P224+M224+S224</f>
        <v>208</v>
      </c>
      <c r="W224" s="4" t="n">
        <f aca="false">Q224+N224+T224</f>
        <v>494.25</v>
      </c>
      <c r="X224" s="4" t="n">
        <f aca="false">'City Data'!K224</f>
        <v>60</v>
      </c>
      <c r="Y224" s="4" t="n">
        <f aca="false">'City Data'!L224</f>
        <v>140</v>
      </c>
      <c r="Z224" s="4" t="n">
        <f aca="false">'City Data'!M224</f>
        <v>380</v>
      </c>
      <c r="AA224" s="4" t="n">
        <f aca="false">U224-X224</f>
        <v>42.35</v>
      </c>
      <c r="AB224" s="4" t="n">
        <f aca="false">V224-Y224</f>
        <v>68</v>
      </c>
      <c r="AC224" s="4" t="n">
        <f aca="false">W224-Z224</f>
        <v>114.25</v>
      </c>
      <c r="AD224" s="4" t="str">
        <f aca="false">IF(OR(AND(X224&lt;&gt;0,ABS(AA224)&gt;Assumptions!$B$18*X224),AND(Y224&lt;&gt;0,ABS(AB224)&gt;Assumptions!$B$18*Y224),AND(Z224&lt;&gt;0,ABS(AC224)&gt;Assumptions!$B$18*Z224)),"REVIEW","")</f>
        <v>REVIEW</v>
      </c>
    </row>
    <row r="225" customFormat="false" ht="15" hidden="false" customHeight="false" outlineLevel="0" collapsed="false">
      <c r="A225" s="0" t="str">
        <f aca="false">'City Data'!A225</f>
        <v>Sarajevo</v>
      </c>
      <c r="B225" s="4" t="n">
        <f aca="false">'City Data'!B225/Assumptions!$B$2</f>
        <v>12.5</v>
      </c>
      <c r="C225" s="4" t="n">
        <f aca="false">'City Data'!C225/Assumptions!$B$2</f>
        <v>37.5</v>
      </c>
      <c r="D225" s="4" t="n">
        <f aca="false">'City Data'!D225/Assumptions!$B$2</f>
        <v>90</v>
      </c>
      <c r="E225" s="4" t="n">
        <f aca="false">Assumptions!$B$3*Assumptions!$B$4*'City Data'!E225</f>
        <v>30</v>
      </c>
      <c r="F225" s="4" t="n">
        <f aca="false">Assumptions!$B$3*Assumptions!$B$5*'City Data'!E225</f>
        <v>54</v>
      </c>
      <c r="G225" s="4" t="n">
        <f aca="false">Assumptions!$B$3*Assumptions!$B$6*'City Data'!E225</f>
        <v>105</v>
      </c>
      <c r="H225" s="4" t="n">
        <f aca="false">Assumptions!$B$7*'City Data'!F225</f>
        <v>6</v>
      </c>
      <c r="I225" s="4" t="n">
        <f aca="false">Assumptions!$B$8*'City Data'!F225</f>
        <v>12</v>
      </c>
      <c r="J225" s="4" t="n">
        <f aca="false">Assumptions!$B$9*'City Data'!F225</f>
        <v>24</v>
      </c>
      <c r="K225" s="4" t="n">
        <f aca="false">'City Data'!G225+'City Data'!H225</f>
        <v>2.8</v>
      </c>
      <c r="L225" s="4" t="n">
        <f aca="false">IF(AND(Assumptions!$B$13,ISNUMBER('City Data'!I225)),Assumptions!$B$10*'City Data'!I225,0)</f>
        <v>2.5</v>
      </c>
      <c r="M225" s="4" t="n">
        <f aca="false">IF(AND(Assumptions!$B$13,ISNUMBER('City Data'!I225)),Assumptions!$B$11*'City Data'!I225,0)</f>
        <v>5</v>
      </c>
      <c r="N225" s="4" t="n">
        <f aca="false">IF(AND(Assumptions!$B$13,ISNUMBER('City Data'!I225)),Assumptions!$B$12*'City Data'!I225,0)</f>
        <v>7.5</v>
      </c>
      <c r="O225" s="4" t="n">
        <f aca="false">B225+E225+H225+K225</f>
        <v>51.3</v>
      </c>
      <c r="P225" s="4" t="n">
        <f aca="false">C225+F225+I225+K225</f>
        <v>106.3</v>
      </c>
      <c r="Q225" s="4" t="n">
        <f aca="false">D225+G225+J225+K225</f>
        <v>221.8</v>
      </c>
      <c r="R225" s="4" t="n">
        <f aca="false">IF(Assumptions!$B$14,Assumptions!$B$15*O225,0)</f>
        <v>5.13</v>
      </c>
      <c r="S225" s="4" t="n">
        <f aca="false">IF(Assumptions!$B$14,Assumptions!$B$16*P225,0)</f>
        <v>21.26</v>
      </c>
      <c r="T225" s="4" t="n">
        <f aca="false">IF(Assumptions!$B$14,Assumptions!$B$17*Q225,0)</f>
        <v>77.63</v>
      </c>
      <c r="U225" s="4" t="n">
        <f aca="false">O225+L225+R225</f>
        <v>58.93</v>
      </c>
      <c r="V225" s="4" t="n">
        <f aca="false">P225+M225+S225</f>
        <v>132.56</v>
      </c>
      <c r="W225" s="4" t="n">
        <f aca="false">Q225+N225+T225</f>
        <v>306.93</v>
      </c>
      <c r="X225" s="4" t="n">
        <f aca="false">'City Data'!K225</f>
        <v>40</v>
      </c>
      <c r="Y225" s="4" t="n">
        <f aca="false">'City Data'!L225</f>
        <v>95</v>
      </c>
      <c r="Z225" s="4" t="n">
        <f aca="false">'City Data'!M225</f>
        <v>280</v>
      </c>
      <c r="AA225" s="4" t="n">
        <f aca="false">U225-X225</f>
        <v>18.93</v>
      </c>
      <c r="AB225" s="4" t="n">
        <f aca="false">V225-Y225</f>
        <v>37.56</v>
      </c>
      <c r="AC225" s="4" t="n">
        <f aca="false">W225-Z225</f>
        <v>26.93</v>
      </c>
      <c r="AD225" s="4" t="str">
        <f aca="false">IF(OR(AND(X225&lt;&gt;0,ABS(AA225)&gt;Assumptions!$B$18*X225),AND(Y225&lt;&gt;0,ABS(AB225)&gt;Assumptions!$B$18*Y225),AND(Z225&lt;&gt;0,ABS(AC225)&gt;Assumptions!$B$18*Z225)),"REVIEW","")</f>
        <v>REVIEW</v>
      </c>
    </row>
    <row r="226" customFormat="false" ht="15" hidden="false" customHeight="false" outlineLevel="0" collapsed="false">
      <c r="A226" s="0" t="str">
        <f aca="false">'City Data'!A226</f>
        <v>Seoul</v>
      </c>
      <c r="B226" s="4" t="n">
        <f aca="false">'City Data'!B226/Assumptions!$B$2</f>
        <v>20</v>
      </c>
      <c r="C226" s="4" t="n">
        <f aca="false">'City Data'!C226/Assumptions!$B$2</f>
        <v>45</v>
      </c>
      <c r="D226" s="4" t="n">
        <f aca="false">'City Data'!D226/Assumptions!$B$2</f>
        <v>125</v>
      </c>
      <c r="E226" s="4" t="n">
        <f aca="false">Assumptions!$B$3*Assumptions!$B$4*'City Data'!E226</f>
        <v>36</v>
      </c>
      <c r="F226" s="4" t="n">
        <f aca="false">Assumptions!$B$3*Assumptions!$B$5*'City Data'!E226</f>
        <v>64.8</v>
      </c>
      <c r="G226" s="4" t="n">
        <f aca="false">Assumptions!$B$3*Assumptions!$B$6*'City Data'!E226</f>
        <v>126</v>
      </c>
      <c r="H226" s="4" t="n">
        <f aca="false">Assumptions!$B$7*'City Data'!F226</f>
        <v>10</v>
      </c>
      <c r="I226" s="4" t="n">
        <f aca="false">Assumptions!$B$8*'City Data'!F226</f>
        <v>20</v>
      </c>
      <c r="J226" s="4" t="n">
        <f aca="false">Assumptions!$B$9*'City Data'!F226</f>
        <v>40</v>
      </c>
      <c r="K226" s="4" t="n">
        <f aca="false">'City Data'!G226+'City Data'!H226</f>
        <v>5</v>
      </c>
      <c r="L226" s="4" t="n">
        <f aca="false">IF(AND(Assumptions!$B$13,ISNUMBER('City Data'!I226)),Assumptions!$B$10*'City Data'!I226,0)</f>
        <v>4.5</v>
      </c>
      <c r="M226" s="4" t="n">
        <f aca="false">IF(AND(Assumptions!$B$13,ISNUMBER('City Data'!I226)),Assumptions!$B$11*'City Data'!I226,0)</f>
        <v>9</v>
      </c>
      <c r="N226" s="4" t="n">
        <f aca="false">IF(AND(Assumptions!$B$13,ISNUMBER('City Data'!I226)),Assumptions!$B$12*'City Data'!I226,0)</f>
        <v>13.5</v>
      </c>
      <c r="O226" s="4" t="n">
        <f aca="false">B226+E226+H226+K226</f>
        <v>71</v>
      </c>
      <c r="P226" s="4" t="n">
        <f aca="false">C226+F226+I226+K226</f>
        <v>134.8</v>
      </c>
      <c r="Q226" s="4" t="n">
        <f aca="false">D226+G226+J226+K226</f>
        <v>296</v>
      </c>
      <c r="R226" s="4" t="n">
        <f aca="false">IF(Assumptions!$B$14,Assumptions!$B$15*O226,0)</f>
        <v>7.1</v>
      </c>
      <c r="S226" s="4" t="n">
        <f aca="false">IF(Assumptions!$B$14,Assumptions!$B$16*P226,0)</f>
        <v>26.96</v>
      </c>
      <c r="T226" s="4" t="n">
        <f aca="false">IF(Assumptions!$B$14,Assumptions!$B$17*Q226,0)</f>
        <v>103.6</v>
      </c>
      <c r="U226" s="4" t="n">
        <f aca="false">O226+L226+R226</f>
        <v>82.6</v>
      </c>
      <c r="V226" s="4" t="n">
        <f aca="false">P226+M226+S226</f>
        <v>170.76</v>
      </c>
      <c r="W226" s="4" t="n">
        <f aca="false">Q226+N226+T226</f>
        <v>413.1</v>
      </c>
      <c r="X226" s="4" t="n">
        <f aca="false">'City Data'!K226</f>
        <v>65</v>
      </c>
      <c r="Y226" s="4" t="n">
        <f aca="false">'City Data'!L226</f>
        <v>150</v>
      </c>
      <c r="Z226" s="4" t="n">
        <f aca="false">'City Data'!M226</f>
        <v>400</v>
      </c>
      <c r="AA226" s="4" t="n">
        <f aca="false">U226-X226</f>
        <v>17.6</v>
      </c>
      <c r="AB226" s="4" t="n">
        <f aca="false">V226-Y226</f>
        <v>20.76</v>
      </c>
      <c r="AC226" s="4" t="n">
        <f aca="false">W226-Z226</f>
        <v>13.1</v>
      </c>
      <c r="AD226" s="4" t="str">
        <f aca="false">IF(OR(AND(X226&lt;&gt;0,ABS(AA226)&gt;Assumptions!$B$18*X226),AND(Y226&lt;&gt;0,ABS(AB226)&gt;Assumptions!$B$18*Y226),AND(Z226&lt;&gt;0,ABS(AC226)&gt;Assumptions!$B$18*Z226)),"REVIEW","")</f>
        <v>REVIEW</v>
      </c>
    </row>
    <row r="227" customFormat="false" ht="15" hidden="false" customHeight="false" outlineLevel="0" collapsed="false">
      <c r="A227" s="0" t="str">
        <f aca="false">'City Data'!A227</f>
        <v>Seville</v>
      </c>
      <c r="B227" s="4" t="n">
        <f aca="false">'City Data'!B227/Assumptions!$B$2</f>
        <v>27.5</v>
      </c>
      <c r="C227" s="4" t="n">
        <f aca="false">'City Data'!C227/Assumptions!$B$2</f>
        <v>55</v>
      </c>
      <c r="D227" s="4" t="n">
        <f aca="false">'City Data'!D227/Assumptions!$B$2</f>
        <v>140</v>
      </c>
      <c r="E227" s="4" t="n">
        <f aca="false">Assumptions!$B$3*Assumptions!$B$4*'City Data'!E227</f>
        <v>60</v>
      </c>
      <c r="F227" s="4" t="n">
        <f aca="false">Assumptions!$B$3*Assumptions!$B$5*'City Data'!E227</f>
        <v>108</v>
      </c>
      <c r="G227" s="4" t="n">
        <f aca="false">Assumptions!$B$3*Assumptions!$B$6*'City Data'!E227</f>
        <v>210</v>
      </c>
      <c r="H227" s="4" t="n">
        <f aca="false">Assumptions!$B$7*'City Data'!F227</f>
        <v>18</v>
      </c>
      <c r="I227" s="4" t="n">
        <f aca="false">Assumptions!$B$8*'City Data'!F227</f>
        <v>36</v>
      </c>
      <c r="J227" s="4" t="n">
        <f aca="false">Assumptions!$B$9*'City Data'!F227</f>
        <v>72</v>
      </c>
      <c r="K227" s="4" t="n">
        <f aca="false">'City Data'!G227+'City Data'!H227</f>
        <v>3.5</v>
      </c>
      <c r="L227" s="4" t="n">
        <f aca="false">IF(AND(Assumptions!$B$13,ISNUMBER('City Data'!I227)),Assumptions!$B$10*'City Data'!I227,0)</f>
        <v>2.5</v>
      </c>
      <c r="M227" s="4" t="n">
        <f aca="false">IF(AND(Assumptions!$B$13,ISNUMBER('City Data'!I227)),Assumptions!$B$11*'City Data'!I227,0)</f>
        <v>5</v>
      </c>
      <c r="N227" s="4" t="n">
        <f aca="false">IF(AND(Assumptions!$B$13,ISNUMBER('City Data'!I227)),Assumptions!$B$12*'City Data'!I227,0)</f>
        <v>7.5</v>
      </c>
      <c r="O227" s="4" t="n">
        <f aca="false">B227+E227+H227+K227</f>
        <v>109</v>
      </c>
      <c r="P227" s="4" t="n">
        <f aca="false">C227+F227+I227+K227</f>
        <v>202.5</v>
      </c>
      <c r="Q227" s="4" t="n">
        <f aca="false">D227+G227+J227+K227</f>
        <v>425.5</v>
      </c>
      <c r="R227" s="4" t="n">
        <f aca="false">IF(Assumptions!$B$14,Assumptions!$B$15*O227,0)</f>
        <v>10.9</v>
      </c>
      <c r="S227" s="4" t="n">
        <f aca="false">IF(Assumptions!$B$14,Assumptions!$B$16*P227,0)</f>
        <v>40.5</v>
      </c>
      <c r="T227" s="4" t="n">
        <f aca="false">IF(Assumptions!$B$14,Assumptions!$B$17*Q227,0)</f>
        <v>148.925</v>
      </c>
      <c r="U227" s="4" t="n">
        <f aca="false">O227+L227+R227</f>
        <v>122.4</v>
      </c>
      <c r="V227" s="4" t="n">
        <f aca="false">P227+M227+S227</f>
        <v>248</v>
      </c>
      <c r="W227" s="4" t="n">
        <f aca="false">Q227+N227+T227</f>
        <v>581.925</v>
      </c>
      <c r="X227" s="4" t="n">
        <f aca="false">'City Data'!K227</f>
        <v>65</v>
      </c>
      <c r="Y227" s="4" t="n">
        <f aca="false">'City Data'!L227</f>
        <v>150</v>
      </c>
      <c r="Z227" s="4" t="n">
        <f aca="false">'City Data'!M227</f>
        <v>420</v>
      </c>
      <c r="AA227" s="4" t="n">
        <f aca="false">U227-X227</f>
        <v>57.4</v>
      </c>
      <c r="AB227" s="4" t="n">
        <f aca="false">V227-Y227</f>
        <v>98</v>
      </c>
      <c r="AC227" s="4" t="n">
        <f aca="false">W227-Z227</f>
        <v>161.925</v>
      </c>
      <c r="AD227" s="4" t="str">
        <f aca="false">IF(OR(AND(X227&lt;&gt;0,ABS(AA227)&gt;Assumptions!$B$18*X227),AND(Y227&lt;&gt;0,ABS(AB227)&gt;Assumptions!$B$18*Y227),AND(Z227&lt;&gt;0,ABS(AC227)&gt;Assumptions!$B$18*Z227)),"REVIEW","")</f>
        <v>REVIEW</v>
      </c>
    </row>
    <row r="228" customFormat="false" ht="15" hidden="false" customHeight="false" outlineLevel="0" collapsed="false">
      <c r="A228" s="0" t="str">
        <f aca="false">'City Data'!A228</f>
        <v>Shanghai</v>
      </c>
      <c r="B228" s="4" t="n">
        <f aca="false">'City Data'!B228/Assumptions!$B$2</f>
        <v>20</v>
      </c>
      <c r="C228" s="4" t="n">
        <f aca="false">'City Data'!C228/Assumptions!$B$2</f>
        <v>45</v>
      </c>
      <c r="D228" s="4" t="n">
        <f aca="false">'City Data'!D228/Assumptions!$B$2</f>
        <v>150</v>
      </c>
      <c r="E228" s="4" t="n">
        <f aca="false">Assumptions!$B$3*Assumptions!$B$4*'City Data'!E228</f>
        <v>45</v>
      </c>
      <c r="F228" s="4" t="n">
        <f aca="false">Assumptions!$B$3*Assumptions!$B$5*'City Data'!E228</f>
        <v>81</v>
      </c>
      <c r="G228" s="4" t="n">
        <f aca="false">Assumptions!$B$3*Assumptions!$B$6*'City Data'!E228</f>
        <v>157.5</v>
      </c>
      <c r="H228" s="4" t="n">
        <f aca="false">Assumptions!$B$7*'City Data'!F228</f>
        <v>12</v>
      </c>
      <c r="I228" s="4" t="n">
        <f aca="false">Assumptions!$B$8*'City Data'!F228</f>
        <v>24</v>
      </c>
      <c r="J228" s="4" t="n">
        <f aca="false">Assumptions!$B$9*'City Data'!F228</f>
        <v>48</v>
      </c>
      <c r="K228" s="4" t="n">
        <f aca="false">'City Data'!G228+'City Data'!H228</f>
        <v>4.5</v>
      </c>
      <c r="L228" s="4" t="n">
        <f aca="false">IF(AND(Assumptions!$B$13,ISNUMBER('City Data'!I228)),Assumptions!$B$10*'City Data'!I228,0)</f>
        <v>3</v>
      </c>
      <c r="M228" s="4" t="n">
        <f aca="false">IF(AND(Assumptions!$B$13,ISNUMBER('City Data'!I228)),Assumptions!$B$11*'City Data'!I228,0)</f>
        <v>6</v>
      </c>
      <c r="N228" s="4" t="n">
        <f aca="false">IF(AND(Assumptions!$B$13,ISNUMBER('City Data'!I228)),Assumptions!$B$12*'City Data'!I228,0)</f>
        <v>9</v>
      </c>
      <c r="O228" s="4" t="n">
        <f aca="false">B228+E228+H228+K228</f>
        <v>81.5</v>
      </c>
      <c r="P228" s="4" t="n">
        <f aca="false">C228+F228+I228+K228</f>
        <v>154.5</v>
      </c>
      <c r="Q228" s="4" t="n">
        <f aca="false">D228+G228+J228+K228</f>
        <v>360</v>
      </c>
      <c r="R228" s="4" t="n">
        <f aca="false">IF(Assumptions!$B$14,Assumptions!$B$15*O228,0)</f>
        <v>8.15</v>
      </c>
      <c r="S228" s="4" t="n">
        <f aca="false">IF(Assumptions!$B$14,Assumptions!$B$16*P228,0)</f>
        <v>30.9</v>
      </c>
      <c r="T228" s="4" t="n">
        <f aca="false">IF(Assumptions!$B$14,Assumptions!$B$17*Q228,0)</f>
        <v>126</v>
      </c>
      <c r="U228" s="4" t="n">
        <f aca="false">O228+L228+R228</f>
        <v>92.65</v>
      </c>
      <c r="V228" s="4" t="n">
        <f aca="false">P228+M228+S228</f>
        <v>191.4</v>
      </c>
      <c r="W228" s="4" t="n">
        <f aca="false">Q228+N228+T228</f>
        <v>495</v>
      </c>
      <c r="X228" s="4" t="n">
        <f aca="false">'City Data'!K228</f>
        <v>60</v>
      </c>
      <c r="Y228" s="4" t="n">
        <f aca="false">'City Data'!L228</f>
        <v>150</v>
      </c>
      <c r="Z228" s="4" t="n">
        <f aca="false">'City Data'!M228</f>
        <v>420</v>
      </c>
      <c r="AA228" s="4" t="n">
        <f aca="false">U228-X228</f>
        <v>32.65</v>
      </c>
      <c r="AB228" s="4" t="n">
        <f aca="false">V228-Y228</f>
        <v>41.4</v>
      </c>
      <c r="AC228" s="4" t="n">
        <f aca="false">W228-Z228</f>
        <v>75</v>
      </c>
      <c r="AD228" s="4" t="str">
        <f aca="false">IF(OR(AND(X228&lt;&gt;0,ABS(AA228)&gt;Assumptions!$B$18*X228),AND(Y228&lt;&gt;0,ABS(AB228)&gt;Assumptions!$B$18*Y228),AND(Z228&lt;&gt;0,ABS(AC228)&gt;Assumptions!$B$18*Z228)),"REVIEW","")</f>
        <v>REVIEW</v>
      </c>
    </row>
    <row r="229" customFormat="false" ht="15" hidden="false" customHeight="false" outlineLevel="0" collapsed="false">
      <c r="A229" s="0" t="str">
        <f aca="false">'City Data'!A229</f>
        <v>Shantou</v>
      </c>
      <c r="B229" s="4" t="n">
        <f aca="false">'City Data'!B229/Assumptions!$B$2</f>
        <v>10</v>
      </c>
      <c r="C229" s="4" t="n">
        <f aca="false">'City Data'!C229/Assumptions!$B$2</f>
        <v>22.5</v>
      </c>
      <c r="D229" s="4" t="n">
        <f aca="false">'City Data'!D229/Assumptions!$B$2</f>
        <v>55</v>
      </c>
      <c r="E229" s="4" t="n">
        <f aca="false">Assumptions!$B$3*Assumptions!$B$4*'City Data'!E229</f>
        <v>18</v>
      </c>
      <c r="F229" s="4" t="n">
        <f aca="false">Assumptions!$B$3*Assumptions!$B$5*'City Data'!E229</f>
        <v>32.4</v>
      </c>
      <c r="G229" s="4" t="n">
        <f aca="false">Assumptions!$B$3*Assumptions!$B$6*'City Data'!E229</f>
        <v>63</v>
      </c>
      <c r="H229" s="4" t="n">
        <f aca="false">Assumptions!$B$7*'City Data'!F229</f>
        <v>3</v>
      </c>
      <c r="I229" s="4" t="n">
        <f aca="false">Assumptions!$B$8*'City Data'!F229</f>
        <v>6</v>
      </c>
      <c r="J229" s="4" t="n">
        <f aca="false">Assumptions!$B$9*'City Data'!F229</f>
        <v>12</v>
      </c>
      <c r="K229" s="4" t="n">
        <f aca="false">'City Data'!G229+'City Data'!H229</f>
        <v>3.4</v>
      </c>
      <c r="L229" s="4" t="n">
        <f aca="false">IF(AND(Assumptions!$B$13,ISNUMBER('City Data'!I229)),Assumptions!$B$10*'City Data'!I229,0)</f>
        <v>1.8</v>
      </c>
      <c r="M229" s="4" t="n">
        <f aca="false">IF(AND(Assumptions!$B$13,ISNUMBER('City Data'!I229)),Assumptions!$B$11*'City Data'!I229,0)</f>
        <v>3.6</v>
      </c>
      <c r="N229" s="4" t="n">
        <f aca="false">IF(AND(Assumptions!$B$13,ISNUMBER('City Data'!I229)),Assumptions!$B$12*'City Data'!I229,0)</f>
        <v>5.4</v>
      </c>
      <c r="O229" s="4" t="n">
        <f aca="false">B229+E229+H229+K229</f>
        <v>34.4</v>
      </c>
      <c r="P229" s="4" t="n">
        <f aca="false">C229+F229+I229+K229</f>
        <v>64.3</v>
      </c>
      <c r="Q229" s="4" t="n">
        <f aca="false">D229+G229+J229+K229</f>
        <v>133.4</v>
      </c>
      <c r="R229" s="4" t="n">
        <f aca="false">IF(Assumptions!$B$14,Assumptions!$B$15*O229,0)</f>
        <v>3.44</v>
      </c>
      <c r="S229" s="4" t="n">
        <f aca="false">IF(Assumptions!$B$14,Assumptions!$B$16*P229,0)</f>
        <v>12.86</v>
      </c>
      <c r="T229" s="4" t="n">
        <f aca="false">IF(Assumptions!$B$14,Assumptions!$B$17*Q229,0)</f>
        <v>46.69</v>
      </c>
      <c r="U229" s="4" t="n">
        <f aca="false">O229+L229+R229</f>
        <v>39.64</v>
      </c>
      <c r="V229" s="4" t="n">
        <f aca="false">P229+M229+S229</f>
        <v>80.76</v>
      </c>
      <c r="W229" s="4" t="n">
        <f aca="false">Q229+N229+T229</f>
        <v>185.49</v>
      </c>
      <c r="X229" s="4" t="n">
        <f aca="false">'City Data'!K229</f>
        <v>30</v>
      </c>
      <c r="Y229" s="4" t="n">
        <f aca="false">'City Data'!L229</f>
        <v>70</v>
      </c>
      <c r="Z229" s="4" t="n">
        <f aca="false">'City Data'!M229</f>
        <v>200</v>
      </c>
      <c r="AA229" s="4" t="n">
        <f aca="false">U229-X229</f>
        <v>9.63999999999999</v>
      </c>
      <c r="AB229" s="4" t="n">
        <f aca="false">V229-Y229</f>
        <v>10.76</v>
      </c>
      <c r="AC229" s="4" t="n">
        <f aca="false">W229-Z229</f>
        <v>-14.51</v>
      </c>
      <c r="AD229" s="4" t="str">
        <f aca="false">IF(OR(AND(X229&lt;&gt;0,ABS(AA229)&gt;Assumptions!$B$18*X229),AND(Y229&lt;&gt;0,ABS(AB229)&gt;Assumptions!$B$18*Y229),AND(Z229&lt;&gt;0,ABS(AC229)&gt;Assumptions!$B$18*Z229)),"REVIEW","")</f>
        <v>REVIEW</v>
      </c>
    </row>
    <row r="230" customFormat="false" ht="15" hidden="false" customHeight="false" outlineLevel="0" collapsed="false">
      <c r="A230" s="0" t="str">
        <f aca="false">'City Data'!A230</f>
        <v>Sharjah</v>
      </c>
      <c r="B230" s="4" t="n">
        <f aca="false">'City Data'!B230/Assumptions!$B$2</f>
        <v>22.5</v>
      </c>
      <c r="C230" s="4" t="n">
        <f aca="false">'City Data'!C230/Assumptions!$B$2</f>
        <v>45</v>
      </c>
      <c r="D230" s="4" t="n">
        <f aca="false">'City Data'!D230/Assumptions!$B$2</f>
        <v>125</v>
      </c>
      <c r="E230" s="4" t="n">
        <f aca="false">Assumptions!$B$3*Assumptions!$B$4*'City Data'!E230</f>
        <v>54</v>
      </c>
      <c r="F230" s="4" t="n">
        <f aca="false">Assumptions!$B$3*Assumptions!$B$5*'City Data'!E230</f>
        <v>97.2</v>
      </c>
      <c r="G230" s="4" t="n">
        <f aca="false">Assumptions!$B$3*Assumptions!$B$6*'City Data'!E230</f>
        <v>189</v>
      </c>
      <c r="H230" s="4" t="n">
        <f aca="false">Assumptions!$B$7*'City Data'!F230</f>
        <v>12</v>
      </c>
      <c r="I230" s="4" t="n">
        <f aca="false">Assumptions!$B$8*'City Data'!F230</f>
        <v>24</v>
      </c>
      <c r="J230" s="4" t="n">
        <f aca="false">Assumptions!$B$9*'City Data'!F230</f>
        <v>48</v>
      </c>
      <c r="K230" s="4" t="n">
        <f aca="false">'City Data'!G230+'City Data'!H230</f>
        <v>3.5</v>
      </c>
      <c r="L230" s="4" t="n">
        <f aca="false">IF(AND(Assumptions!$B$13,ISNUMBER('City Data'!I230)),Assumptions!$B$10*'City Data'!I230,0)</f>
        <v>0</v>
      </c>
      <c r="M230" s="4" t="n">
        <f aca="false">IF(AND(Assumptions!$B$13,ISNUMBER('City Data'!I230)),Assumptions!$B$11*'City Data'!I230,0)</f>
        <v>0</v>
      </c>
      <c r="N230" s="4" t="n">
        <f aca="false">IF(AND(Assumptions!$B$13,ISNUMBER('City Data'!I230)),Assumptions!$B$12*'City Data'!I230,0)</f>
        <v>0</v>
      </c>
      <c r="O230" s="4" t="n">
        <f aca="false">B230+E230+H230+K230</f>
        <v>92</v>
      </c>
      <c r="P230" s="4" t="n">
        <f aca="false">C230+F230+I230+K230</f>
        <v>169.7</v>
      </c>
      <c r="Q230" s="4" t="n">
        <f aca="false">D230+G230+J230+K230</f>
        <v>365.5</v>
      </c>
      <c r="R230" s="4" t="n">
        <f aca="false">IF(Assumptions!$B$14,Assumptions!$B$15*O230,0)</f>
        <v>9.2</v>
      </c>
      <c r="S230" s="4" t="n">
        <f aca="false">IF(Assumptions!$B$14,Assumptions!$B$16*P230,0)</f>
        <v>33.94</v>
      </c>
      <c r="T230" s="4" t="n">
        <f aca="false">IF(Assumptions!$B$14,Assumptions!$B$17*Q230,0)</f>
        <v>127.925</v>
      </c>
      <c r="U230" s="4" t="n">
        <f aca="false">O230+L230+R230</f>
        <v>101.2</v>
      </c>
      <c r="V230" s="4" t="n">
        <f aca="false">P230+M230+S230</f>
        <v>203.64</v>
      </c>
      <c r="W230" s="4" t="n">
        <f aca="false">Q230+N230+T230</f>
        <v>493.425</v>
      </c>
      <c r="X230" s="4" t="n">
        <f aca="false">'City Data'!K230</f>
        <v>60</v>
      </c>
      <c r="Y230" s="4" t="n">
        <f aca="false">'City Data'!L230</f>
        <v>160</v>
      </c>
      <c r="Z230" s="4" t="n">
        <f aca="false">'City Data'!M230</f>
        <v>500</v>
      </c>
      <c r="AA230" s="4" t="n">
        <f aca="false">U230-X230</f>
        <v>41.2</v>
      </c>
      <c r="AB230" s="4" t="n">
        <f aca="false">V230-Y230</f>
        <v>43.64</v>
      </c>
      <c r="AC230" s="4" t="n">
        <f aca="false">W230-Z230</f>
        <v>-6.57499999999999</v>
      </c>
      <c r="AD230" s="4" t="str">
        <f aca="false">IF(OR(AND(X230&lt;&gt;0,ABS(AA230)&gt;Assumptions!$B$18*X230),AND(Y230&lt;&gt;0,ABS(AB230)&gt;Assumptions!$B$18*Y230),AND(Z230&lt;&gt;0,ABS(AC230)&gt;Assumptions!$B$18*Z230)),"REVIEW","")</f>
        <v>REVIEW</v>
      </c>
    </row>
    <row r="231" customFormat="false" ht="15" hidden="false" customHeight="false" outlineLevel="0" collapsed="false">
      <c r="A231" s="0" t="str">
        <f aca="false">'City Data'!A231</f>
        <v>Shenyang</v>
      </c>
      <c r="B231" s="4" t="n">
        <f aca="false">'City Data'!B231/Assumptions!$B$2</f>
        <v>11</v>
      </c>
      <c r="C231" s="4" t="n">
        <f aca="false">'City Data'!C231/Assumptions!$B$2</f>
        <v>27.5</v>
      </c>
      <c r="D231" s="4" t="n">
        <f aca="false">'City Data'!D231/Assumptions!$B$2</f>
        <v>70</v>
      </c>
      <c r="E231" s="4" t="n">
        <f aca="false">Assumptions!$B$3*Assumptions!$B$4*'City Data'!E231</f>
        <v>18</v>
      </c>
      <c r="F231" s="4" t="n">
        <f aca="false">Assumptions!$B$3*Assumptions!$B$5*'City Data'!E231</f>
        <v>32.4</v>
      </c>
      <c r="G231" s="4" t="n">
        <f aca="false">Assumptions!$B$3*Assumptions!$B$6*'City Data'!E231</f>
        <v>63</v>
      </c>
      <c r="H231" s="4" t="n">
        <f aca="false">Assumptions!$B$7*'City Data'!F231</f>
        <v>3</v>
      </c>
      <c r="I231" s="4" t="n">
        <f aca="false">Assumptions!$B$8*'City Data'!F231</f>
        <v>6</v>
      </c>
      <c r="J231" s="4" t="n">
        <f aca="false">Assumptions!$B$9*'City Data'!F231</f>
        <v>12</v>
      </c>
      <c r="K231" s="4" t="n">
        <f aca="false">'City Data'!G231+'City Data'!H231</f>
        <v>3.9</v>
      </c>
      <c r="L231" s="4" t="n">
        <f aca="false">IF(AND(Assumptions!$B$13,ISNUMBER('City Data'!I231)),Assumptions!$B$10*'City Data'!I231,0)</f>
        <v>1.2</v>
      </c>
      <c r="M231" s="4" t="n">
        <f aca="false">IF(AND(Assumptions!$B$13,ISNUMBER('City Data'!I231)),Assumptions!$B$11*'City Data'!I231,0)</f>
        <v>2.4</v>
      </c>
      <c r="N231" s="4" t="n">
        <f aca="false">IF(AND(Assumptions!$B$13,ISNUMBER('City Data'!I231)),Assumptions!$B$12*'City Data'!I231,0)</f>
        <v>3.6</v>
      </c>
      <c r="O231" s="4" t="n">
        <f aca="false">B231+E231+H231+K231</f>
        <v>35.9</v>
      </c>
      <c r="P231" s="4" t="n">
        <f aca="false">C231+F231+I231+K231</f>
        <v>69.8</v>
      </c>
      <c r="Q231" s="4" t="n">
        <f aca="false">D231+G231+J231+K231</f>
        <v>148.9</v>
      </c>
      <c r="R231" s="4" t="n">
        <f aca="false">IF(Assumptions!$B$14,Assumptions!$B$15*O231,0)</f>
        <v>3.59</v>
      </c>
      <c r="S231" s="4" t="n">
        <f aca="false">IF(Assumptions!$B$14,Assumptions!$B$16*P231,0)</f>
        <v>13.96</v>
      </c>
      <c r="T231" s="4" t="n">
        <f aca="false">IF(Assumptions!$B$14,Assumptions!$B$17*Q231,0)</f>
        <v>52.115</v>
      </c>
      <c r="U231" s="4" t="n">
        <f aca="false">O231+L231+R231</f>
        <v>40.69</v>
      </c>
      <c r="V231" s="4" t="n">
        <f aca="false">P231+M231+S231</f>
        <v>86.16</v>
      </c>
      <c r="W231" s="4" t="n">
        <f aca="false">Q231+N231+T231</f>
        <v>204.615</v>
      </c>
      <c r="X231" s="4" t="n">
        <f aca="false">'City Data'!K231</f>
        <v>30</v>
      </c>
      <c r="Y231" s="4" t="n">
        <f aca="false">'City Data'!L231</f>
        <v>75</v>
      </c>
      <c r="Z231" s="4" t="n">
        <f aca="false">'City Data'!M231</f>
        <v>220</v>
      </c>
      <c r="AA231" s="4" t="n">
        <f aca="false">U231-X231</f>
        <v>10.69</v>
      </c>
      <c r="AB231" s="4" t="n">
        <f aca="false">V231-Y231</f>
        <v>11.16</v>
      </c>
      <c r="AC231" s="4" t="n">
        <f aca="false">W231-Z231</f>
        <v>-15.385</v>
      </c>
      <c r="AD231" s="4" t="str">
        <f aca="false">IF(OR(AND(X231&lt;&gt;0,ABS(AA231)&gt;Assumptions!$B$18*X231),AND(Y231&lt;&gt;0,ABS(AB231)&gt;Assumptions!$B$18*Y231),AND(Z231&lt;&gt;0,ABS(AC231)&gt;Assumptions!$B$18*Z231)),"REVIEW","")</f>
        <v>REVIEW</v>
      </c>
    </row>
    <row r="232" customFormat="false" ht="15" hidden="false" customHeight="false" outlineLevel="0" collapsed="false">
      <c r="A232" s="0" t="str">
        <f aca="false">'City Data'!A232</f>
        <v>Shenzhen</v>
      </c>
      <c r="B232" s="4" t="n">
        <f aca="false">'City Data'!B232/Assumptions!$B$2</f>
        <v>15</v>
      </c>
      <c r="C232" s="4" t="n">
        <f aca="false">'City Data'!C232/Assumptions!$B$2</f>
        <v>37.5</v>
      </c>
      <c r="D232" s="4" t="n">
        <f aca="false">'City Data'!D232/Assumptions!$B$2</f>
        <v>110</v>
      </c>
      <c r="E232" s="4" t="n">
        <f aca="false">Assumptions!$B$3*Assumptions!$B$4*'City Data'!E232</f>
        <v>36</v>
      </c>
      <c r="F232" s="4" t="n">
        <f aca="false">Assumptions!$B$3*Assumptions!$B$5*'City Data'!E232</f>
        <v>64.8</v>
      </c>
      <c r="G232" s="4" t="n">
        <f aca="false">Assumptions!$B$3*Assumptions!$B$6*'City Data'!E232</f>
        <v>126</v>
      </c>
      <c r="H232" s="4" t="n">
        <f aca="false">Assumptions!$B$7*'City Data'!F232</f>
        <v>8</v>
      </c>
      <c r="I232" s="4" t="n">
        <f aca="false">Assumptions!$B$8*'City Data'!F232</f>
        <v>16</v>
      </c>
      <c r="J232" s="4" t="n">
        <f aca="false">Assumptions!$B$9*'City Data'!F232</f>
        <v>32</v>
      </c>
      <c r="K232" s="4" t="n">
        <f aca="false">'City Data'!G232+'City Data'!H232</f>
        <v>5.1</v>
      </c>
      <c r="L232" s="4" t="n">
        <f aca="false">IF(AND(Assumptions!$B$13,ISNUMBER('City Data'!I232)),Assumptions!$B$10*'City Data'!I232,0)</f>
        <v>3.5</v>
      </c>
      <c r="M232" s="4" t="n">
        <f aca="false">IF(AND(Assumptions!$B$13,ISNUMBER('City Data'!I232)),Assumptions!$B$11*'City Data'!I232,0)</f>
        <v>7</v>
      </c>
      <c r="N232" s="4" t="n">
        <f aca="false">IF(AND(Assumptions!$B$13,ISNUMBER('City Data'!I232)),Assumptions!$B$12*'City Data'!I232,0)</f>
        <v>10.5</v>
      </c>
      <c r="O232" s="4" t="n">
        <f aca="false">B232+E232+H232+K232</f>
        <v>64.1</v>
      </c>
      <c r="P232" s="4" t="n">
        <f aca="false">C232+F232+I232+K232</f>
        <v>123.4</v>
      </c>
      <c r="Q232" s="4" t="n">
        <f aca="false">D232+G232+J232+K232</f>
        <v>273.1</v>
      </c>
      <c r="R232" s="4" t="n">
        <f aca="false">IF(Assumptions!$B$14,Assumptions!$B$15*O232,0)</f>
        <v>6.41</v>
      </c>
      <c r="S232" s="4" t="n">
        <f aca="false">IF(Assumptions!$B$14,Assumptions!$B$16*P232,0)</f>
        <v>24.68</v>
      </c>
      <c r="T232" s="4" t="n">
        <f aca="false">IF(Assumptions!$B$14,Assumptions!$B$17*Q232,0)</f>
        <v>95.585</v>
      </c>
      <c r="U232" s="4" t="n">
        <f aca="false">O232+L232+R232</f>
        <v>74.01</v>
      </c>
      <c r="V232" s="4" t="n">
        <f aca="false">P232+M232+S232</f>
        <v>155.08</v>
      </c>
      <c r="W232" s="4" t="n">
        <f aca="false">Q232+N232+T232</f>
        <v>379.185</v>
      </c>
      <c r="X232" s="4" t="n">
        <f aca="false">'City Data'!K232</f>
        <v>55</v>
      </c>
      <c r="Y232" s="4" t="n">
        <f aca="false">'City Data'!L232</f>
        <v>135</v>
      </c>
      <c r="Z232" s="4" t="n">
        <f aca="false">'City Data'!M232</f>
        <v>380</v>
      </c>
      <c r="AA232" s="4" t="n">
        <f aca="false">U232-X232</f>
        <v>19.01</v>
      </c>
      <c r="AB232" s="4" t="n">
        <f aca="false">V232-Y232</f>
        <v>20.08</v>
      </c>
      <c r="AC232" s="4" t="n">
        <f aca="false">W232-Z232</f>
        <v>-0.814999999999941</v>
      </c>
      <c r="AD232" s="4" t="str">
        <f aca="false">IF(OR(AND(X232&lt;&gt;0,ABS(AA232)&gt;Assumptions!$B$18*X232),AND(Y232&lt;&gt;0,ABS(AB232)&gt;Assumptions!$B$18*Y232),AND(Z232&lt;&gt;0,ABS(AC232)&gt;Assumptions!$B$18*Z232)),"REVIEW","")</f>
        <v>REVIEW</v>
      </c>
    </row>
    <row r="233" customFormat="false" ht="15" hidden="false" customHeight="false" outlineLevel="0" collapsed="false">
      <c r="A233" s="0" t="str">
        <f aca="false">'City Data'!A233</f>
        <v>Siem Reap</v>
      </c>
      <c r="B233" s="4" t="n">
        <f aca="false">'City Data'!B233/Assumptions!$B$2</f>
        <v>7.5</v>
      </c>
      <c r="C233" s="4" t="n">
        <f aca="false">'City Data'!C233/Assumptions!$B$2</f>
        <v>22.5</v>
      </c>
      <c r="D233" s="4" t="n">
        <f aca="false">'City Data'!D233/Assumptions!$B$2</f>
        <v>150</v>
      </c>
      <c r="E233" s="4" t="n">
        <f aca="false">Assumptions!$B$3*Assumptions!$B$4*'City Data'!E233</f>
        <v>18</v>
      </c>
      <c r="F233" s="4" t="n">
        <f aca="false">Assumptions!$B$3*Assumptions!$B$5*'City Data'!E233</f>
        <v>32.4</v>
      </c>
      <c r="G233" s="4" t="n">
        <f aca="false">Assumptions!$B$3*Assumptions!$B$6*'City Data'!E233</f>
        <v>63</v>
      </c>
      <c r="H233" s="4" t="n">
        <f aca="false">Assumptions!$B$7*'City Data'!F233</f>
        <v>4</v>
      </c>
      <c r="I233" s="4" t="n">
        <f aca="false">Assumptions!$B$8*'City Data'!F233</f>
        <v>8</v>
      </c>
      <c r="J233" s="4" t="n">
        <f aca="false">Assumptions!$B$9*'City Data'!F233</f>
        <v>16</v>
      </c>
      <c r="K233" s="4" t="n">
        <f aca="false">'City Data'!G233+'City Data'!H233</f>
        <v>3</v>
      </c>
      <c r="L233" s="4" t="n">
        <f aca="false">IF(AND(Assumptions!$B$13,ISNUMBER('City Data'!I233)),Assumptions!$B$10*'City Data'!I233,0)</f>
        <v>1.5</v>
      </c>
      <c r="M233" s="4" t="n">
        <f aca="false">IF(AND(Assumptions!$B$13,ISNUMBER('City Data'!I233)),Assumptions!$B$11*'City Data'!I233,0)</f>
        <v>3</v>
      </c>
      <c r="N233" s="4" t="n">
        <f aca="false">IF(AND(Assumptions!$B$13,ISNUMBER('City Data'!I233)),Assumptions!$B$12*'City Data'!I233,0)</f>
        <v>4.5</v>
      </c>
      <c r="O233" s="4" t="n">
        <f aca="false">B233+E233+H233+K233</f>
        <v>32.5</v>
      </c>
      <c r="P233" s="4" t="n">
        <f aca="false">C233+F233+I233+K233</f>
        <v>65.9</v>
      </c>
      <c r="Q233" s="4" t="n">
        <f aca="false">D233+G233+J233+K233</f>
        <v>232</v>
      </c>
      <c r="R233" s="4" t="n">
        <f aca="false">IF(Assumptions!$B$14,Assumptions!$B$15*O233,0)</f>
        <v>3.25</v>
      </c>
      <c r="S233" s="4" t="n">
        <f aca="false">IF(Assumptions!$B$14,Assumptions!$B$16*P233,0)</f>
        <v>13.18</v>
      </c>
      <c r="T233" s="4" t="n">
        <f aca="false">IF(Assumptions!$B$14,Assumptions!$B$17*Q233,0)</f>
        <v>81.2</v>
      </c>
      <c r="U233" s="4" t="n">
        <f aca="false">O233+L233+R233</f>
        <v>37.25</v>
      </c>
      <c r="V233" s="4" t="n">
        <f aca="false">P233+M233+S233</f>
        <v>82.08</v>
      </c>
      <c r="W233" s="4" t="n">
        <f aca="false">Q233+N233+T233</f>
        <v>317.7</v>
      </c>
      <c r="X233" s="4" t="n">
        <f aca="false">'City Data'!K233</f>
        <v>35</v>
      </c>
      <c r="Y233" s="4" t="n">
        <f aca="false">'City Data'!L233</f>
        <v>90</v>
      </c>
      <c r="Z233" s="4" t="n">
        <f aca="false">'City Data'!M233</f>
        <v>285</v>
      </c>
      <c r="AA233" s="4" t="n">
        <f aca="false">U233-X233</f>
        <v>2.25</v>
      </c>
      <c r="AB233" s="4" t="n">
        <f aca="false">V233-Y233</f>
        <v>-7.91999999999999</v>
      </c>
      <c r="AC233" s="4" t="n">
        <f aca="false">W233-Z233</f>
        <v>32.7</v>
      </c>
      <c r="AD233" s="4" t="str">
        <f aca="false">IF(OR(AND(X233&lt;&gt;0,ABS(AA233)&gt;Assumptions!$B$18*X233),AND(Y233&lt;&gt;0,ABS(AB233)&gt;Assumptions!$B$18*Y233),AND(Z233&lt;&gt;0,ABS(AC233)&gt;Assumptions!$B$18*Z233)),"REVIEW","")</f>
        <v/>
      </c>
    </row>
    <row r="234" customFormat="false" ht="15" hidden="false" customHeight="false" outlineLevel="0" collapsed="false">
      <c r="A234" s="0" t="str">
        <f aca="false">'City Data'!A234</f>
        <v>Singapore</v>
      </c>
      <c r="B234" s="4" t="n">
        <f aca="false">'City Data'!B234/Assumptions!$B$2</f>
        <v>32.5</v>
      </c>
      <c r="C234" s="4" t="n">
        <f aca="false">'City Data'!C234/Assumptions!$B$2</f>
        <v>70</v>
      </c>
      <c r="D234" s="4" t="n">
        <f aca="false">'City Data'!D234/Assumptions!$B$2</f>
        <v>165</v>
      </c>
      <c r="E234" s="4" t="n">
        <f aca="false">Assumptions!$B$3*Assumptions!$B$4*'City Data'!E234</f>
        <v>66</v>
      </c>
      <c r="F234" s="4" t="n">
        <f aca="false">Assumptions!$B$3*Assumptions!$B$5*'City Data'!E234</f>
        <v>118.8</v>
      </c>
      <c r="G234" s="4" t="n">
        <f aca="false">Assumptions!$B$3*Assumptions!$B$6*'City Data'!E234</f>
        <v>231</v>
      </c>
      <c r="H234" s="4" t="n">
        <f aca="false">Assumptions!$B$7*'City Data'!F234</f>
        <v>10</v>
      </c>
      <c r="I234" s="4" t="n">
        <f aca="false">Assumptions!$B$8*'City Data'!F234</f>
        <v>20</v>
      </c>
      <c r="J234" s="4" t="n">
        <f aca="false">Assumptions!$B$9*'City Data'!F234</f>
        <v>40</v>
      </c>
      <c r="K234" s="4" t="n">
        <f aca="false">'City Data'!G234+'City Data'!H234</f>
        <v>5.7</v>
      </c>
      <c r="L234" s="4" t="n">
        <f aca="false">IF(AND(Assumptions!$B$13,ISNUMBER('City Data'!I234)),Assumptions!$B$10*'City Data'!I234,0)</f>
        <v>9</v>
      </c>
      <c r="M234" s="4" t="n">
        <f aca="false">IF(AND(Assumptions!$B$13,ISNUMBER('City Data'!I234)),Assumptions!$B$11*'City Data'!I234,0)</f>
        <v>18</v>
      </c>
      <c r="N234" s="4" t="n">
        <f aca="false">IF(AND(Assumptions!$B$13,ISNUMBER('City Data'!I234)),Assumptions!$B$12*'City Data'!I234,0)</f>
        <v>27</v>
      </c>
      <c r="O234" s="4" t="n">
        <f aca="false">B234+E234+H234+K234</f>
        <v>114.2</v>
      </c>
      <c r="P234" s="4" t="n">
        <f aca="false">C234+F234+I234+K234</f>
        <v>214.5</v>
      </c>
      <c r="Q234" s="4" t="n">
        <f aca="false">D234+G234+J234+K234</f>
        <v>441.7</v>
      </c>
      <c r="R234" s="4" t="n">
        <f aca="false">IF(Assumptions!$B$14,Assumptions!$B$15*O234,0)</f>
        <v>11.42</v>
      </c>
      <c r="S234" s="4" t="n">
        <f aca="false">IF(Assumptions!$B$14,Assumptions!$B$16*P234,0)</f>
        <v>42.9</v>
      </c>
      <c r="T234" s="4" t="n">
        <f aca="false">IF(Assumptions!$B$14,Assumptions!$B$17*Q234,0)</f>
        <v>154.595</v>
      </c>
      <c r="U234" s="4" t="n">
        <f aca="false">O234+L234+R234</f>
        <v>134.62</v>
      </c>
      <c r="V234" s="4" t="n">
        <f aca="false">P234+M234+S234</f>
        <v>275.4</v>
      </c>
      <c r="W234" s="4" t="n">
        <f aca="false">Q234+N234+T234</f>
        <v>623.295</v>
      </c>
      <c r="X234" s="4" t="n">
        <f aca="false">'City Data'!K234</f>
        <v>70</v>
      </c>
      <c r="Y234" s="4" t="n">
        <f aca="false">'City Data'!L234</f>
        <v>180</v>
      </c>
      <c r="Z234" s="4" t="n">
        <f aca="false">'City Data'!M234</f>
        <v>500</v>
      </c>
      <c r="AA234" s="4" t="n">
        <f aca="false">U234-X234</f>
        <v>64.62</v>
      </c>
      <c r="AB234" s="4" t="n">
        <f aca="false">V234-Y234</f>
        <v>95.4</v>
      </c>
      <c r="AC234" s="4" t="n">
        <f aca="false">W234-Z234</f>
        <v>123.295</v>
      </c>
      <c r="AD234" s="4" t="str">
        <f aca="false">IF(OR(AND(X234&lt;&gt;0,ABS(AA234)&gt;Assumptions!$B$18*X234),AND(Y234&lt;&gt;0,ABS(AB234)&gt;Assumptions!$B$18*Y234),AND(Z234&lt;&gt;0,ABS(AC234)&gt;Assumptions!$B$18*Z234)),"REVIEW","")</f>
        <v>REVIEW</v>
      </c>
    </row>
    <row r="235" customFormat="false" ht="15" hidden="false" customHeight="false" outlineLevel="0" collapsed="false">
      <c r="A235" s="0" t="str">
        <f aca="false">'City Data'!A235</f>
        <v>Skopje</v>
      </c>
      <c r="B235" s="4" t="n">
        <f aca="false">'City Data'!B235/Assumptions!$B$2</f>
        <v>12.5</v>
      </c>
      <c r="C235" s="4" t="n">
        <f aca="false">'City Data'!C235/Assumptions!$B$2</f>
        <v>30</v>
      </c>
      <c r="D235" s="4" t="n">
        <f aca="false">'City Data'!D235/Assumptions!$B$2</f>
        <v>75</v>
      </c>
      <c r="E235" s="4" t="n">
        <f aca="false">Assumptions!$B$3*Assumptions!$B$4*'City Data'!E235</f>
        <v>36</v>
      </c>
      <c r="F235" s="4" t="n">
        <f aca="false">Assumptions!$B$3*Assumptions!$B$5*'City Data'!E235</f>
        <v>64.8</v>
      </c>
      <c r="G235" s="4" t="n">
        <f aca="false">Assumptions!$B$3*Assumptions!$B$6*'City Data'!E235</f>
        <v>126</v>
      </c>
      <c r="H235" s="4" t="n">
        <f aca="false">Assumptions!$B$7*'City Data'!F235</f>
        <v>4</v>
      </c>
      <c r="I235" s="4" t="n">
        <f aca="false">Assumptions!$B$8*'City Data'!F235</f>
        <v>8</v>
      </c>
      <c r="J235" s="4" t="n">
        <f aca="false">Assumptions!$B$9*'City Data'!F235</f>
        <v>16</v>
      </c>
      <c r="K235" s="4" t="n">
        <f aca="false">'City Data'!G235+'City Data'!H235</f>
        <v>3</v>
      </c>
      <c r="L235" s="4" t="n">
        <f aca="false">IF(AND(Assumptions!$B$13,ISNUMBER('City Data'!I235)),Assumptions!$B$10*'City Data'!I235,0)</f>
        <v>3</v>
      </c>
      <c r="M235" s="4" t="n">
        <f aca="false">IF(AND(Assumptions!$B$13,ISNUMBER('City Data'!I235)),Assumptions!$B$11*'City Data'!I235,0)</f>
        <v>6</v>
      </c>
      <c r="N235" s="4" t="n">
        <f aca="false">IF(AND(Assumptions!$B$13,ISNUMBER('City Data'!I235)),Assumptions!$B$12*'City Data'!I235,0)</f>
        <v>9</v>
      </c>
      <c r="O235" s="4" t="n">
        <f aca="false">B235+E235+H235+K235</f>
        <v>55.5</v>
      </c>
      <c r="P235" s="4" t="n">
        <f aca="false">C235+F235+I235+K235</f>
        <v>105.8</v>
      </c>
      <c r="Q235" s="4" t="n">
        <f aca="false">D235+G235+J235+K235</f>
        <v>220</v>
      </c>
      <c r="R235" s="4" t="n">
        <f aca="false">IF(Assumptions!$B$14,Assumptions!$B$15*O235,0)</f>
        <v>5.55</v>
      </c>
      <c r="S235" s="4" t="n">
        <f aca="false">IF(Assumptions!$B$14,Assumptions!$B$16*P235,0)</f>
        <v>21.16</v>
      </c>
      <c r="T235" s="4" t="n">
        <f aca="false">IF(Assumptions!$B$14,Assumptions!$B$17*Q235,0)</f>
        <v>77</v>
      </c>
      <c r="U235" s="4" t="n">
        <f aca="false">O235+L235+R235</f>
        <v>64.05</v>
      </c>
      <c r="V235" s="4" t="n">
        <f aca="false">P235+M235+S235</f>
        <v>132.96</v>
      </c>
      <c r="W235" s="4" t="n">
        <f aca="false">Q235+N235+T235</f>
        <v>306</v>
      </c>
      <c r="X235" s="4" t="n">
        <f aca="false">'City Data'!K235</f>
        <v>40</v>
      </c>
      <c r="Y235" s="4" t="n">
        <f aca="false">'City Data'!L235</f>
        <v>95</v>
      </c>
      <c r="Z235" s="4" t="n">
        <f aca="false">'City Data'!M235</f>
        <v>280</v>
      </c>
      <c r="AA235" s="4" t="n">
        <f aca="false">U235-X235</f>
        <v>24.05</v>
      </c>
      <c r="AB235" s="4" t="n">
        <f aca="false">V235-Y235</f>
        <v>37.96</v>
      </c>
      <c r="AC235" s="4" t="n">
        <f aca="false">W235-Z235</f>
        <v>26</v>
      </c>
      <c r="AD235" s="4" t="str">
        <f aca="false">IF(OR(AND(X235&lt;&gt;0,ABS(AA235)&gt;Assumptions!$B$18*X235),AND(Y235&lt;&gt;0,ABS(AB235)&gt;Assumptions!$B$18*Y235),AND(Z235&lt;&gt;0,ABS(AC235)&gt;Assumptions!$B$18*Z235)),"REVIEW","")</f>
        <v>REVIEW</v>
      </c>
    </row>
    <row r="236" customFormat="false" ht="15" hidden="false" customHeight="false" outlineLevel="0" collapsed="false">
      <c r="A236" s="0" t="str">
        <f aca="false">'City Data'!A236</f>
        <v>Sofia</v>
      </c>
      <c r="B236" s="4" t="n">
        <f aca="false">'City Data'!B236/Assumptions!$B$2</f>
        <v>15</v>
      </c>
      <c r="C236" s="4" t="n">
        <f aca="false">'City Data'!C236/Assumptions!$B$2</f>
        <v>37.5</v>
      </c>
      <c r="D236" s="4" t="n">
        <f aca="false">'City Data'!D236/Assumptions!$B$2</f>
        <v>75</v>
      </c>
      <c r="E236" s="4" t="n">
        <f aca="false">Assumptions!$B$3*Assumptions!$B$4*'City Data'!E236</f>
        <v>36</v>
      </c>
      <c r="F236" s="4" t="n">
        <f aca="false">Assumptions!$B$3*Assumptions!$B$5*'City Data'!E236</f>
        <v>64.8</v>
      </c>
      <c r="G236" s="4" t="n">
        <f aca="false">Assumptions!$B$3*Assumptions!$B$6*'City Data'!E236</f>
        <v>126</v>
      </c>
      <c r="H236" s="4" t="n">
        <f aca="false">Assumptions!$B$7*'City Data'!F236</f>
        <v>6</v>
      </c>
      <c r="I236" s="4" t="n">
        <f aca="false">Assumptions!$B$8*'City Data'!F236</f>
        <v>12</v>
      </c>
      <c r="J236" s="4" t="n">
        <f aca="false">Assumptions!$B$9*'City Data'!F236</f>
        <v>24</v>
      </c>
      <c r="K236" s="4" t="n">
        <f aca="false">'City Data'!G236+'City Data'!H236</f>
        <v>3.5</v>
      </c>
      <c r="L236" s="4" t="n">
        <f aca="false">IF(AND(Assumptions!$B$13,ISNUMBER('City Data'!I236)),Assumptions!$B$10*'City Data'!I236,0)</f>
        <v>2.5</v>
      </c>
      <c r="M236" s="4" t="n">
        <f aca="false">IF(AND(Assumptions!$B$13,ISNUMBER('City Data'!I236)),Assumptions!$B$11*'City Data'!I236,0)</f>
        <v>5</v>
      </c>
      <c r="N236" s="4" t="n">
        <f aca="false">IF(AND(Assumptions!$B$13,ISNUMBER('City Data'!I236)),Assumptions!$B$12*'City Data'!I236,0)</f>
        <v>7.5</v>
      </c>
      <c r="O236" s="4" t="n">
        <f aca="false">B236+E236+H236+K236</f>
        <v>60.5</v>
      </c>
      <c r="P236" s="4" t="n">
        <f aca="false">C236+F236+I236+K236</f>
        <v>117.8</v>
      </c>
      <c r="Q236" s="4" t="n">
        <f aca="false">D236+G236+J236+K236</f>
        <v>228.5</v>
      </c>
      <c r="R236" s="4" t="n">
        <f aca="false">IF(Assumptions!$B$14,Assumptions!$B$15*O236,0)</f>
        <v>6.05</v>
      </c>
      <c r="S236" s="4" t="n">
        <f aca="false">IF(Assumptions!$B$14,Assumptions!$B$16*P236,0)</f>
        <v>23.56</v>
      </c>
      <c r="T236" s="4" t="n">
        <f aca="false">IF(Assumptions!$B$14,Assumptions!$B$17*Q236,0)</f>
        <v>79.975</v>
      </c>
      <c r="U236" s="4" t="n">
        <f aca="false">O236+L236+R236</f>
        <v>69.05</v>
      </c>
      <c r="V236" s="4" t="n">
        <f aca="false">P236+M236+S236</f>
        <v>146.36</v>
      </c>
      <c r="W236" s="4" t="n">
        <f aca="false">Q236+N236+T236</f>
        <v>315.975</v>
      </c>
      <c r="X236" s="4" t="n">
        <f aca="false">'City Data'!K236</f>
        <v>40</v>
      </c>
      <c r="Y236" s="4" t="n">
        <f aca="false">'City Data'!L236</f>
        <v>100</v>
      </c>
      <c r="Z236" s="4" t="n">
        <f aca="false">'City Data'!M236</f>
        <v>290</v>
      </c>
      <c r="AA236" s="4" t="n">
        <f aca="false">U236-X236</f>
        <v>29.05</v>
      </c>
      <c r="AB236" s="4" t="n">
        <f aca="false">V236-Y236</f>
        <v>46.36</v>
      </c>
      <c r="AC236" s="4" t="n">
        <f aca="false">W236-Z236</f>
        <v>25.975</v>
      </c>
      <c r="AD236" s="4" t="str">
        <f aca="false">IF(OR(AND(X236&lt;&gt;0,ABS(AA236)&gt;Assumptions!$B$18*X236),AND(Y236&lt;&gt;0,ABS(AB236)&gt;Assumptions!$B$18*Y236),AND(Z236&lt;&gt;0,ABS(AC236)&gt;Assumptions!$B$18*Z236)),"REVIEW","")</f>
        <v>REVIEW</v>
      </c>
    </row>
    <row r="237" customFormat="false" ht="15" hidden="false" customHeight="false" outlineLevel="0" collapsed="false">
      <c r="A237" s="0" t="str">
        <f aca="false">'City Data'!A237</f>
        <v>St. George's</v>
      </c>
      <c r="B237" s="4" t="n">
        <f aca="false">'City Data'!B237/Assumptions!$B$2</f>
        <v>45</v>
      </c>
      <c r="C237" s="4" t="n">
        <f aca="false">'City Data'!C237/Assumptions!$B$2</f>
        <v>90</v>
      </c>
      <c r="D237" s="4" t="n">
        <f aca="false">'City Data'!D237/Assumptions!$B$2</f>
        <v>225</v>
      </c>
      <c r="E237" s="4" t="n">
        <f aca="false">Assumptions!$B$3*Assumptions!$B$4*'City Data'!E237</f>
        <v>90</v>
      </c>
      <c r="F237" s="4" t="n">
        <f aca="false">Assumptions!$B$3*Assumptions!$B$5*'City Data'!E237</f>
        <v>162</v>
      </c>
      <c r="G237" s="4" t="n">
        <f aca="false">Assumptions!$B$3*Assumptions!$B$6*'City Data'!E237</f>
        <v>315</v>
      </c>
      <c r="H237" s="4" t="n">
        <f aca="false">Assumptions!$B$7*'City Data'!F237</f>
        <v>15</v>
      </c>
      <c r="I237" s="4" t="n">
        <f aca="false">Assumptions!$B$8*'City Data'!F237</f>
        <v>30</v>
      </c>
      <c r="J237" s="4" t="n">
        <f aca="false">Assumptions!$B$9*'City Data'!F237</f>
        <v>60</v>
      </c>
      <c r="K237" s="4" t="n">
        <f aca="false">'City Data'!G237+'City Data'!H237</f>
        <v>4.8</v>
      </c>
      <c r="L237" s="4" t="n">
        <f aca="false">IF(AND(Assumptions!$B$13,ISNUMBER('City Data'!I237)),Assumptions!$B$10*'City Data'!I237,0)</f>
        <v>4</v>
      </c>
      <c r="M237" s="4" t="n">
        <f aca="false">IF(AND(Assumptions!$B$13,ISNUMBER('City Data'!I237)),Assumptions!$B$11*'City Data'!I237,0)</f>
        <v>8</v>
      </c>
      <c r="N237" s="4" t="n">
        <f aca="false">IF(AND(Assumptions!$B$13,ISNUMBER('City Data'!I237)),Assumptions!$B$12*'City Data'!I237,0)</f>
        <v>12</v>
      </c>
      <c r="O237" s="4" t="n">
        <f aca="false">B237+E237+H237+K237</f>
        <v>154.8</v>
      </c>
      <c r="P237" s="4" t="n">
        <f aca="false">C237+F237+I237+K237</f>
        <v>286.8</v>
      </c>
      <c r="Q237" s="4" t="n">
        <f aca="false">D237+G237+J237+K237</f>
        <v>604.8</v>
      </c>
      <c r="R237" s="4" t="n">
        <f aca="false">IF(Assumptions!$B$14,Assumptions!$B$15*O237,0)</f>
        <v>15.48</v>
      </c>
      <c r="S237" s="4" t="n">
        <f aca="false">IF(Assumptions!$B$14,Assumptions!$B$16*P237,0)</f>
        <v>57.36</v>
      </c>
      <c r="T237" s="4" t="n">
        <f aca="false">IF(Assumptions!$B$14,Assumptions!$B$17*Q237,0)</f>
        <v>211.68</v>
      </c>
      <c r="U237" s="4" t="n">
        <f aca="false">O237+L237+R237</f>
        <v>174.28</v>
      </c>
      <c r="V237" s="4" t="n">
        <f aca="false">P237+M237+S237</f>
        <v>352.16</v>
      </c>
      <c r="W237" s="4" t="n">
        <f aca="false">Q237+N237+T237</f>
        <v>828.48</v>
      </c>
      <c r="X237" s="4" t="n">
        <f aca="false">'City Data'!K237</f>
        <v>90</v>
      </c>
      <c r="Y237" s="4" t="n">
        <f aca="false">'City Data'!L237</f>
        <v>230</v>
      </c>
      <c r="Z237" s="4" t="n">
        <f aca="false">'City Data'!M237</f>
        <v>655</v>
      </c>
      <c r="AA237" s="4" t="n">
        <f aca="false">U237-X237</f>
        <v>84.28</v>
      </c>
      <c r="AB237" s="4" t="n">
        <f aca="false">V237-Y237</f>
        <v>122.16</v>
      </c>
      <c r="AC237" s="4" t="n">
        <f aca="false">W237-Z237</f>
        <v>173.48</v>
      </c>
      <c r="AD237" s="4" t="str">
        <f aca="false">IF(OR(AND(X237&lt;&gt;0,ABS(AA237)&gt;Assumptions!$B$18*X237),AND(Y237&lt;&gt;0,ABS(AB237)&gt;Assumptions!$B$18*Y237),AND(Z237&lt;&gt;0,ABS(AC237)&gt;Assumptions!$B$18*Z237)),"REVIEW","")</f>
        <v>REVIEW</v>
      </c>
    </row>
    <row r="238" customFormat="false" ht="15" hidden="false" customHeight="false" outlineLevel="0" collapsed="false">
      <c r="A238" s="0" t="str">
        <f aca="false">'City Data'!A238</f>
        <v>St. John's</v>
      </c>
      <c r="B238" s="4" t="n">
        <f aca="false">'City Data'!B238/Assumptions!$B$2</f>
        <v>37.5</v>
      </c>
      <c r="C238" s="4" t="n">
        <f aca="false">'City Data'!C238/Assumptions!$B$2</f>
        <v>90</v>
      </c>
      <c r="D238" s="4" t="n">
        <f aca="false">'City Data'!D238/Assumptions!$B$2</f>
        <v>225</v>
      </c>
      <c r="E238" s="4" t="n">
        <f aca="false">Assumptions!$B$3*Assumptions!$B$4*'City Data'!E238</f>
        <v>84</v>
      </c>
      <c r="F238" s="4" t="n">
        <f aca="false">Assumptions!$B$3*Assumptions!$B$5*'City Data'!E238</f>
        <v>151.2</v>
      </c>
      <c r="G238" s="4" t="n">
        <f aca="false">Assumptions!$B$3*Assumptions!$B$6*'City Data'!E238</f>
        <v>294</v>
      </c>
      <c r="H238" s="4" t="n">
        <f aca="false">Assumptions!$B$7*'City Data'!F238</f>
        <v>15</v>
      </c>
      <c r="I238" s="4" t="n">
        <f aca="false">Assumptions!$B$8*'City Data'!F238</f>
        <v>30</v>
      </c>
      <c r="J238" s="4" t="n">
        <f aca="false">Assumptions!$B$9*'City Data'!F238</f>
        <v>60</v>
      </c>
      <c r="K238" s="4" t="n">
        <f aca="false">'City Data'!G238+'City Data'!H238</f>
        <v>4.5</v>
      </c>
      <c r="L238" s="4" t="n">
        <f aca="false">IF(AND(Assumptions!$B$13,ISNUMBER('City Data'!I238)),Assumptions!$B$10*'City Data'!I238,0)</f>
        <v>5</v>
      </c>
      <c r="M238" s="4" t="n">
        <f aca="false">IF(AND(Assumptions!$B$13,ISNUMBER('City Data'!I238)),Assumptions!$B$11*'City Data'!I238,0)</f>
        <v>10</v>
      </c>
      <c r="N238" s="4" t="n">
        <f aca="false">IF(AND(Assumptions!$B$13,ISNUMBER('City Data'!I238)),Assumptions!$B$12*'City Data'!I238,0)</f>
        <v>15</v>
      </c>
      <c r="O238" s="4" t="n">
        <f aca="false">B238+E238+H238+K238</f>
        <v>141</v>
      </c>
      <c r="P238" s="4" t="n">
        <f aca="false">C238+F238+I238+K238</f>
        <v>275.7</v>
      </c>
      <c r="Q238" s="4" t="n">
        <f aca="false">D238+G238+J238+K238</f>
        <v>583.5</v>
      </c>
      <c r="R238" s="4" t="n">
        <f aca="false">IF(Assumptions!$B$14,Assumptions!$B$15*O238,0)</f>
        <v>14.1</v>
      </c>
      <c r="S238" s="4" t="n">
        <f aca="false">IF(Assumptions!$B$14,Assumptions!$B$16*P238,0)</f>
        <v>55.14</v>
      </c>
      <c r="T238" s="4" t="n">
        <f aca="false">IF(Assumptions!$B$14,Assumptions!$B$17*Q238,0)</f>
        <v>204.225</v>
      </c>
      <c r="U238" s="4" t="n">
        <f aca="false">O238+L238+R238</f>
        <v>160.1</v>
      </c>
      <c r="V238" s="4" t="n">
        <f aca="false">P238+M238+S238</f>
        <v>340.84</v>
      </c>
      <c r="W238" s="4" t="n">
        <f aca="false">Q238+N238+T238</f>
        <v>802.725</v>
      </c>
      <c r="X238" s="4" t="n">
        <f aca="false">'City Data'!K238</f>
        <v>85</v>
      </c>
      <c r="Y238" s="4" t="n">
        <f aca="false">'City Data'!L238</f>
        <v>210</v>
      </c>
      <c r="Z238" s="4" t="n">
        <f aca="false">'City Data'!M238</f>
        <v>620</v>
      </c>
      <c r="AA238" s="4" t="n">
        <f aca="false">U238-X238</f>
        <v>75.1</v>
      </c>
      <c r="AB238" s="4" t="n">
        <f aca="false">V238-Y238</f>
        <v>130.84</v>
      </c>
      <c r="AC238" s="4" t="n">
        <f aca="false">W238-Z238</f>
        <v>182.725</v>
      </c>
      <c r="AD238" s="4" t="str">
        <f aca="false">IF(OR(AND(X238&lt;&gt;0,ABS(AA238)&gt;Assumptions!$B$18*X238),AND(Y238&lt;&gt;0,ABS(AB238)&gt;Assumptions!$B$18*Y238),AND(Z238&lt;&gt;0,ABS(AC238)&gt;Assumptions!$B$18*Z238)),"REVIEW","")</f>
        <v>REVIEW</v>
      </c>
    </row>
    <row r="239" customFormat="false" ht="15" hidden="false" customHeight="false" outlineLevel="0" collapsed="false">
      <c r="A239" s="0" t="str">
        <f aca="false">'City Data'!A239</f>
        <v>Stockholm</v>
      </c>
      <c r="B239" s="4" t="n">
        <f aca="false">'City Data'!B239/Assumptions!$B$2</f>
        <v>45</v>
      </c>
      <c r="C239" s="4" t="n">
        <f aca="false">'City Data'!C239/Assumptions!$B$2</f>
        <v>80</v>
      </c>
      <c r="D239" s="4" t="n">
        <f aca="false">'City Data'!D239/Assumptions!$B$2</f>
        <v>190</v>
      </c>
      <c r="E239" s="4" t="n">
        <f aca="false">Assumptions!$B$3*Assumptions!$B$4*'City Data'!E239</f>
        <v>84</v>
      </c>
      <c r="F239" s="4" t="n">
        <f aca="false">Assumptions!$B$3*Assumptions!$B$5*'City Data'!E239</f>
        <v>151.2</v>
      </c>
      <c r="G239" s="4" t="n">
        <f aca="false">Assumptions!$B$3*Assumptions!$B$6*'City Data'!E239</f>
        <v>294</v>
      </c>
      <c r="H239" s="4" t="n">
        <f aca="false">Assumptions!$B$7*'City Data'!F239</f>
        <v>40</v>
      </c>
      <c r="I239" s="4" t="n">
        <f aca="false">Assumptions!$B$8*'City Data'!F239</f>
        <v>80</v>
      </c>
      <c r="J239" s="4" t="n">
        <f aca="false">Assumptions!$B$9*'City Data'!F239</f>
        <v>160</v>
      </c>
      <c r="K239" s="4" t="n">
        <f aca="false">'City Data'!G239+'City Data'!H239</f>
        <v>7</v>
      </c>
      <c r="L239" s="4" t="n">
        <f aca="false">IF(AND(Assumptions!$B$13,ISNUMBER('City Data'!I239)),Assumptions!$B$10*'City Data'!I239,0)</f>
        <v>7</v>
      </c>
      <c r="M239" s="4" t="n">
        <f aca="false">IF(AND(Assumptions!$B$13,ISNUMBER('City Data'!I239)),Assumptions!$B$11*'City Data'!I239,0)</f>
        <v>14</v>
      </c>
      <c r="N239" s="4" t="n">
        <f aca="false">IF(AND(Assumptions!$B$13,ISNUMBER('City Data'!I239)),Assumptions!$B$12*'City Data'!I239,0)</f>
        <v>21</v>
      </c>
      <c r="O239" s="4" t="n">
        <f aca="false">B239+E239+H239+K239</f>
        <v>176</v>
      </c>
      <c r="P239" s="4" t="n">
        <f aca="false">C239+F239+I239+K239</f>
        <v>318.2</v>
      </c>
      <c r="Q239" s="4" t="n">
        <f aca="false">D239+G239+J239+K239</f>
        <v>651</v>
      </c>
      <c r="R239" s="4" t="n">
        <f aca="false">IF(Assumptions!$B$14,Assumptions!$B$15*O239,0)</f>
        <v>17.6</v>
      </c>
      <c r="S239" s="4" t="n">
        <f aca="false">IF(Assumptions!$B$14,Assumptions!$B$16*P239,0)</f>
        <v>63.64</v>
      </c>
      <c r="T239" s="4" t="n">
        <f aca="false">IF(Assumptions!$B$14,Assumptions!$B$17*Q239,0)</f>
        <v>227.85</v>
      </c>
      <c r="U239" s="4" t="n">
        <f aca="false">O239+L239+R239</f>
        <v>200.6</v>
      </c>
      <c r="V239" s="4" t="n">
        <f aca="false">P239+M239+S239</f>
        <v>395.84</v>
      </c>
      <c r="W239" s="4" t="n">
        <f aca="false">Q239+N239+T239</f>
        <v>899.85</v>
      </c>
      <c r="X239" s="4" t="n">
        <f aca="false">'City Data'!K239</f>
        <v>95</v>
      </c>
      <c r="Y239" s="4" t="n">
        <f aca="false">'City Data'!L239</f>
        <v>230</v>
      </c>
      <c r="Z239" s="4" t="n">
        <f aca="false">'City Data'!M239</f>
        <v>620</v>
      </c>
      <c r="AA239" s="4" t="n">
        <f aca="false">U239-X239</f>
        <v>105.6</v>
      </c>
      <c r="AB239" s="4" t="n">
        <f aca="false">V239-Y239</f>
        <v>165.84</v>
      </c>
      <c r="AC239" s="4" t="n">
        <f aca="false">W239-Z239</f>
        <v>279.85</v>
      </c>
      <c r="AD239" s="4" t="str">
        <f aca="false">IF(OR(AND(X239&lt;&gt;0,ABS(AA239)&gt;Assumptions!$B$18*X239),AND(Y239&lt;&gt;0,ABS(AB239)&gt;Assumptions!$B$18*Y239),AND(Z239&lt;&gt;0,ABS(AC239)&gt;Assumptions!$B$18*Z239)),"REVIEW","")</f>
        <v>REVIEW</v>
      </c>
    </row>
    <row r="240" customFormat="false" ht="15" hidden="false" customHeight="false" outlineLevel="0" collapsed="false">
      <c r="A240" s="0" t="str">
        <f aca="false">'City Data'!A240</f>
        <v>Suzhou</v>
      </c>
      <c r="B240" s="4" t="n">
        <f aca="false">'City Data'!B240/Assumptions!$B$2</f>
        <v>11</v>
      </c>
      <c r="C240" s="4" t="n">
        <f aca="false">'City Data'!C240/Assumptions!$B$2</f>
        <v>35</v>
      </c>
      <c r="D240" s="4" t="n">
        <f aca="false">'City Data'!D240/Assumptions!$B$2</f>
        <v>75</v>
      </c>
      <c r="E240" s="4" t="n">
        <f aca="false">Assumptions!$B$3*Assumptions!$B$4*'City Data'!E240</f>
        <v>24</v>
      </c>
      <c r="F240" s="4" t="n">
        <f aca="false">Assumptions!$B$3*Assumptions!$B$5*'City Data'!E240</f>
        <v>43.2</v>
      </c>
      <c r="G240" s="4" t="n">
        <f aca="false">Assumptions!$B$3*Assumptions!$B$6*'City Data'!E240</f>
        <v>84</v>
      </c>
      <c r="H240" s="4" t="n">
        <f aca="false">Assumptions!$B$7*'City Data'!F240</f>
        <v>4</v>
      </c>
      <c r="I240" s="4" t="n">
        <f aca="false">Assumptions!$B$8*'City Data'!F240</f>
        <v>8</v>
      </c>
      <c r="J240" s="4" t="n">
        <f aca="false">Assumptions!$B$9*'City Data'!F240</f>
        <v>16</v>
      </c>
      <c r="K240" s="4" t="n">
        <f aca="false">'City Data'!G240+'City Data'!H240</f>
        <v>4.5</v>
      </c>
      <c r="L240" s="4" t="n">
        <f aca="false">IF(AND(Assumptions!$B$13,ISNUMBER('City Data'!I240)),Assumptions!$B$10*'City Data'!I240,0)</f>
        <v>2</v>
      </c>
      <c r="M240" s="4" t="n">
        <f aca="false">IF(AND(Assumptions!$B$13,ISNUMBER('City Data'!I240)),Assumptions!$B$11*'City Data'!I240,0)</f>
        <v>4</v>
      </c>
      <c r="N240" s="4" t="n">
        <f aca="false">IF(AND(Assumptions!$B$13,ISNUMBER('City Data'!I240)),Assumptions!$B$12*'City Data'!I240,0)</f>
        <v>6</v>
      </c>
      <c r="O240" s="4" t="n">
        <f aca="false">B240+E240+H240+K240</f>
        <v>43.5</v>
      </c>
      <c r="P240" s="4" t="n">
        <f aca="false">C240+F240+I240+K240</f>
        <v>90.7</v>
      </c>
      <c r="Q240" s="4" t="n">
        <f aca="false">D240+G240+J240+K240</f>
        <v>179.5</v>
      </c>
      <c r="R240" s="4" t="n">
        <f aca="false">IF(Assumptions!$B$14,Assumptions!$B$15*O240,0)</f>
        <v>4.35</v>
      </c>
      <c r="S240" s="4" t="n">
        <f aca="false">IF(Assumptions!$B$14,Assumptions!$B$16*P240,0)</f>
        <v>18.14</v>
      </c>
      <c r="T240" s="4" t="n">
        <f aca="false">IF(Assumptions!$B$14,Assumptions!$B$17*Q240,0)</f>
        <v>62.825</v>
      </c>
      <c r="U240" s="4" t="n">
        <f aca="false">O240+L240+R240</f>
        <v>49.85</v>
      </c>
      <c r="V240" s="4" t="n">
        <f aca="false">P240+M240+S240</f>
        <v>112.84</v>
      </c>
      <c r="W240" s="4" t="n">
        <f aca="false">Q240+N240+T240</f>
        <v>248.325</v>
      </c>
      <c r="X240" s="4" t="n">
        <f aca="false">'City Data'!K240</f>
        <v>40</v>
      </c>
      <c r="Y240" s="4" t="n">
        <f aca="false">'City Data'!L240</f>
        <v>100</v>
      </c>
      <c r="Z240" s="4" t="n">
        <f aca="false">'City Data'!M240</f>
        <v>300</v>
      </c>
      <c r="AA240" s="4" t="n">
        <f aca="false">U240-X240</f>
        <v>9.85</v>
      </c>
      <c r="AB240" s="4" t="n">
        <f aca="false">V240-Y240</f>
        <v>12.84</v>
      </c>
      <c r="AC240" s="4" t="n">
        <f aca="false">W240-Z240</f>
        <v>-51.675</v>
      </c>
      <c r="AD240" s="4" t="str">
        <f aca="false">IF(OR(AND(X240&lt;&gt;0,ABS(AA240)&gt;Assumptions!$B$18*X240),AND(Y240&lt;&gt;0,ABS(AB240)&gt;Assumptions!$B$18*Y240),AND(Z240&lt;&gt;0,ABS(AC240)&gt;Assumptions!$B$18*Z240)),"REVIEW","")</f>
        <v/>
      </c>
    </row>
    <row r="241" customFormat="false" ht="15" hidden="false" customHeight="false" outlineLevel="0" collapsed="false">
      <c r="A241" s="0" t="str">
        <f aca="false">'City Data'!A241</f>
        <v>Sydney</v>
      </c>
      <c r="B241" s="4" t="n">
        <f aca="false">'City Data'!B241/Assumptions!$B$2</f>
        <v>37.5</v>
      </c>
      <c r="C241" s="4" t="n">
        <f aca="false">'City Data'!C241/Assumptions!$B$2</f>
        <v>75</v>
      </c>
      <c r="D241" s="4" t="n">
        <f aca="false">'City Data'!D241/Assumptions!$B$2</f>
        <v>175</v>
      </c>
      <c r="E241" s="4" t="n">
        <f aca="false">Assumptions!$B$3*Assumptions!$B$4*'City Data'!E241</f>
        <v>84</v>
      </c>
      <c r="F241" s="4" t="n">
        <f aca="false">Assumptions!$B$3*Assumptions!$B$5*'City Data'!E241</f>
        <v>151.2</v>
      </c>
      <c r="G241" s="4" t="n">
        <f aca="false">Assumptions!$B$3*Assumptions!$B$6*'City Data'!E241</f>
        <v>294</v>
      </c>
      <c r="H241" s="4" t="n">
        <f aca="false">Assumptions!$B$7*'City Data'!F241</f>
        <v>22</v>
      </c>
      <c r="I241" s="4" t="n">
        <f aca="false">Assumptions!$B$8*'City Data'!F241</f>
        <v>44</v>
      </c>
      <c r="J241" s="4" t="n">
        <f aca="false">Assumptions!$B$9*'City Data'!F241</f>
        <v>88</v>
      </c>
      <c r="K241" s="4" t="n">
        <f aca="false">'City Data'!G241+'City Data'!H241</f>
        <v>5.8</v>
      </c>
      <c r="L241" s="4" t="n">
        <f aca="false">IF(AND(Assumptions!$B$13,ISNUMBER('City Data'!I241)),Assumptions!$B$10*'City Data'!I241,0)</f>
        <v>7</v>
      </c>
      <c r="M241" s="4" t="n">
        <f aca="false">IF(AND(Assumptions!$B$13,ISNUMBER('City Data'!I241)),Assumptions!$B$11*'City Data'!I241,0)</f>
        <v>14</v>
      </c>
      <c r="N241" s="4" t="n">
        <f aca="false">IF(AND(Assumptions!$B$13,ISNUMBER('City Data'!I241)),Assumptions!$B$12*'City Data'!I241,0)</f>
        <v>21</v>
      </c>
      <c r="O241" s="4" t="n">
        <f aca="false">B241+E241+H241+K241</f>
        <v>149.3</v>
      </c>
      <c r="P241" s="4" t="n">
        <f aca="false">C241+F241+I241+K241</f>
        <v>276</v>
      </c>
      <c r="Q241" s="4" t="n">
        <f aca="false">D241+G241+J241+K241</f>
        <v>562.8</v>
      </c>
      <c r="R241" s="4" t="n">
        <f aca="false">IF(Assumptions!$B$14,Assumptions!$B$15*O241,0)</f>
        <v>14.93</v>
      </c>
      <c r="S241" s="4" t="n">
        <f aca="false">IF(Assumptions!$B$14,Assumptions!$B$16*P241,0)</f>
        <v>55.2</v>
      </c>
      <c r="T241" s="4" t="n">
        <f aca="false">IF(Assumptions!$B$14,Assumptions!$B$17*Q241,0)</f>
        <v>196.98</v>
      </c>
      <c r="U241" s="4" t="n">
        <f aca="false">O241+L241+R241</f>
        <v>171.23</v>
      </c>
      <c r="V241" s="4" t="n">
        <f aca="false">P241+M241+S241</f>
        <v>345.2</v>
      </c>
      <c r="W241" s="4" t="n">
        <f aca="false">Q241+N241+T241</f>
        <v>780.78</v>
      </c>
      <c r="X241" s="4" t="n">
        <f aca="false">'City Data'!K241</f>
        <v>90</v>
      </c>
      <c r="Y241" s="4" t="n">
        <f aca="false">'City Data'!L241</f>
        <v>220</v>
      </c>
      <c r="Z241" s="4" t="n">
        <f aca="false">'City Data'!M241</f>
        <v>600</v>
      </c>
      <c r="AA241" s="4" t="n">
        <f aca="false">U241-X241</f>
        <v>81.23</v>
      </c>
      <c r="AB241" s="4" t="n">
        <f aca="false">V241-Y241</f>
        <v>125.2</v>
      </c>
      <c r="AC241" s="4" t="n">
        <f aca="false">W241-Z241</f>
        <v>180.78</v>
      </c>
      <c r="AD241" s="4" t="str">
        <f aca="false">IF(OR(AND(X241&lt;&gt;0,ABS(AA241)&gt;Assumptions!$B$18*X241),AND(Y241&lt;&gt;0,ABS(AB241)&gt;Assumptions!$B$18*Y241),AND(Z241&lt;&gt;0,ABS(AC241)&gt;Assumptions!$B$18*Z241)),"REVIEW","")</f>
        <v>REVIEW</v>
      </c>
    </row>
    <row r="242" customFormat="false" ht="15" hidden="false" customHeight="false" outlineLevel="0" collapsed="false">
      <c r="A242" s="0" t="str">
        <f aca="false">'City Data'!A242</f>
        <v>São Paulo</v>
      </c>
      <c r="B242" s="4" t="n">
        <f aca="false">'City Data'!B242/Assumptions!$B$2</f>
        <v>20</v>
      </c>
      <c r="C242" s="4" t="n">
        <f aca="false">'City Data'!C242/Assumptions!$B$2</f>
        <v>40</v>
      </c>
      <c r="D242" s="4" t="n">
        <f aca="false">'City Data'!D242/Assumptions!$B$2</f>
        <v>140</v>
      </c>
      <c r="E242" s="4" t="n">
        <f aca="false">Assumptions!$B$3*Assumptions!$B$4*'City Data'!E242</f>
        <v>45</v>
      </c>
      <c r="F242" s="4" t="n">
        <f aca="false">Assumptions!$B$3*Assumptions!$B$5*'City Data'!E242</f>
        <v>81</v>
      </c>
      <c r="G242" s="4" t="n">
        <f aca="false">Assumptions!$B$3*Assumptions!$B$6*'City Data'!E242</f>
        <v>157.5</v>
      </c>
      <c r="H242" s="4" t="n">
        <f aca="false">Assumptions!$B$7*'City Data'!F242</f>
        <v>15</v>
      </c>
      <c r="I242" s="4" t="n">
        <f aca="false">Assumptions!$B$8*'City Data'!F242</f>
        <v>30</v>
      </c>
      <c r="J242" s="4" t="n">
        <f aca="false">Assumptions!$B$9*'City Data'!F242</f>
        <v>60</v>
      </c>
      <c r="K242" s="4" t="n">
        <f aca="false">'City Data'!G242+'City Data'!H242</f>
        <v>3</v>
      </c>
      <c r="L242" s="4" t="n">
        <f aca="false">IF(AND(Assumptions!$B$13,ISNUMBER('City Data'!I242)),Assumptions!$B$10*'City Data'!I242,0)</f>
        <v>2.5</v>
      </c>
      <c r="M242" s="4" t="n">
        <f aca="false">IF(AND(Assumptions!$B$13,ISNUMBER('City Data'!I242)),Assumptions!$B$11*'City Data'!I242,0)</f>
        <v>5</v>
      </c>
      <c r="N242" s="4" t="n">
        <f aca="false">IF(AND(Assumptions!$B$13,ISNUMBER('City Data'!I242)),Assumptions!$B$12*'City Data'!I242,0)</f>
        <v>7.5</v>
      </c>
      <c r="O242" s="4" t="n">
        <f aca="false">B242+E242+H242+K242</f>
        <v>83</v>
      </c>
      <c r="P242" s="4" t="n">
        <f aca="false">C242+F242+I242+K242</f>
        <v>154</v>
      </c>
      <c r="Q242" s="4" t="n">
        <f aca="false">D242+G242+J242+K242</f>
        <v>360.5</v>
      </c>
      <c r="R242" s="4" t="n">
        <f aca="false">IF(Assumptions!$B$14,Assumptions!$B$15*O242,0)</f>
        <v>8.3</v>
      </c>
      <c r="S242" s="4" t="n">
        <f aca="false">IF(Assumptions!$B$14,Assumptions!$B$16*P242,0)</f>
        <v>30.8</v>
      </c>
      <c r="T242" s="4" t="n">
        <f aca="false">IF(Assumptions!$B$14,Assumptions!$B$17*Q242,0)</f>
        <v>126.175</v>
      </c>
      <c r="U242" s="4" t="n">
        <f aca="false">O242+L242+R242</f>
        <v>93.8</v>
      </c>
      <c r="V242" s="4" t="n">
        <f aca="false">P242+M242+S242</f>
        <v>189.8</v>
      </c>
      <c r="W242" s="4" t="n">
        <f aca="false">Q242+N242+T242</f>
        <v>494.175</v>
      </c>
      <c r="X242" s="4" t="n">
        <f aca="false">'City Data'!K242</f>
        <v>45</v>
      </c>
      <c r="Y242" s="4" t="n">
        <f aca="false">'City Data'!L242</f>
        <v>110</v>
      </c>
      <c r="Z242" s="4" t="n">
        <f aca="false">'City Data'!M242</f>
        <v>320</v>
      </c>
      <c r="AA242" s="4" t="n">
        <f aca="false">U242-X242</f>
        <v>48.8</v>
      </c>
      <c r="AB242" s="4" t="n">
        <f aca="false">V242-Y242</f>
        <v>79.8</v>
      </c>
      <c r="AC242" s="4" t="n">
        <f aca="false">W242-Z242</f>
        <v>174.175</v>
      </c>
      <c r="AD242" s="4" t="str">
        <f aca="false">IF(OR(AND(X242&lt;&gt;0,ABS(AA242)&gt;Assumptions!$B$18*X242),AND(Y242&lt;&gt;0,ABS(AB242)&gt;Assumptions!$B$18*Y242),AND(Z242&lt;&gt;0,ABS(AC242)&gt;Assumptions!$B$18*Z242)),"REVIEW","")</f>
        <v>REVIEW</v>
      </c>
    </row>
    <row r="243" customFormat="false" ht="15" hidden="false" customHeight="false" outlineLevel="0" collapsed="false">
      <c r="A243" s="0" t="str">
        <f aca="false">'City Data'!A243</f>
        <v>São Tomé</v>
      </c>
      <c r="B243" s="4" t="n">
        <f aca="false">'City Data'!B243/Assumptions!$B$2</f>
        <v>12.5</v>
      </c>
      <c r="C243" s="4" t="n">
        <f aca="false">'City Data'!C243/Assumptions!$B$2</f>
        <v>45</v>
      </c>
      <c r="D243" s="4" t="n">
        <f aca="false">'City Data'!D243/Assumptions!$B$2</f>
        <v>110</v>
      </c>
      <c r="E243" s="4" t="n">
        <f aca="false">Assumptions!$B$3*Assumptions!$B$4*'City Data'!E243</f>
        <v>45</v>
      </c>
      <c r="F243" s="4" t="n">
        <f aca="false">Assumptions!$B$3*Assumptions!$B$5*'City Data'!E243</f>
        <v>81</v>
      </c>
      <c r="G243" s="4" t="n">
        <f aca="false">Assumptions!$B$3*Assumptions!$B$6*'City Data'!E243</f>
        <v>157.5</v>
      </c>
      <c r="H243" s="4" t="n">
        <f aca="false">Assumptions!$B$7*'City Data'!F243</f>
        <v>5</v>
      </c>
      <c r="I243" s="4" t="n">
        <f aca="false">Assumptions!$B$8*'City Data'!F243</f>
        <v>10</v>
      </c>
      <c r="J243" s="4" t="n">
        <f aca="false">Assumptions!$B$9*'City Data'!F243</f>
        <v>20</v>
      </c>
      <c r="K243" s="4" t="n">
        <f aca="false">'City Data'!G243+'City Data'!H243</f>
        <v>3</v>
      </c>
      <c r="L243" s="4" t="n">
        <f aca="false">IF(AND(Assumptions!$B$13,ISNUMBER('City Data'!I243)),Assumptions!$B$10*'City Data'!I243,0)</f>
        <v>3</v>
      </c>
      <c r="M243" s="4" t="n">
        <f aca="false">IF(AND(Assumptions!$B$13,ISNUMBER('City Data'!I243)),Assumptions!$B$11*'City Data'!I243,0)</f>
        <v>6</v>
      </c>
      <c r="N243" s="4" t="n">
        <f aca="false">IF(AND(Assumptions!$B$13,ISNUMBER('City Data'!I243)),Assumptions!$B$12*'City Data'!I243,0)</f>
        <v>9</v>
      </c>
      <c r="O243" s="4" t="n">
        <f aca="false">B243+E243+H243+K243</f>
        <v>65.5</v>
      </c>
      <c r="P243" s="4" t="n">
        <f aca="false">C243+F243+I243+K243</f>
        <v>139</v>
      </c>
      <c r="Q243" s="4" t="n">
        <f aca="false">D243+G243+J243+K243</f>
        <v>290.5</v>
      </c>
      <c r="R243" s="4" t="n">
        <f aca="false">IF(Assumptions!$B$14,Assumptions!$B$15*O243,0)</f>
        <v>6.55</v>
      </c>
      <c r="S243" s="4" t="n">
        <f aca="false">IF(Assumptions!$B$14,Assumptions!$B$16*P243,0)</f>
        <v>27.8</v>
      </c>
      <c r="T243" s="4" t="n">
        <f aca="false">IF(Assumptions!$B$14,Assumptions!$B$17*Q243,0)</f>
        <v>101.675</v>
      </c>
      <c r="U243" s="4" t="n">
        <f aca="false">O243+L243+R243</f>
        <v>75.05</v>
      </c>
      <c r="V243" s="4" t="n">
        <f aca="false">P243+M243+S243</f>
        <v>172.8</v>
      </c>
      <c r="W243" s="4" t="n">
        <f aca="false">Q243+N243+T243</f>
        <v>401.175</v>
      </c>
      <c r="X243" s="4" t="n">
        <f aca="false">'City Data'!K243</f>
        <v>45</v>
      </c>
      <c r="Y243" s="4" t="n">
        <f aca="false">'City Data'!L243</f>
        <v>110</v>
      </c>
      <c r="Z243" s="4" t="n">
        <f aca="false">'City Data'!M243</f>
        <v>340</v>
      </c>
      <c r="AA243" s="4" t="n">
        <f aca="false">U243-X243</f>
        <v>30.05</v>
      </c>
      <c r="AB243" s="4" t="n">
        <f aca="false">V243-Y243</f>
        <v>62.8</v>
      </c>
      <c r="AC243" s="4" t="n">
        <f aca="false">W243-Z243</f>
        <v>61.175</v>
      </c>
      <c r="AD243" s="4" t="str">
        <f aca="false">IF(OR(AND(X243&lt;&gt;0,ABS(AA243)&gt;Assumptions!$B$18*X243),AND(Y243&lt;&gt;0,ABS(AB243)&gt;Assumptions!$B$18*Y243),AND(Z243&lt;&gt;0,ABS(AC243)&gt;Assumptions!$B$18*Z243)),"REVIEW","")</f>
        <v>REVIEW</v>
      </c>
    </row>
    <row r="244" customFormat="false" ht="15" hidden="false" customHeight="false" outlineLevel="0" collapsed="false">
      <c r="A244" s="0" t="str">
        <f aca="false">'City Data'!A244</f>
        <v>Tai'an</v>
      </c>
      <c r="B244" s="4" t="n">
        <f aca="false">'City Data'!B244/Assumptions!$B$2</f>
        <v>10</v>
      </c>
      <c r="C244" s="4" t="n">
        <f aca="false">'City Data'!C244/Assumptions!$B$2</f>
        <v>22.5</v>
      </c>
      <c r="D244" s="4" t="n">
        <f aca="false">'City Data'!D244/Assumptions!$B$2</f>
        <v>45</v>
      </c>
      <c r="E244" s="4" t="n">
        <f aca="false">Assumptions!$B$3*Assumptions!$B$4*'City Data'!E244</f>
        <v>18</v>
      </c>
      <c r="F244" s="4" t="n">
        <f aca="false">Assumptions!$B$3*Assumptions!$B$5*'City Data'!E244</f>
        <v>32.4</v>
      </c>
      <c r="G244" s="4" t="n">
        <f aca="false">Assumptions!$B$3*Assumptions!$B$6*'City Data'!E244</f>
        <v>63</v>
      </c>
      <c r="H244" s="4" t="n">
        <f aca="false">Assumptions!$B$7*'City Data'!F244</f>
        <v>3</v>
      </c>
      <c r="I244" s="4" t="n">
        <f aca="false">Assumptions!$B$8*'City Data'!F244</f>
        <v>6</v>
      </c>
      <c r="J244" s="4" t="n">
        <f aca="false">Assumptions!$B$9*'City Data'!F244</f>
        <v>12</v>
      </c>
      <c r="K244" s="4" t="n">
        <f aca="false">'City Data'!G244+'City Data'!H244</f>
        <v>4</v>
      </c>
      <c r="L244" s="4" t="n">
        <f aca="false">IF(AND(Assumptions!$B$13,ISNUMBER('City Data'!I244)),Assumptions!$B$10*'City Data'!I244,0)</f>
        <v>1</v>
      </c>
      <c r="M244" s="4" t="n">
        <f aca="false">IF(AND(Assumptions!$B$13,ISNUMBER('City Data'!I244)),Assumptions!$B$11*'City Data'!I244,0)</f>
        <v>2</v>
      </c>
      <c r="N244" s="4" t="n">
        <f aca="false">IF(AND(Assumptions!$B$13,ISNUMBER('City Data'!I244)),Assumptions!$B$12*'City Data'!I244,0)</f>
        <v>3</v>
      </c>
      <c r="O244" s="4" t="n">
        <f aca="false">B244+E244+H244+K244</f>
        <v>35</v>
      </c>
      <c r="P244" s="4" t="n">
        <f aca="false">C244+F244+I244+K244</f>
        <v>64.9</v>
      </c>
      <c r="Q244" s="4" t="n">
        <f aca="false">D244+G244+J244+K244</f>
        <v>124</v>
      </c>
      <c r="R244" s="4" t="n">
        <f aca="false">IF(Assumptions!$B$14,Assumptions!$B$15*O244,0)</f>
        <v>3.5</v>
      </c>
      <c r="S244" s="4" t="n">
        <f aca="false">IF(Assumptions!$B$14,Assumptions!$B$16*P244,0)</f>
        <v>12.98</v>
      </c>
      <c r="T244" s="4" t="n">
        <f aca="false">IF(Assumptions!$B$14,Assumptions!$B$17*Q244,0)</f>
        <v>43.4</v>
      </c>
      <c r="U244" s="4" t="n">
        <f aca="false">O244+L244+R244</f>
        <v>39.5</v>
      </c>
      <c r="V244" s="4" t="n">
        <f aca="false">P244+M244+S244</f>
        <v>79.88</v>
      </c>
      <c r="W244" s="4" t="n">
        <f aca="false">Q244+N244+T244</f>
        <v>170.4</v>
      </c>
      <c r="X244" s="4" t="n">
        <f aca="false">'City Data'!K244</f>
        <v>30</v>
      </c>
      <c r="Y244" s="4" t="n">
        <f aca="false">'City Data'!L244</f>
        <v>70</v>
      </c>
      <c r="Z244" s="4" t="n">
        <f aca="false">'City Data'!M244</f>
        <v>180</v>
      </c>
      <c r="AA244" s="4" t="n">
        <f aca="false">U244-X244</f>
        <v>9.5</v>
      </c>
      <c r="AB244" s="4" t="n">
        <f aca="false">V244-Y244</f>
        <v>9.88000000000001</v>
      </c>
      <c r="AC244" s="4" t="n">
        <f aca="false">W244-Z244</f>
        <v>-9.59999999999999</v>
      </c>
      <c r="AD244" s="4" t="str">
        <f aca="false">IF(OR(AND(X244&lt;&gt;0,ABS(AA244)&gt;Assumptions!$B$18*X244),AND(Y244&lt;&gt;0,ABS(AB244)&gt;Assumptions!$B$18*Y244),AND(Z244&lt;&gt;0,ABS(AC244)&gt;Assumptions!$B$18*Z244)),"REVIEW","")</f>
        <v>REVIEW</v>
      </c>
    </row>
    <row r="245" customFormat="false" ht="15" hidden="false" customHeight="false" outlineLevel="0" collapsed="false">
      <c r="A245" s="0" t="str">
        <f aca="false">'City Data'!A245</f>
        <v>Taipei</v>
      </c>
      <c r="B245" s="4" t="n">
        <f aca="false">'City Data'!B245/Assumptions!$B$2</f>
        <v>22.5</v>
      </c>
      <c r="C245" s="4" t="n">
        <f aca="false">'City Data'!C245/Assumptions!$B$2</f>
        <v>45</v>
      </c>
      <c r="D245" s="4" t="n">
        <f aca="false">'City Data'!D245/Assumptions!$B$2</f>
        <v>110</v>
      </c>
      <c r="E245" s="4" t="n">
        <f aca="false">Assumptions!$B$3*Assumptions!$B$4*'City Data'!E245</f>
        <v>36</v>
      </c>
      <c r="F245" s="4" t="n">
        <f aca="false">Assumptions!$B$3*Assumptions!$B$5*'City Data'!E245</f>
        <v>64.8</v>
      </c>
      <c r="G245" s="4" t="n">
        <f aca="false">Assumptions!$B$3*Assumptions!$B$6*'City Data'!E245</f>
        <v>126</v>
      </c>
      <c r="H245" s="4" t="n">
        <f aca="false">Assumptions!$B$7*'City Data'!F245</f>
        <v>15</v>
      </c>
      <c r="I245" s="4" t="n">
        <f aca="false">Assumptions!$B$8*'City Data'!F245</f>
        <v>30</v>
      </c>
      <c r="J245" s="4" t="n">
        <f aca="false">Assumptions!$B$9*'City Data'!F245</f>
        <v>60</v>
      </c>
      <c r="K245" s="4" t="n">
        <f aca="false">'City Data'!G245+'City Data'!H245</f>
        <v>3.2</v>
      </c>
      <c r="L245" s="4" t="n">
        <f aca="false">IF(AND(Assumptions!$B$13,ISNUMBER('City Data'!I245)),Assumptions!$B$10*'City Data'!I245,0)</f>
        <v>2.5</v>
      </c>
      <c r="M245" s="4" t="n">
        <f aca="false">IF(AND(Assumptions!$B$13,ISNUMBER('City Data'!I245)),Assumptions!$B$11*'City Data'!I245,0)</f>
        <v>5</v>
      </c>
      <c r="N245" s="4" t="n">
        <f aca="false">IF(AND(Assumptions!$B$13,ISNUMBER('City Data'!I245)),Assumptions!$B$12*'City Data'!I245,0)</f>
        <v>7.5</v>
      </c>
      <c r="O245" s="4" t="n">
        <f aca="false">B245+E245+H245+K245</f>
        <v>76.7</v>
      </c>
      <c r="P245" s="4" t="n">
        <f aca="false">C245+F245+I245+K245</f>
        <v>143</v>
      </c>
      <c r="Q245" s="4" t="n">
        <f aca="false">D245+G245+J245+K245</f>
        <v>299.2</v>
      </c>
      <c r="R245" s="4" t="n">
        <f aca="false">IF(Assumptions!$B$14,Assumptions!$B$15*O245,0)</f>
        <v>7.67</v>
      </c>
      <c r="S245" s="4" t="n">
        <f aca="false">IF(Assumptions!$B$14,Assumptions!$B$16*P245,0)</f>
        <v>28.6</v>
      </c>
      <c r="T245" s="4" t="n">
        <f aca="false">IF(Assumptions!$B$14,Assumptions!$B$17*Q245,0)</f>
        <v>104.72</v>
      </c>
      <c r="U245" s="4" t="n">
        <f aca="false">O245+L245+R245</f>
        <v>86.87</v>
      </c>
      <c r="V245" s="4" t="n">
        <f aca="false">P245+M245+S245</f>
        <v>176.6</v>
      </c>
      <c r="W245" s="4" t="n">
        <f aca="false">Q245+N245+T245</f>
        <v>411.42</v>
      </c>
      <c r="X245" s="4" t="n">
        <f aca="false">'City Data'!K245</f>
        <v>50</v>
      </c>
      <c r="Y245" s="4" t="n">
        <f aca="false">'City Data'!L245</f>
        <v>120</v>
      </c>
      <c r="Z245" s="4" t="n">
        <f aca="false">'City Data'!M245</f>
        <v>330</v>
      </c>
      <c r="AA245" s="4" t="n">
        <f aca="false">U245-X245</f>
        <v>36.87</v>
      </c>
      <c r="AB245" s="4" t="n">
        <f aca="false">V245-Y245</f>
        <v>56.6</v>
      </c>
      <c r="AC245" s="4" t="n">
        <f aca="false">W245-Z245</f>
        <v>81.42</v>
      </c>
      <c r="AD245" s="4" t="str">
        <f aca="false">IF(OR(AND(X245&lt;&gt;0,ABS(AA245)&gt;Assumptions!$B$18*X245),AND(Y245&lt;&gt;0,ABS(AB245)&gt;Assumptions!$B$18*Y245),AND(Z245&lt;&gt;0,ABS(AC245)&gt;Assumptions!$B$18*Z245)),"REVIEW","")</f>
        <v>REVIEW</v>
      </c>
    </row>
    <row r="246" customFormat="false" ht="15" hidden="false" customHeight="false" outlineLevel="0" collapsed="false">
      <c r="A246" s="0" t="str">
        <f aca="false">'City Data'!A246</f>
        <v>Tallinn</v>
      </c>
      <c r="B246" s="4" t="n">
        <f aca="false">'City Data'!B246/Assumptions!$B$2</f>
        <v>22.5</v>
      </c>
      <c r="C246" s="4" t="n">
        <f aca="false">'City Data'!C246/Assumptions!$B$2</f>
        <v>50</v>
      </c>
      <c r="D246" s="4" t="n">
        <f aca="false">'City Data'!D246/Assumptions!$B$2</f>
        <v>95</v>
      </c>
      <c r="E246" s="4" t="n">
        <f aca="false">Assumptions!$B$3*Assumptions!$B$4*'City Data'!E246</f>
        <v>54</v>
      </c>
      <c r="F246" s="4" t="n">
        <f aca="false">Assumptions!$B$3*Assumptions!$B$5*'City Data'!E246</f>
        <v>97.2</v>
      </c>
      <c r="G246" s="4" t="n">
        <f aca="false">Assumptions!$B$3*Assumptions!$B$6*'City Data'!E246</f>
        <v>189</v>
      </c>
      <c r="H246" s="4" t="n">
        <f aca="false">Assumptions!$B$7*'City Data'!F246</f>
        <v>15</v>
      </c>
      <c r="I246" s="4" t="n">
        <f aca="false">Assumptions!$B$8*'City Data'!F246</f>
        <v>30</v>
      </c>
      <c r="J246" s="4" t="n">
        <f aca="false">Assumptions!$B$9*'City Data'!F246</f>
        <v>60</v>
      </c>
      <c r="K246" s="4" t="n">
        <f aca="false">'City Data'!G246+'City Data'!H246</f>
        <v>4</v>
      </c>
      <c r="L246" s="4" t="n">
        <f aca="false">IF(AND(Assumptions!$B$13,ISNUMBER('City Data'!I246)),Assumptions!$B$10*'City Data'!I246,0)</f>
        <v>4</v>
      </c>
      <c r="M246" s="4" t="n">
        <f aca="false">IF(AND(Assumptions!$B$13,ISNUMBER('City Data'!I246)),Assumptions!$B$11*'City Data'!I246,0)</f>
        <v>8</v>
      </c>
      <c r="N246" s="4" t="n">
        <f aca="false">IF(AND(Assumptions!$B$13,ISNUMBER('City Data'!I246)),Assumptions!$B$12*'City Data'!I246,0)</f>
        <v>12</v>
      </c>
      <c r="O246" s="4" t="n">
        <f aca="false">B246+E246+H246+K246</f>
        <v>95.5</v>
      </c>
      <c r="P246" s="4" t="n">
        <f aca="false">C246+F246+I246+K246</f>
        <v>181.2</v>
      </c>
      <c r="Q246" s="4" t="n">
        <f aca="false">D246+G246+J246+K246</f>
        <v>348</v>
      </c>
      <c r="R246" s="4" t="n">
        <f aca="false">IF(Assumptions!$B$14,Assumptions!$B$15*O246,0)</f>
        <v>9.55</v>
      </c>
      <c r="S246" s="4" t="n">
        <f aca="false">IF(Assumptions!$B$14,Assumptions!$B$16*P246,0)</f>
        <v>36.24</v>
      </c>
      <c r="T246" s="4" t="n">
        <f aca="false">IF(Assumptions!$B$14,Assumptions!$B$17*Q246,0)</f>
        <v>121.8</v>
      </c>
      <c r="U246" s="4" t="n">
        <f aca="false">O246+L246+R246</f>
        <v>109.05</v>
      </c>
      <c r="V246" s="4" t="n">
        <f aca="false">P246+M246+S246</f>
        <v>225.44</v>
      </c>
      <c r="W246" s="4" t="n">
        <f aca="false">Q246+N246+T246</f>
        <v>481.8</v>
      </c>
      <c r="X246" s="4" t="n">
        <f aca="false">'City Data'!K246</f>
        <v>65</v>
      </c>
      <c r="Y246" s="4" t="n">
        <f aca="false">'City Data'!L246</f>
        <v>150</v>
      </c>
      <c r="Z246" s="4" t="n">
        <f aca="false">'City Data'!M246</f>
        <v>420</v>
      </c>
      <c r="AA246" s="4" t="n">
        <f aca="false">U246-X246</f>
        <v>44.05</v>
      </c>
      <c r="AB246" s="4" t="n">
        <f aca="false">V246-Y246</f>
        <v>75.44</v>
      </c>
      <c r="AC246" s="4" t="n">
        <f aca="false">W246-Z246</f>
        <v>61.8</v>
      </c>
      <c r="AD246" s="4" t="str">
        <f aca="false">IF(OR(AND(X246&lt;&gt;0,ABS(AA246)&gt;Assumptions!$B$18*X246),AND(Y246&lt;&gt;0,ABS(AB246)&gt;Assumptions!$B$18*Y246),AND(Z246&lt;&gt;0,ABS(AC246)&gt;Assumptions!$B$18*Z246)),"REVIEW","")</f>
        <v>REVIEW</v>
      </c>
    </row>
    <row r="247" customFormat="false" ht="15" hidden="false" customHeight="false" outlineLevel="0" collapsed="false">
      <c r="A247" s="0" t="str">
        <f aca="false">'City Data'!A247</f>
        <v>Tarawa</v>
      </c>
      <c r="B247" s="4" t="n">
        <f aca="false">'City Data'!B247/Assumptions!$B$2</f>
        <v>22.5</v>
      </c>
      <c r="C247" s="4" t="n">
        <f aca="false">'City Data'!C247/Assumptions!$B$2</f>
        <v>45</v>
      </c>
      <c r="D247" s="4" t="n">
        <f aca="false">'City Data'!D247/Assumptions!$B$2</f>
        <v>75</v>
      </c>
      <c r="E247" s="4" t="n">
        <f aca="false">Assumptions!$B$3*Assumptions!$B$4*'City Data'!E247</f>
        <v>45</v>
      </c>
      <c r="F247" s="4" t="n">
        <f aca="false">Assumptions!$B$3*Assumptions!$B$5*'City Data'!E247</f>
        <v>81</v>
      </c>
      <c r="G247" s="4" t="n">
        <f aca="false">Assumptions!$B$3*Assumptions!$B$6*'City Data'!E247</f>
        <v>157.5</v>
      </c>
      <c r="H247" s="4" t="n">
        <f aca="false">Assumptions!$B$7*'City Data'!F247</f>
        <v>5</v>
      </c>
      <c r="I247" s="4" t="n">
        <f aca="false">Assumptions!$B$8*'City Data'!F247</f>
        <v>10</v>
      </c>
      <c r="J247" s="4" t="n">
        <f aca="false">Assumptions!$B$9*'City Data'!F247</f>
        <v>20</v>
      </c>
      <c r="K247" s="4" t="n">
        <f aca="false">'City Data'!G247+'City Data'!H247</f>
        <v>4.5</v>
      </c>
      <c r="L247" s="4" t="n">
        <f aca="false">IF(AND(Assumptions!$B$13,ISNUMBER('City Data'!I247)),Assumptions!$B$10*'City Data'!I247,0)</f>
        <v>5</v>
      </c>
      <c r="M247" s="4" t="n">
        <f aca="false">IF(AND(Assumptions!$B$13,ISNUMBER('City Data'!I247)),Assumptions!$B$11*'City Data'!I247,0)</f>
        <v>10</v>
      </c>
      <c r="N247" s="4" t="n">
        <f aca="false">IF(AND(Assumptions!$B$13,ISNUMBER('City Data'!I247)),Assumptions!$B$12*'City Data'!I247,0)</f>
        <v>15</v>
      </c>
      <c r="O247" s="4" t="n">
        <f aca="false">B247+E247+H247+K247</f>
        <v>77</v>
      </c>
      <c r="P247" s="4" t="n">
        <f aca="false">C247+F247+I247+K247</f>
        <v>140.5</v>
      </c>
      <c r="Q247" s="4" t="n">
        <f aca="false">D247+G247+J247+K247</f>
        <v>257</v>
      </c>
      <c r="R247" s="4" t="n">
        <f aca="false">IF(Assumptions!$B$14,Assumptions!$B$15*O247,0)</f>
        <v>7.7</v>
      </c>
      <c r="S247" s="4" t="n">
        <f aca="false">IF(Assumptions!$B$14,Assumptions!$B$16*P247,0)</f>
        <v>28.1</v>
      </c>
      <c r="T247" s="4" t="n">
        <f aca="false">IF(Assumptions!$B$14,Assumptions!$B$17*Q247,0)</f>
        <v>89.95</v>
      </c>
      <c r="U247" s="4" t="n">
        <f aca="false">O247+L247+R247</f>
        <v>89.7</v>
      </c>
      <c r="V247" s="4" t="n">
        <f aca="false">P247+M247+S247</f>
        <v>178.6</v>
      </c>
      <c r="W247" s="4" t="n">
        <f aca="false">Q247+N247+T247</f>
        <v>361.95</v>
      </c>
      <c r="X247" s="4" t="n">
        <f aca="false">'City Data'!K247</f>
        <v>50</v>
      </c>
      <c r="Y247" s="4" t="n">
        <f aca="false">'City Data'!L247</f>
        <v>120</v>
      </c>
      <c r="Z247" s="4" t="n">
        <f aca="false">'City Data'!M247</f>
        <v>335</v>
      </c>
      <c r="AA247" s="4" t="n">
        <f aca="false">U247-X247</f>
        <v>39.7</v>
      </c>
      <c r="AB247" s="4" t="n">
        <f aca="false">V247-Y247</f>
        <v>58.6</v>
      </c>
      <c r="AC247" s="4" t="n">
        <f aca="false">W247-Z247</f>
        <v>26.95</v>
      </c>
      <c r="AD247" s="4" t="str">
        <f aca="false">IF(OR(AND(X247&lt;&gt;0,ABS(AA247)&gt;Assumptions!$B$18*X247),AND(Y247&lt;&gt;0,ABS(AB247)&gt;Assumptions!$B$18*Y247),AND(Z247&lt;&gt;0,ABS(AC247)&gt;Assumptions!$B$18*Z247)),"REVIEW","")</f>
        <v>REVIEW</v>
      </c>
    </row>
    <row r="248" customFormat="false" ht="15" hidden="false" customHeight="false" outlineLevel="0" collapsed="false">
      <c r="A248" s="0" t="str">
        <f aca="false">'City Data'!A248</f>
        <v>Tashkent</v>
      </c>
      <c r="B248" s="4" t="n">
        <f aca="false">'City Data'!B248/Assumptions!$B$2</f>
        <v>7.5</v>
      </c>
      <c r="C248" s="4" t="n">
        <f aca="false">'City Data'!C248/Assumptions!$B$2</f>
        <v>35</v>
      </c>
      <c r="D248" s="4" t="n">
        <f aca="false">'City Data'!D248/Assumptions!$B$2</f>
        <v>125</v>
      </c>
      <c r="E248" s="4" t="n">
        <f aca="false">Assumptions!$B$3*Assumptions!$B$4*'City Data'!E248</f>
        <v>30</v>
      </c>
      <c r="F248" s="4" t="n">
        <f aca="false">Assumptions!$B$3*Assumptions!$B$5*'City Data'!E248</f>
        <v>54</v>
      </c>
      <c r="G248" s="4" t="n">
        <f aca="false">Assumptions!$B$3*Assumptions!$B$6*'City Data'!E248</f>
        <v>105</v>
      </c>
      <c r="H248" s="4" t="n">
        <f aca="false">Assumptions!$B$7*'City Data'!F248</f>
        <v>3</v>
      </c>
      <c r="I248" s="4" t="n">
        <f aca="false">Assumptions!$B$8*'City Data'!F248</f>
        <v>6</v>
      </c>
      <c r="J248" s="4" t="n">
        <f aca="false">Assumptions!$B$9*'City Data'!F248</f>
        <v>12</v>
      </c>
      <c r="K248" s="4" t="n">
        <f aca="false">'City Data'!G248+'City Data'!H248</f>
        <v>2.5</v>
      </c>
      <c r="L248" s="4" t="n">
        <f aca="false">IF(AND(Assumptions!$B$13,ISNUMBER('City Data'!I248)),Assumptions!$B$10*'City Data'!I248,0)</f>
        <v>2</v>
      </c>
      <c r="M248" s="4" t="n">
        <f aca="false">IF(AND(Assumptions!$B$13,ISNUMBER('City Data'!I248)),Assumptions!$B$11*'City Data'!I248,0)</f>
        <v>4</v>
      </c>
      <c r="N248" s="4" t="n">
        <f aca="false">IF(AND(Assumptions!$B$13,ISNUMBER('City Data'!I248)),Assumptions!$B$12*'City Data'!I248,0)</f>
        <v>6</v>
      </c>
      <c r="O248" s="4" t="n">
        <f aca="false">B248+E248+H248+K248</f>
        <v>43</v>
      </c>
      <c r="P248" s="4" t="n">
        <f aca="false">C248+F248+I248+K248</f>
        <v>97.5</v>
      </c>
      <c r="Q248" s="4" t="n">
        <f aca="false">D248+G248+J248+K248</f>
        <v>244.5</v>
      </c>
      <c r="R248" s="4" t="n">
        <f aca="false">IF(Assumptions!$B$14,Assumptions!$B$15*O248,0)</f>
        <v>4.3</v>
      </c>
      <c r="S248" s="4" t="n">
        <f aca="false">IF(Assumptions!$B$14,Assumptions!$B$16*P248,0)</f>
        <v>19.5</v>
      </c>
      <c r="T248" s="4" t="n">
        <f aca="false">IF(Assumptions!$B$14,Assumptions!$B$17*Q248,0)</f>
        <v>85.575</v>
      </c>
      <c r="U248" s="4" t="n">
        <f aca="false">O248+L248+R248</f>
        <v>49.3</v>
      </c>
      <c r="V248" s="4" t="n">
        <f aca="false">P248+M248+S248</f>
        <v>121</v>
      </c>
      <c r="W248" s="4" t="n">
        <f aca="false">Q248+N248+T248</f>
        <v>336.075</v>
      </c>
      <c r="X248" s="4" t="n">
        <f aca="false">'City Data'!K248</f>
        <v>35</v>
      </c>
      <c r="Y248" s="4" t="n">
        <f aca="false">'City Data'!L248</f>
        <v>95</v>
      </c>
      <c r="Z248" s="4" t="n">
        <f aca="false">'City Data'!M248</f>
        <v>295</v>
      </c>
      <c r="AA248" s="4" t="n">
        <f aca="false">U248-X248</f>
        <v>14.3</v>
      </c>
      <c r="AB248" s="4" t="n">
        <f aca="false">V248-Y248</f>
        <v>26</v>
      </c>
      <c r="AC248" s="4" t="n">
        <f aca="false">W248-Z248</f>
        <v>41.075</v>
      </c>
      <c r="AD248" s="4" t="str">
        <f aca="false">IF(OR(AND(X248&lt;&gt;0,ABS(AA248)&gt;Assumptions!$B$18*X248),AND(Y248&lt;&gt;0,ABS(AB248)&gt;Assumptions!$B$18*Y248),AND(Z248&lt;&gt;0,ABS(AC248)&gt;Assumptions!$B$18*Z248)),"REVIEW","")</f>
        <v>REVIEW</v>
      </c>
    </row>
    <row r="249" customFormat="false" ht="15" hidden="false" customHeight="false" outlineLevel="0" collapsed="false">
      <c r="A249" s="0" t="str">
        <f aca="false">'City Data'!A249</f>
        <v>Tbilisi</v>
      </c>
      <c r="B249" s="4" t="n">
        <f aca="false">'City Data'!B249/Assumptions!$B$2</f>
        <v>15</v>
      </c>
      <c r="C249" s="4" t="n">
        <f aca="false">'City Data'!C249/Assumptions!$B$2</f>
        <v>35</v>
      </c>
      <c r="D249" s="4" t="n">
        <f aca="false">'City Data'!D249/Assumptions!$B$2</f>
        <v>75</v>
      </c>
      <c r="E249" s="4" t="n">
        <f aca="false">Assumptions!$B$3*Assumptions!$B$4*'City Data'!E249</f>
        <v>36</v>
      </c>
      <c r="F249" s="4" t="n">
        <f aca="false">Assumptions!$B$3*Assumptions!$B$5*'City Data'!E249</f>
        <v>64.8</v>
      </c>
      <c r="G249" s="4" t="n">
        <f aca="false">Assumptions!$B$3*Assumptions!$B$6*'City Data'!E249</f>
        <v>126</v>
      </c>
      <c r="H249" s="4" t="n">
        <f aca="false">Assumptions!$B$7*'City Data'!F249</f>
        <v>8</v>
      </c>
      <c r="I249" s="4" t="n">
        <f aca="false">Assumptions!$B$8*'City Data'!F249</f>
        <v>16</v>
      </c>
      <c r="J249" s="4" t="n">
        <f aca="false">Assumptions!$B$9*'City Data'!F249</f>
        <v>32</v>
      </c>
      <c r="K249" s="4" t="n">
        <f aca="false">'City Data'!G249+'City Data'!H249</f>
        <v>2.3</v>
      </c>
      <c r="L249" s="4" t="n">
        <f aca="false">IF(AND(Assumptions!$B$13,ISNUMBER('City Data'!I249)),Assumptions!$B$10*'City Data'!I249,0)</f>
        <v>1.5</v>
      </c>
      <c r="M249" s="4" t="n">
        <f aca="false">IF(AND(Assumptions!$B$13,ISNUMBER('City Data'!I249)),Assumptions!$B$11*'City Data'!I249,0)</f>
        <v>3</v>
      </c>
      <c r="N249" s="4" t="n">
        <f aca="false">IF(AND(Assumptions!$B$13,ISNUMBER('City Data'!I249)),Assumptions!$B$12*'City Data'!I249,0)</f>
        <v>4.5</v>
      </c>
      <c r="O249" s="4" t="n">
        <f aca="false">B249+E249+H249+K249</f>
        <v>61.3</v>
      </c>
      <c r="P249" s="4" t="n">
        <f aca="false">C249+F249+I249+K249</f>
        <v>118.1</v>
      </c>
      <c r="Q249" s="4" t="n">
        <f aca="false">D249+G249+J249+K249</f>
        <v>235.3</v>
      </c>
      <c r="R249" s="4" t="n">
        <f aca="false">IF(Assumptions!$B$14,Assumptions!$B$15*O249,0)</f>
        <v>6.13</v>
      </c>
      <c r="S249" s="4" t="n">
        <f aca="false">IF(Assumptions!$B$14,Assumptions!$B$16*P249,0)</f>
        <v>23.62</v>
      </c>
      <c r="T249" s="4" t="n">
        <f aca="false">IF(Assumptions!$B$14,Assumptions!$B$17*Q249,0)</f>
        <v>82.355</v>
      </c>
      <c r="U249" s="4" t="n">
        <f aca="false">O249+L249+R249</f>
        <v>68.93</v>
      </c>
      <c r="V249" s="4" t="n">
        <f aca="false">P249+M249+S249</f>
        <v>144.72</v>
      </c>
      <c r="W249" s="4" t="n">
        <f aca="false">Q249+N249+T249</f>
        <v>322.155</v>
      </c>
      <c r="X249" s="4" t="n">
        <f aca="false">'City Data'!K249</f>
        <v>35</v>
      </c>
      <c r="Y249" s="4" t="n">
        <f aca="false">'City Data'!L249</f>
        <v>85</v>
      </c>
      <c r="Z249" s="4" t="n">
        <f aca="false">'City Data'!M249</f>
        <v>260</v>
      </c>
      <c r="AA249" s="4" t="n">
        <f aca="false">U249-X249</f>
        <v>33.93</v>
      </c>
      <c r="AB249" s="4" t="n">
        <f aca="false">V249-Y249</f>
        <v>59.72</v>
      </c>
      <c r="AC249" s="4" t="n">
        <f aca="false">W249-Z249</f>
        <v>62.155</v>
      </c>
      <c r="AD249" s="4" t="str">
        <f aca="false">IF(OR(AND(X249&lt;&gt;0,ABS(AA249)&gt;Assumptions!$B$18*X249),AND(Y249&lt;&gt;0,ABS(AB249)&gt;Assumptions!$B$18*Y249),AND(Z249&lt;&gt;0,ABS(AC249)&gt;Assumptions!$B$18*Z249)),"REVIEW","")</f>
        <v>REVIEW</v>
      </c>
    </row>
    <row r="250" customFormat="false" ht="15" hidden="false" customHeight="false" outlineLevel="0" collapsed="false">
      <c r="A250" s="0" t="str">
        <f aca="false">'City Data'!A250</f>
        <v>Tegucigalpa</v>
      </c>
      <c r="B250" s="4" t="n">
        <f aca="false">'City Data'!B250/Assumptions!$B$2</f>
        <v>9</v>
      </c>
      <c r="C250" s="4" t="n">
        <f aca="false">'City Data'!C250/Assumptions!$B$2</f>
        <v>37.5</v>
      </c>
      <c r="D250" s="4" t="n">
        <f aca="false">'City Data'!D250/Assumptions!$B$2</f>
        <v>75</v>
      </c>
      <c r="E250" s="4" t="n">
        <f aca="false">Assumptions!$B$3*Assumptions!$B$4*'City Data'!E250</f>
        <v>30</v>
      </c>
      <c r="F250" s="4" t="n">
        <f aca="false">Assumptions!$B$3*Assumptions!$B$5*'City Data'!E250</f>
        <v>54</v>
      </c>
      <c r="G250" s="4" t="n">
        <f aca="false">Assumptions!$B$3*Assumptions!$B$6*'City Data'!E250</f>
        <v>105</v>
      </c>
      <c r="H250" s="4" t="n">
        <f aca="false">Assumptions!$B$7*'City Data'!F250</f>
        <v>5</v>
      </c>
      <c r="I250" s="4" t="n">
        <f aca="false">Assumptions!$B$8*'City Data'!F250</f>
        <v>10</v>
      </c>
      <c r="J250" s="4" t="n">
        <f aca="false">Assumptions!$B$9*'City Data'!F250</f>
        <v>20</v>
      </c>
      <c r="K250" s="4" t="n">
        <f aca="false">'City Data'!G250+'City Data'!H250</f>
        <v>3.5</v>
      </c>
      <c r="L250" s="4" t="n">
        <f aca="false">IF(AND(Assumptions!$B$13,ISNUMBER('City Data'!I250)),Assumptions!$B$10*'City Data'!I250,0)</f>
        <v>2.5</v>
      </c>
      <c r="M250" s="4" t="n">
        <f aca="false">IF(AND(Assumptions!$B$13,ISNUMBER('City Data'!I250)),Assumptions!$B$11*'City Data'!I250,0)</f>
        <v>5</v>
      </c>
      <c r="N250" s="4" t="n">
        <f aca="false">IF(AND(Assumptions!$B$13,ISNUMBER('City Data'!I250)),Assumptions!$B$12*'City Data'!I250,0)</f>
        <v>7.5</v>
      </c>
      <c r="O250" s="4" t="n">
        <f aca="false">B250+E250+H250+K250</f>
        <v>47.5</v>
      </c>
      <c r="P250" s="4" t="n">
        <f aca="false">C250+F250+I250+K250</f>
        <v>105</v>
      </c>
      <c r="Q250" s="4" t="n">
        <f aca="false">D250+G250+J250+K250</f>
        <v>203.5</v>
      </c>
      <c r="R250" s="4" t="n">
        <f aca="false">IF(Assumptions!$B$14,Assumptions!$B$15*O250,0)</f>
        <v>4.75</v>
      </c>
      <c r="S250" s="4" t="n">
        <f aca="false">IF(Assumptions!$B$14,Assumptions!$B$16*P250,0)</f>
        <v>21</v>
      </c>
      <c r="T250" s="4" t="n">
        <f aca="false">IF(Assumptions!$B$14,Assumptions!$B$17*Q250,0)</f>
        <v>71.225</v>
      </c>
      <c r="U250" s="4" t="n">
        <f aca="false">O250+L250+R250</f>
        <v>54.75</v>
      </c>
      <c r="V250" s="4" t="n">
        <f aca="false">P250+M250+S250</f>
        <v>131</v>
      </c>
      <c r="W250" s="4" t="n">
        <f aca="false">Q250+N250+T250</f>
        <v>282.225</v>
      </c>
      <c r="X250" s="4" t="n">
        <f aca="false">'City Data'!K250</f>
        <v>35</v>
      </c>
      <c r="Y250" s="4" t="n">
        <f aca="false">'City Data'!L250</f>
        <v>85</v>
      </c>
      <c r="Z250" s="4" t="n">
        <f aca="false">'City Data'!M250</f>
        <v>255</v>
      </c>
      <c r="AA250" s="4" t="n">
        <f aca="false">U250-X250</f>
        <v>19.75</v>
      </c>
      <c r="AB250" s="4" t="n">
        <f aca="false">V250-Y250</f>
        <v>46</v>
      </c>
      <c r="AC250" s="4" t="n">
        <f aca="false">W250-Z250</f>
        <v>27.225</v>
      </c>
      <c r="AD250" s="4" t="str">
        <f aca="false">IF(OR(AND(X250&lt;&gt;0,ABS(AA250)&gt;Assumptions!$B$18*X250),AND(Y250&lt;&gt;0,ABS(AB250)&gt;Assumptions!$B$18*Y250),AND(Z250&lt;&gt;0,ABS(AC250)&gt;Assumptions!$B$18*Z250)),"REVIEW","")</f>
        <v>REVIEW</v>
      </c>
    </row>
    <row r="251" customFormat="false" ht="15" hidden="false" customHeight="false" outlineLevel="0" collapsed="false">
      <c r="A251" s="0" t="str">
        <f aca="false">'City Data'!A251</f>
        <v>Tehran</v>
      </c>
      <c r="B251" s="4" t="n">
        <f aca="false">'City Data'!B251/Assumptions!$B$2</f>
        <v>11</v>
      </c>
      <c r="C251" s="4" t="n">
        <f aca="false">'City Data'!C251/Assumptions!$B$2</f>
        <v>27.5</v>
      </c>
      <c r="D251" s="4" t="n">
        <f aca="false">'City Data'!D251/Assumptions!$B$2</f>
        <v>90</v>
      </c>
      <c r="E251" s="4" t="n">
        <f aca="false">Assumptions!$B$3*Assumptions!$B$4*'City Data'!E251</f>
        <v>27</v>
      </c>
      <c r="F251" s="4" t="n">
        <f aca="false">Assumptions!$B$3*Assumptions!$B$5*'City Data'!E251</f>
        <v>48.6</v>
      </c>
      <c r="G251" s="4" t="n">
        <f aca="false">Assumptions!$B$3*Assumptions!$B$6*'City Data'!E251</f>
        <v>94.5</v>
      </c>
      <c r="H251" s="4" t="n">
        <f aca="false">Assumptions!$B$7*'City Data'!F251</f>
        <v>4</v>
      </c>
      <c r="I251" s="4" t="n">
        <f aca="false">Assumptions!$B$8*'City Data'!F251</f>
        <v>8</v>
      </c>
      <c r="J251" s="4" t="n">
        <f aca="false">Assumptions!$B$9*'City Data'!F251</f>
        <v>16</v>
      </c>
      <c r="K251" s="4" t="n">
        <f aca="false">'City Data'!G251+'City Data'!H251</f>
        <v>3.5</v>
      </c>
      <c r="L251" s="4" t="n">
        <f aca="false">IF(AND(Assumptions!$B$13,ISNUMBER('City Data'!I251)),Assumptions!$B$10*'City Data'!I251,0)</f>
        <v>0</v>
      </c>
      <c r="M251" s="4" t="n">
        <f aca="false">IF(AND(Assumptions!$B$13,ISNUMBER('City Data'!I251)),Assumptions!$B$11*'City Data'!I251,0)</f>
        <v>0</v>
      </c>
      <c r="N251" s="4" t="n">
        <f aca="false">IF(AND(Assumptions!$B$13,ISNUMBER('City Data'!I251)),Assumptions!$B$12*'City Data'!I251,0)</f>
        <v>0</v>
      </c>
      <c r="O251" s="4" t="n">
        <f aca="false">B251+E251+H251+K251</f>
        <v>45.5</v>
      </c>
      <c r="P251" s="4" t="n">
        <f aca="false">C251+F251+I251+K251</f>
        <v>87.6</v>
      </c>
      <c r="Q251" s="4" t="n">
        <f aca="false">D251+G251+J251+K251</f>
        <v>204</v>
      </c>
      <c r="R251" s="4" t="n">
        <f aca="false">IF(Assumptions!$B$14,Assumptions!$B$15*O251,0)</f>
        <v>4.55</v>
      </c>
      <c r="S251" s="4" t="n">
        <f aca="false">IF(Assumptions!$B$14,Assumptions!$B$16*P251,0)</f>
        <v>17.52</v>
      </c>
      <c r="T251" s="4" t="n">
        <f aca="false">IF(Assumptions!$B$14,Assumptions!$B$17*Q251,0)</f>
        <v>71.4</v>
      </c>
      <c r="U251" s="4" t="n">
        <f aca="false">O251+L251+R251</f>
        <v>50.05</v>
      </c>
      <c r="V251" s="4" t="n">
        <f aca="false">P251+M251+S251</f>
        <v>105.12</v>
      </c>
      <c r="W251" s="4" t="n">
        <f aca="false">Q251+N251+T251</f>
        <v>275.4</v>
      </c>
      <c r="X251" s="4" t="n">
        <f aca="false">'City Data'!K251</f>
        <v>35</v>
      </c>
      <c r="Y251" s="4" t="n">
        <f aca="false">'City Data'!L251</f>
        <v>90</v>
      </c>
      <c r="Z251" s="4" t="n">
        <f aca="false">'City Data'!M251</f>
        <v>265</v>
      </c>
      <c r="AA251" s="4" t="n">
        <f aca="false">U251-X251</f>
        <v>15.05</v>
      </c>
      <c r="AB251" s="4" t="n">
        <f aca="false">V251-Y251</f>
        <v>15.12</v>
      </c>
      <c r="AC251" s="4" t="n">
        <f aca="false">W251-Z251</f>
        <v>10.4</v>
      </c>
      <c r="AD251" s="4" t="str">
        <f aca="false">IF(OR(AND(X251&lt;&gt;0,ABS(AA251)&gt;Assumptions!$B$18*X251),AND(Y251&lt;&gt;0,ABS(AB251)&gt;Assumptions!$B$18*Y251),AND(Z251&lt;&gt;0,ABS(AC251)&gt;Assumptions!$B$18*Z251)),"REVIEW","")</f>
        <v>REVIEW</v>
      </c>
    </row>
    <row r="252" customFormat="false" ht="15" hidden="false" customHeight="false" outlineLevel="0" collapsed="false">
      <c r="A252" s="0" t="str">
        <f aca="false">'City Data'!A252</f>
        <v>Tel Aviv</v>
      </c>
      <c r="B252" s="4" t="n">
        <f aca="false">'City Data'!B252/Assumptions!$B$2</f>
        <v>55</v>
      </c>
      <c r="C252" s="4" t="n">
        <f aca="false">'City Data'!C252/Assumptions!$B$2</f>
        <v>110</v>
      </c>
      <c r="D252" s="4" t="n">
        <f aca="false">'City Data'!D252/Assumptions!$B$2</f>
        <v>250</v>
      </c>
      <c r="E252" s="4" t="n">
        <f aca="false">Assumptions!$B$3*Assumptions!$B$4*'City Data'!E252</f>
        <v>105</v>
      </c>
      <c r="F252" s="4" t="n">
        <f aca="false">Assumptions!$B$3*Assumptions!$B$5*'City Data'!E252</f>
        <v>189</v>
      </c>
      <c r="G252" s="4" t="n">
        <f aca="false">Assumptions!$B$3*Assumptions!$B$6*'City Data'!E252</f>
        <v>367.5</v>
      </c>
      <c r="H252" s="4" t="n">
        <f aca="false">Assumptions!$B$7*'City Data'!F252</f>
        <v>25</v>
      </c>
      <c r="I252" s="4" t="n">
        <f aca="false">Assumptions!$B$8*'City Data'!F252</f>
        <v>50</v>
      </c>
      <c r="J252" s="4" t="n">
        <f aca="false">Assumptions!$B$9*'City Data'!F252</f>
        <v>100</v>
      </c>
      <c r="K252" s="4" t="n">
        <f aca="false">'City Data'!G252+'City Data'!H252</f>
        <v>5</v>
      </c>
      <c r="L252" s="4" t="n">
        <f aca="false">IF(AND(Assumptions!$B$13,ISNUMBER('City Data'!I252)),Assumptions!$B$10*'City Data'!I252,0)</f>
        <v>7</v>
      </c>
      <c r="M252" s="4" t="n">
        <f aca="false">IF(AND(Assumptions!$B$13,ISNUMBER('City Data'!I252)),Assumptions!$B$11*'City Data'!I252,0)</f>
        <v>14</v>
      </c>
      <c r="N252" s="4" t="n">
        <f aca="false">IF(AND(Assumptions!$B$13,ISNUMBER('City Data'!I252)),Assumptions!$B$12*'City Data'!I252,0)</f>
        <v>21</v>
      </c>
      <c r="O252" s="4" t="n">
        <f aca="false">B252+E252+H252+K252</f>
        <v>190</v>
      </c>
      <c r="P252" s="4" t="n">
        <f aca="false">C252+F252+I252+K252</f>
        <v>354</v>
      </c>
      <c r="Q252" s="4" t="n">
        <f aca="false">D252+G252+J252+K252</f>
        <v>722.5</v>
      </c>
      <c r="R252" s="4" t="n">
        <f aca="false">IF(Assumptions!$B$14,Assumptions!$B$15*O252,0)</f>
        <v>19</v>
      </c>
      <c r="S252" s="4" t="n">
        <f aca="false">IF(Assumptions!$B$14,Assumptions!$B$16*P252,0)</f>
        <v>70.8</v>
      </c>
      <c r="T252" s="4" t="n">
        <f aca="false">IF(Assumptions!$B$14,Assumptions!$B$17*Q252,0)</f>
        <v>252.875</v>
      </c>
      <c r="U252" s="4" t="n">
        <f aca="false">O252+L252+R252</f>
        <v>216</v>
      </c>
      <c r="V252" s="4" t="n">
        <f aca="false">P252+M252+S252</f>
        <v>438.8</v>
      </c>
      <c r="W252" s="4" t="n">
        <f aca="false">Q252+N252+T252</f>
        <v>996.375</v>
      </c>
      <c r="X252" s="4" t="n">
        <f aca="false">'City Data'!K252</f>
        <v>110</v>
      </c>
      <c r="Y252" s="4" t="n">
        <f aca="false">'City Data'!L252</f>
        <v>260</v>
      </c>
      <c r="Z252" s="4" t="n">
        <f aca="false">'City Data'!M252</f>
        <v>750</v>
      </c>
      <c r="AA252" s="4" t="n">
        <f aca="false">U252-X252</f>
        <v>106</v>
      </c>
      <c r="AB252" s="4" t="n">
        <f aca="false">V252-Y252</f>
        <v>178.8</v>
      </c>
      <c r="AC252" s="4" t="n">
        <f aca="false">W252-Z252</f>
        <v>246.375</v>
      </c>
      <c r="AD252" s="4" t="str">
        <f aca="false">IF(OR(AND(X252&lt;&gt;0,ABS(AA252)&gt;Assumptions!$B$18*X252),AND(Y252&lt;&gt;0,ABS(AB252)&gt;Assumptions!$B$18*Y252),AND(Z252&lt;&gt;0,ABS(AC252)&gt;Assumptions!$B$18*Z252)),"REVIEW","")</f>
        <v>REVIEW</v>
      </c>
    </row>
    <row r="253" customFormat="false" ht="15" hidden="false" customHeight="false" outlineLevel="0" collapsed="false">
      <c r="A253" s="0" t="str">
        <f aca="false">'City Data'!A253</f>
        <v>Thessaloniki</v>
      </c>
      <c r="B253" s="4" t="n">
        <f aca="false">'City Data'!B253/Assumptions!$B$2</f>
        <v>22.5</v>
      </c>
      <c r="C253" s="4" t="n">
        <f aca="false">'City Data'!C253/Assumptions!$B$2</f>
        <v>45</v>
      </c>
      <c r="D253" s="4" t="n">
        <f aca="false">'City Data'!D253/Assumptions!$B$2</f>
        <v>90</v>
      </c>
      <c r="E253" s="4" t="n">
        <f aca="false">Assumptions!$B$3*Assumptions!$B$4*'City Data'!E253</f>
        <v>54</v>
      </c>
      <c r="F253" s="4" t="n">
        <f aca="false">Assumptions!$B$3*Assumptions!$B$5*'City Data'!E253</f>
        <v>97.2</v>
      </c>
      <c r="G253" s="4" t="n">
        <f aca="false">Assumptions!$B$3*Assumptions!$B$6*'City Data'!E253</f>
        <v>189</v>
      </c>
      <c r="H253" s="4" t="n">
        <f aca="false">Assumptions!$B$7*'City Data'!F253</f>
        <v>15</v>
      </c>
      <c r="I253" s="4" t="n">
        <f aca="false">Assumptions!$B$8*'City Data'!F253</f>
        <v>30</v>
      </c>
      <c r="J253" s="4" t="n">
        <f aca="false">Assumptions!$B$9*'City Data'!F253</f>
        <v>60</v>
      </c>
      <c r="K253" s="4" t="n">
        <f aca="false">'City Data'!G253+'City Data'!H253</f>
        <v>3.5</v>
      </c>
      <c r="L253" s="4" t="n">
        <f aca="false">IF(AND(Assumptions!$B$13,ISNUMBER('City Data'!I253)),Assumptions!$B$10*'City Data'!I253,0)</f>
        <v>4</v>
      </c>
      <c r="M253" s="4" t="n">
        <f aca="false">IF(AND(Assumptions!$B$13,ISNUMBER('City Data'!I253)),Assumptions!$B$11*'City Data'!I253,0)</f>
        <v>8</v>
      </c>
      <c r="N253" s="4" t="n">
        <f aca="false">IF(AND(Assumptions!$B$13,ISNUMBER('City Data'!I253)),Assumptions!$B$12*'City Data'!I253,0)</f>
        <v>12</v>
      </c>
      <c r="O253" s="4" t="n">
        <f aca="false">B253+E253+H253+K253</f>
        <v>95</v>
      </c>
      <c r="P253" s="4" t="n">
        <f aca="false">C253+F253+I253+K253</f>
        <v>175.7</v>
      </c>
      <c r="Q253" s="4" t="n">
        <f aca="false">D253+G253+J253+K253</f>
        <v>342.5</v>
      </c>
      <c r="R253" s="4" t="n">
        <f aca="false">IF(Assumptions!$B$14,Assumptions!$B$15*O253,0)</f>
        <v>9.5</v>
      </c>
      <c r="S253" s="4" t="n">
        <f aca="false">IF(Assumptions!$B$14,Assumptions!$B$16*P253,0)</f>
        <v>35.14</v>
      </c>
      <c r="T253" s="4" t="n">
        <f aca="false">IF(Assumptions!$B$14,Assumptions!$B$17*Q253,0)</f>
        <v>119.875</v>
      </c>
      <c r="U253" s="4" t="n">
        <f aca="false">O253+L253+R253</f>
        <v>108.5</v>
      </c>
      <c r="V253" s="4" t="n">
        <f aca="false">P253+M253+S253</f>
        <v>218.84</v>
      </c>
      <c r="W253" s="4" t="n">
        <f aca="false">Q253+N253+T253</f>
        <v>474.375</v>
      </c>
      <c r="X253" s="4" t="n">
        <f aca="false">'City Data'!K253</f>
        <v>55</v>
      </c>
      <c r="Y253" s="4" t="n">
        <f aca="false">'City Data'!L253</f>
        <v>130</v>
      </c>
      <c r="Z253" s="4" t="n">
        <f aca="false">'City Data'!M253</f>
        <v>370</v>
      </c>
      <c r="AA253" s="4" t="n">
        <f aca="false">U253-X253</f>
        <v>53.5</v>
      </c>
      <c r="AB253" s="4" t="n">
        <f aca="false">V253-Y253</f>
        <v>88.84</v>
      </c>
      <c r="AC253" s="4" t="n">
        <f aca="false">W253-Z253</f>
        <v>104.375</v>
      </c>
      <c r="AD253" s="4" t="str">
        <f aca="false">IF(OR(AND(X253&lt;&gt;0,ABS(AA253)&gt;Assumptions!$B$18*X253),AND(Y253&lt;&gt;0,ABS(AB253)&gt;Assumptions!$B$18*Y253),AND(Z253&lt;&gt;0,ABS(AC253)&gt;Assumptions!$B$18*Z253)),"REVIEW","")</f>
        <v>REVIEW</v>
      </c>
    </row>
    <row r="254" customFormat="false" ht="15" hidden="false" customHeight="false" outlineLevel="0" collapsed="false">
      <c r="A254" s="0" t="str">
        <f aca="false">'City Data'!A254</f>
        <v>Thimphu</v>
      </c>
      <c r="B254" s="4" t="n">
        <f aca="false">'City Data'!B254/Assumptions!$B$2</f>
        <v>12.5</v>
      </c>
      <c r="C254" s="4" t="n">
        <f aca="false">'City Data'!C254/Assumptions!$B$2</f>
        <v>45</v>
      </c>
      <c r="D254" s="4" t="n">
        <f aca="false">'City Data'!D254/Assumptions!$B$2</f>
        <v>175</v>
      </c>
      <c r="E254" s="4" t="n">
        <f aca="false">Assumptions!$B$3*Assumptions!$B$4*'City Data'!E254</f>
        <v>36</v>
      </c>
      <c r="F254" s="4" t="n">
        <f aca="false">Assumptions!$B$3*Assumptions!$B$5*'City Data'!E254</f>
        <v>64.8</v>
      </c>
      <c r="G254" s="4" t="n">
        <f aca="false">Assumptions!$B$3*Assumptions!$B$6*'City Data'!E254</f>
        <v>126</v>
      </c>
      <c r="H254" s="4" t="n">
        <f aca="false">Assumptions!$B$7*'City Data'!F254</f>
        <v>4</v>
      </c>
      <c r="I254" s="4" t="n">
        <f aca="false">Assumptions!$B$8*'City Data'!F254</f>
        <v>8</v>
      </c>
      <c r="J254" s="4" t="n">
        <f aca="false">Assumptions!$B$9*'City Data'!F254</f>
        <v>16</v>
      </c>
      <c r="K254" s="4" t="n">
        <f aca="false">'City Data'!G254+'City Data'!H254</f>
        <v>3.6</v>
      </c>
      <c r="L254" s="4" t="n">
        <f aca="false">IF(AND(Assumptions!$B$13,ISNUMBER('City Data'!I254)),Assumptions!$B$10*'City Data'!I254,0)</f>
        <v>4</v>
      </c>
      <c r="M254" s="4" t="n">
        <f aca="false">IF(AND(Assumptions!$B$13,ISNUMBER('City Data'!I254)),Assumptions!$B$11*'City Data'!I254,0)</f>
        <v>8</v>
      </c>
      <c r="N254" s="4" t="n">
        <f aca="false">IF(AND(Assumptions!$B$13,ISNUMBER('City Data'!I254)),Assumptions!$B$12*'City Data'!I254,0)</f>
        <v>12</v>
      </c>
      <c r="O254" s="4" t="n">
        <f aca="false">B254+E254+H254+K254</f>
        <v>56.1</v>
      </c>
      <c r="P254" s="4" t="n">
        <f aca="false">C254+F254+I254+K254</f>
        <v>121.4</v>
      </c>
      <c r="Q254" s="4" t="n">
        <f aca="false">D254+G254+J254+K254</f>
        <v>320.6</v>
      </c>
      <c r="R254" s="4" t="n">
        <f aca="false">IF(Assumptions!$B$14,Assumptions!$B$15*O254,0)</f>
        <v>5.61</v>
      </c>
      <c r="S254" s="4" t="n">
        <f aca="false">IF(Assumptions!$B$14,Assumptions!$B$16*P254,0)</f>
        <v>24.28</v>
      </c>
      <c r="T254" s="4" t="n">
        <f aca="false">IF(Assumptions!$B$14,Assumptions!$B$17*Q254,0)</f>
        <v>112.21</v>
      </c>
      <c r="U254" s="4" t="n">
        <f aca="false">O254+L254+R254</f>
        <v>65.71</v>
      </c>
      <c r="V254" s="4" t="n">
        <f aca="false">P254+M254+S254</f>
        <v>153.68</v>
      </c>
      <c r="W254" s="4" t="n">
        <f aca="false">Q254+N254+T254</f>
        <v>444.81</v>
      </c>
      <c r="X254" s="4" t="n">
        <f aca="false">'City Data'!K254</f>
        <v>45</v>
      </c>
      <c r="Y254" s="4" t="n">
        <f aca="false">'City Data'!L254</f>
        <v>115</v>
      </c>
      <c r="Z254" s="4" t="n">
        <f aca="false">'City Data'!M254</f>
        <v>370</v>
      </c>
      <c r="AA254" s="4" t="n">
        <f aca="false">U254-X254</f>
        <v>20.71</v>
      </c>
      <c r="AB254" s="4" t="n">
        <f aca="false">V254-Y254</f>
        <v>38.68</v>
      </c>
      <c r="AC254" s="4" t="n">
        <f aca="false">W254-Z254</f>
        <v>74.81</v>
      </c>
      <c r="AD254" s="4" t="str">
        <f aca="false">IF(OR(AND(X254&lt;&gt;0,ABS(AA254)&gt;Assumptions!$B$18*X254),AND(Y254&lt;&gt;0,ABS(AB254)&gt;Assumptions!$B$18*Y254),AND(Z254&lt;&gt;0,ABS(AC254)&gt;Assumptions!$B$18*Z254)),"REVIEW","")</f>
        <v>REVIEW</v>
      </c>
    </row>
    <row r="255" customFormat="false" ht="15" hidden="false" customHeight="false" outlineLevel="0" collapsed="false">
      <c r="A255" s="0" t="str">
        <f aca="false">'City Data'!A255</f>
        <v>Tianjin</v>
      </c>
      <c r="B255" s="4" t="n">
        <f aca="false">'City Data'!B255/Assumptions!$B$2</f>
        <v>10</v>
      </c>
      <c r="C255" s="4" t="n">
        <f aca="false">'City Data'!C255/Assumptions!$B$2</f>
        <v>27.5</v>
      </c>
      <c r="D255" s="4" t="n">
        <f aca="false">'City Data'!D255/Assumptions!$B$2</f>
        <v>65</v>
      </c>
      <c r="E255" s="4" t="n">
        <f aca="false">Assumptions!$B$3*Assumptions!$B$4*'City Data'!E255</f>
        <v>18</v>
      </c>
      <c r="F255" s="4" t="n">
        <f aca="false">Assumptions!$B$3*Assumptions!$B$5*'City Data'!E255</f>
        <v>32.4</v>
      </c>
      <c r="G255" s="4" t="n">
        <f aca="false">Assumptions!$B$3*Assumptions!$B$6*'City Data'!E255</f>
        <v>63</v>
      </c>
      <c r="H255" s="4" t="n">
        <f aca="false">Assumptions!$B$7*'City Data'!F255</f>
        <v>3</v>
      </c>
      <c r="I255" s="4" t="n">
        <f aca="false">Assumptions!$B$8*'City Data'!F255</f>
        <v>6</v>
      </c>
      <c r="J255" s="4" t="n">
        <f aca="false">Assumptions!$B$9*'City Data'!F255</f>
        <v>12</v>
      </c>
      <c r="K255" s="4" t="n">
        <f aca="false">'City Data'!G255+'City Data'!H255</f>
        <v>4.4</v>
      </c>
      <c r="L255" s="4" t="n">
        <f aca="false">IF(AND(Assumptions!$B$13,ISNUMBER('City Data'!I255)),Assumptions!$B$10*'City Data'!I255,0)</f>
        <v>2</v>
      </c>
      <c r="M255" s="4" t="n">
        <f aca="false">IF(AND(Assumptions!$B$13,ISNUMBER('City Data'!I255)),Assumptions!$B$11*'City Data'!I255,0)</f>
        <v>4</v>
      </c>
      <c r="N255" s="4" t="n">
        <f aca="false">IF(AND(Assumptions!$B$13,ISNUMBER('City Data'!I255)),Assumptions!$B$12*'City Data'!I255,0)</f>
        <v>6</v>
      </c>
      <c r="O255" s="4" t="n">
        <f aca="false">B255+E255+H255+K255</f>
        <v>35.4</v>
      </c>
      <c r="P255" s="4" t="n">
        <f aca="false">C255+F255+I255+K255</f>
        <v>70.3</v>
      </c>
      <c r="Q255" s="4" t="n">
        <f aca="false">D255+G255+J255+K255</f>
        <v>144.4</v>
      </c>
      <c r="R255" s="4" t="n">
        <f aca="false">IF(Assumptions!$B$14,Assumptions!$B$15*O255,0)</f>
        <v>3.54</v>
      </c>
      <c r="S255" s="4" t="n">
        <f aca="false">IF(Assumptions!$B$14,Assumptions!$B$16*P255,0)</f>
        <v>14.06</v>
      </c>
      <c r="T255" s="4" t="n">
        <f aca="false">IF(Assumptions!$B$14,Assumptions!$B$17*Q255,0)</f>
        <v>50.54</v>
      </c>
      <c r="U255" s="4" t="n">
        <f aca="false">O255+L255+R255</f>
        <v>40.94</v>
      </c>
      <c r="V255" s="4" t="n">
        <f aca="false">P255+M255+S255</f>
        <v>88.36</v>
      </c>
      <c r="W255" s="4" t="n">
        <f aca="false">Q255+N255+T255</f>
        <v>200.94</v>
      </c>
      <c r="X255" s="4" t="n">
        <f aca="false">'City Data'!K255</f>
        <v>30</v>
      </c>
      <c r="Y255" s="4" t="n">
        <f aca="false">'City Data'!L255</f>
        <v>75</v>
      </c>
      <c r="Z255" s="4" t="n">
        <f aca="false">'City Data'!M255</f>
        <v>220</v>
      </c>
      <c r="AA255" s="4" t="n">
        <f aca="false">U255-X255</f>
        <v>10.94</v>
      </c>
      <c r="AB255" s="4" t="n">
        <f aca="false">V255-Y255</f>
        <v>13.36</v>
      </c>
      <c r="AC255" s="4" t="n">
        <f aca="false">W255-Z255</f>
        <v>-19.06</v>
      </c>
      <c r="AD255" s="4" t="str">
        <f aca="false">IF(OR(AND(X255&lt;&gt;0,ABS(AA255)&gt;Assumptions!$B$18*X255),AND(Y255&lt;&gt;0,ABS(AB255)&gt;Assumptions!$B$18*Y255),AND(Z255&lt;&gt;0,ABS(AC255)&gt;Assumptions!$B$18*Z255)),"REVIEW","")</f>
        <v>REVIEW</v>
      </c>
    </row>
    <row r="256" customFormat="false" ht="15" hidden="false" customHeight="false" outlineLevel="0" collapsed="false">
      <c r="A256" s="0" t="str">
        <f aca="false">'City Data'!A256</f>
        <v>Tianshui</v>
      </c>
      <c r="B256" s="4" t="n">
        <f aca="false">'City Data'!B256/Assumptions!$B$2</f>
        <v>9</v>
      </c>
      <c r="C256" s="4" t="n">
        <f aca="false">'City Data'!C256/Assumptions!$B$2</f>
        <v>20</v>
      </c>
      <c r="D256" s="4" t="n">
        <f aca="false">'City Data'!D256/Assumptions!$B$2</f>
        <v>35</v>
      </c>
      <c r="E256" s="4" t="n">
        <f aca="false">Assumptions!$B$3*Assumptions!$B$4*'City Data'!E256</f>
        <v>18</v>
      </c>
      <c r="F256" s="4" t="n">
        <f aca="false">Assumptions!$B$3*Assumptions!$B$5*'City Data'!E256</f>
        <v>32.4</v>
      </c>
      <c r="G256" s="4" t="n">
        <f aca="false">Assumptions!$B$3*Assumptions!$B$6*'City Data'!E256</f>
        <v>63</v>
      </c>
      <c r="H256" s="4" t="n">
        <f aca="false">Assumptions!$B$7*'City Data'!F256</f>
        <v>3</v>
      </c>
      <c r="I256" s="4" t="n">
        <f aca="false">Assumptions!$B$8*'City Data'!F256</f>
        <v>6</v>
      </c>
      <c r="J256" s="4" t="n">
        <f aca="false">Assumptions!$B$9*'City Data'!F256</f>
        <v>12</v>
      </c>
      <c r="K256" s="4" t="n">
        <f aca="false">'City Data'!G256+'City Data'!H256</f>
        <v>3.4</v>
      </c>
      <c r="L256" s="4" t="n">
        <f aca="false">IF(AND(Assumptions!$B$13,ISNUMBER('City Data'!I256)),Assumptions!$B$10*'City Data'!I256,0)</f>
        <v>1.5</v>
      </c>
      <c r="M256" s="4" t="n">
        <f aca="false">IF(AND(Assumptions!$B$13,ISNUMBER('City Data'!I256)),Assumptions!$B$11*'City Data'!I256,0)</f>
        <v>3</v>
      </c>
      <c r="N256" s="4" t="n">
        <f aca="false">IF(AND(Assumptions!$B$13,ISNUMBER('City Data'!I256)),Assumptions!$B$12*'City Data'!I256,0)</f>
        <v>4.5</v>
      </c>
      <c r="O256" s="4" t="n">
        <f aca="false">B256+E256+H256+K256</f>
        <v>33.4</v>
      </c>
      <c r="P256" s="4" t="n">
        <f aca="false">C256+F256+I256+K256</f>
        <v>61.8</v>
      </c>
      <c r="Q256" s="4" t="n">
        <f aca="false">D256+G256+J256+K256</f>
        <v>113.4</v>
      </c>
      <c r="R256" s="4" t="n">
        <f aca="false">IF(Assumptions!$B$14,Assumptions!$B$15*O256,0)</f>
        <v>3.34</v>
      </c>
      <c r="S256" s="4" t="n">
        <f aca="false">IF(Assumptions!$B$14,Assumptions!$B$16*P256,0)</f>
        <v>12.36</v>
      </c>
      <c r="T256" s="4" t="n">
        <f aca="false">IF(Assumptions!$B$14,Assumptions!$B$17*Q256,0)</f>
        <v>39.69</v>
      </c>
      <c r="U256" s="4" t="n">
        <f aca="false">O256+L256+R256</f>
        <v>38.24</v>
      </c>
      <c r="V256" s="4" t="n">
        <f aca="false">P256+M256+S256</f>
        <v>77.16</v>
      </c>
      <c r="W256" s="4" t="n">
        <f aca="false">Q256+N256+T256</f>
        <v>157.59</v>
      </c>
      <c r="X256" s="4" t="n">
        <f aca="false">'City Data'!K256</f>
        <v>25</v>
      </c>
      <c r="Y256" s="4" t="n">
        <f aca="false">'City Data'!L256</f>
        <v>60</v>
      </c>
      <c r="Z256" s="4" t="n">
        <f aca="false">'City Data'!M256</f>
        <v>160</v>
      </c>
      <c r="AA256" s="4" t="n">
        <f aca="false">U256-X256</f>
        <v>13.24</v>
      </c>
      <c r="AB256" s="4" t="n">
        <f aca="false">V256-Y256</f>
        <v>17.16</v>
      </c>
      <c r="AC256" s="4" t="n">
        <f aca="false">W256-Z256</f>
        <v>-2.41</v>
      </c>
      <c r="AD256" s="4" t="str">
        <f aca="false">IF(OR(AND(X256&lt;&gt;0,ABS(AA256)&gt;Assumptions!$B$18*X256),AND(Y256&lt;&gt;0,ABS(AB256)&gt;Assumptions!$B$18*Y256),AND(Z256&lt;&gt;0,ABS(AC256)&gt;Assumptions!$B$18*Z256)),"REVIEW","")</f>
        <v>REVIEW</v>
      </c>
    </row>
    <row r="257" customFormat="false" ht="15" hidden="false" customHeight="false" outlineLevel="0" collapsed="false">
      <c r="A257" s="0" t="str">
        <f aca="false">'City Data'!A257</f>
        <v>Tirana</v>
      </c>
      <c r="B257" s="4" t="n">
        <f aca="false">'City Data'!B257/Assumptions!$B$2</f>
        <v>12.5</v>
      </c>
      <c r="C257" s="4" t="n">
        <f aca="false">'City Data'!C257/Assumptions!$B$2</f>
        <v>32.5</v>
      </c>
      <c r="D257" s="4" t="n">
        <f aca="false">'City Data'!D257/Assumptions!$B$2</f>
        <v>75</v>
      </c>
      <c r="E257" s="4" t="n">
        <f aca="false">Assumptions!$B$3*Assumptions!$B$4*'City Data'!E257</f>
        <v>24</v>
      </c>
      <c r="F257" s="4" t="n">
        <f aca="false">Assumptions!$B$3*Assumptions!$B$5*'City Data'!E257</f>
        <v>43.2</v>
      </c>
      <c r="G257" s="4" t="n">
        <f aca="false">Assumptions!$B$3*Assumptions!$B$6*'City Data'!E257</f>
        <v>84</v>
      </c>
      <c r="H257" s="4" t="n">
        <f aca="false">Assumptions!$B$7*'City Data'!F257</f>
        <v>4</v>
      </c>
      <c r="I257" s="4" t="n">
        <f aca="false">Assumptions!$B$8*'City Data'!F257</f>
        <v>8</v>
      </c>
      <c r="J257" s="4" t="n">
        <f aca="false">Assumptions!$B$9*'City Data'!F257</f>
        <v>16</v>
      </c>
      <c r="K257" s="4" t="n">
        <f aca="false">'City Data'!G257+'City Data'!H257</f>
        <v>2</v>
      </c>
      <c r="L257" s="4" t="n">
        <f aca="false">IF(AND(Assumptions!$B$13,ISNUMBER('City Data'!I257)),Assumptions!$B$10*'City Data'!I257,0)</f>
        <v>2.5</v>
      </c>
      <c r="M257" s="4" t="n">
        <f aca="false">IF(AND(Assumptions!$B$13,ISNUMBER('City Data'!I257)),Assumptions!$B$11*'City Data'!I257,0)</f>
        <v>5</v>
      </c>
      <c r="N257" s="4" t="n">
        <f aca="false">IF(AND(Assumptions!$B$13,ISNUMBER('City Data'!I257)),Assumptions!$B$12*'City Data'!I257,0)</f>
        <v>7.5</v>
      </c>
      <c r="O257" s="4" t="n">
        <f aca="false">B257+E257+H257+K257</f>
        <v>42.5</v>
      </c>
      <c r="P257" s="4" t="n">
        <f aca="false">C257+F257+I257+K257</f>
        <v>85.7</v>
      </c>
      <c r="Q257" s="4" t="n">
        <f aca="false">D257+G257+J257+K257</f>
        <v>177</v>
      </c>
      <c r="R257" s="4" t="n">
        <f aca="false">IF(Assumptions!$B$14,Assumptions!$B$15*O257,0)</f>
        <v>4.25</v>
      </c>
      <c r="S257" s="4" t="n">
        <f aca="false">IF(Assumptions!$B$14,Assumptions!$B$16*P257,0)</f>
        <v>17.14</v>
      </c>
      <c r="T257" s="4" t="n">
        <f aca="false">IF(Assumptions!$B$14,Assumptions!$B$17*Q257,0)</f>
        <v>61.95</v>
      </c>
      <c r="U257" s="4" t="n">
        <f aca="false">O257+L257+R257</f>
        <v>49.25</v>
      </c>
      <c r="V257" s="4" t="n">
        <f aca="false">P257+M257+S257</f>
        <v>107.84</v>
      </c>
      <c r="W257" s="4" t="n">
        <f aca="false">Q257+N257+T257</f>
        <v>246.45</v>
      </c>
      <c r="X257" s="4" t="n">
        <f aca="false">'City Data'!K257</f>
        <v>35</v>
      </c>
      <c r="Y257" s="4" t="n">
        <f aca="false">'City Data'!L257</f>
        <v>85</v>
      </c>
      <c r="Z257" s="4" t="n">
        <f aca="false">'City Data'!M257</f>
        <v>250</v>
      </c>
      <c r="AA257" s="4" t="n">
        <f aca="false">U257-X257</f>
        <v>14.25</v>
      </c>
      <c r="AB257" s="4" t="n">
        <f aca="false">V257-Y257</f>
        <v>22.84</v>
      </c>
      <c r="AC257" s="4" t="n">
        <f aca="false">W257-Z257</f>
        <v>-3.55000000000001</v>
      </c>
      <c r="AD257" s="4" t="str">
        <f aca="false">IF(OR(AND(X257&lt;&gt;0,ABS(AA257)&gt;Assumptions!$B$18*X257),AND(Y257&lt;&gt;0,ABS(AB257)&gt;Assumptions!$B$18*Y257),AND(Z257&lt;&gt;0,ABS(AC257)&gt;Assumptions!$B$18*Z257)),"REVIEW","")</f>
        <v>REVIEW</v>
      </c>
    </row>
    <row r="258" customFormat="false" ht="15" hidden="false" customHeight="false" outlineLevel="0" collapsed="false">
      <c r="A258" s="0" t="str">
        <f aca="false">'City Data'!A258</f>
        <v>Tokyo</v>
      </c>
      <c r="B258" s="4" t="n">
        <f aca="false">'City Data'!B258/Assumptions!$B$2</f>
        <v>25</v>
      </c>
      <c r="C258" s="4" t="n">
        <f aca="false">'City Data'!C258/Assumptions!$B$2</f>
        <v>55</v>
      </c>
      <c r="D258" s="4" t="n">
        <f aca="false">'City Data'!D258/Assumptions!$B$2</f>
        <v>150</v>
      </c>
      <c r="E258" s="4" t="n">
        <f aca="false">Assumptions!$B$3*Assumptions!$B$4*'City Data'!E258</f>
        <v>45</v>
      </c>
      <c r="F258" s="4" t="n">
        <f aca="false">Assumptions!$B$3*Assumptions!$B$5*'City Data'!E258</f>
        <v>81</v>
      </c>
      <c r="G258" s="4" t="n">
        <f aca="false">Assumptions!$B$3*Assumptions!$B$6*'City Data'!E258</f>
        <v>157.5</v>
      </c>
      <c r="H258" s="4" t="n">
        <f aca="false">Assumptions!$B$7*'City Data'!F258</f>
        <v>25</v>
      </c>
      <c r="I258" s="4" t="n">
        <f aca="false">Assumptions!$B$8*'City Data'!F258</f>
        <v>50</v>
      </c>
      <c r="J258" s="4" t="n">
        <f aca="false">Assumptions!$B$9*'City Data'!F258</f>
        <v>100</v>
      </c>
      <c r="K258" s="4" t="n">
        <f aca="false">'City Data'!G258+'City Data'!H258</f>
        <v>4.5</v>
      </c>
      <c r="L258" s="4" t="n">
        <f aca="false">IF(AND(Assumptions!$B$13,ISNUMBER('City Data'!I258)),Assumptions!$B$10*'City Data'!I258,0)</f>
        <v>5</v>
      </c>
      <c r="M258" s="4" t="n">
        <f aca="false">IF(AND(Assumptions!$B$13,ISNUMBER('City Data'!I258)),Assumptions!$B$11*'City Data'!I258,0)</f>
        <v>10</v>
      </c>
      <c r="N258" s="4" t="n">
        <f aca="false">IF(AND(Assumptions!$B$13,ISNUMBER('City Data'!I258)),Assumptions!$B$12*'City Data'!I258,0)</f>
        <v>15</v>
      </c>
      <c r="O258" s="4" t="n">
        <f aca="false">B258+E258+H258+K258</f>
        <v>99.5</v>
      </c>
      <c r="P258" s="4" t="n">
        <f aca="false">C258+F258+I258+K258</f>
        <v>190.5</v>
      </c>
      <c r="Q258" s="4" t="n">
        <f aca="false">D258+G258+J258+K258</f>
        <v>412</v>
      </c>
      <c r="R258" s="4" t="n">
        <f aca="false">IF(Assumptions!$B$14,Assumptions!$B$15*O258,0)</f>
        <v>9.95</v>
      </c>
      <c r="S258" s="4" t="n">
        <f aca="false">IF(Assumptions!$B$14,Assumptions!$B$16*P258,0)</f>
        <v>38.1</v>
      </c>
      <c r="T258" s="4" t="n">
        <f aca="false">IF(Assumptions!$B$14,Assumptions!$B$17*Q258,0)</f>
        <v>144.2</v>
      </c>
      <c r="U258" s="4" t="n">
        <f aca="false">O258+L258+R258</f>
        <v>114.45</v>
      </c>
      <c r="V258" s="4" t="n">
        <f aca="false">P258+M258+S258</f>
        <v>238.6</v>
      </c>
      <c r="W258" s="4" t="n">
        <f aca="false">Q258+N258+T258</f>
        <v>571.2</v>
      </c>
      <c r="X258" s="4" t="n">
        <f aca="false">'City Data'!K258</f>
        <v>70</v>
      </c>
      <c r="Y258" s="4" t="n">
        <f aca="false">'City Data'!L258</f>
        <v>165</v>
      </c>
      <c r="Z258" s="4" t="n">
        <f aca="false">'City Data'!M258</f>
        <v>450</v>
      </c>
      <c r="AA258" s="4" t="n">
        <f aca="false">U258-X258</f>
        <v>44.45</v>
      </c>
      <c r="AB258" s="4" t="n">
        <f aca="false">V258-Y258</f>
        <v>73.6</v>
      </c>
      <c r="AC258" s="4" t="n">
        <f aca="false">W258-Z258</f>
        <v>121.2</v>
      </c>
      <c r="AD258" s="4" t="str">
        <f aca="false">IF(OR(AND(X258&lt;&gt;0,ABS(AA258)&gt;Assumptions!$B$18*X258),AND(Y258&lt;&gt;0,ABS(AB258)&gt;Assumptions!$B$18*Y258),AND(Z258&lt;&gt;0,ABS(AC258)&gt;Assumptions!$B$18*Z258)),"REVIEW","")</f>
        <v>REVIEW</v>
      </c>
    </row>
    <row r="259" customFormat="false" ht="15" hidden="false" customHeight="false" outlineLevel="0" collapsed="false">
      <c r="A259" s="0" t="str">
        <f aca="false">'City Data'!A259</f>
        <v>Toronto</v>
      </c>
      <c r="B259" s="4" t="n">
        <f aca="false">'City Data'!B259/Assumptions!$B$2</f>
        <v>40</v>
      </c>
      <c r="C259" s="4" t="n">
        <f aca="false">'City Data'!C259/Assumptions!$B$2</f>
        <v>75</v>
      </c>
      <c r="D259" s="4" t="n">
        <f aca="false">'City Data'!D259/Assumptions!$B$2</f>
        <v>160</v>
      </c>
      <c r="E259" s="4" t="n">
        <f aca="false">Assumptions!$B$3*Assumptions!$B$4*'City Data'!E259</f>
        <v>66</v>
      </c>
      <c r="F259" s="4" t="n">
        <f aca="false">Assumptions!$B$3*Assumptions!$B$5*'City Data'!E259</f>
        <v>118.8</v>
      </c>
      <c r="G259" s="4" t="n">
        <f aca="false">Assumptions!$B$3*Assumptions!$B$6*'City Data'!E259</f>
        <v>231</v>
      </c>
      <c r="H259" s="4" t="n">
        <f aca="false">Assumptions!$B$7*'City Data'!F259</f>
        <v>28</v>
      </c>
      <c r="I259" s="4" t="n">
        <f aca="false">Assumptions!$B$8*'City Data'!F259</f>
        <v>56</v>
      </c>
      <c r="J259" s="4" t="n">
        <f aca="false">Assumptions!$B$9*'City Data'!F259</f>
        <v>112</v>
      </c>
      <c r="K259" s="4" t="n">
        <f aca="false">'City Data'!G259+'City Data'!H259</f>
        <v>5.5</v>
      </c>
      <c r="L259" s="4" t="n">
        <f aca="false">IF(AND(Assumptions!$B$13,ISNUMBER('City Data'!I259)),Assumptions!$B$10*'City Data'!I259,0)</f>
        <v>6.5</v>
      </c>
      <c r="M259" s="4" t="n">
        <f aca="false">IF(AND(Assumptions!$B$13,ISNUMBER('City Data'!I259)),Assumptions!$B$11*'City Data'!I259,0)</f>
        <v>13</v>
      </c>
      <c r="N259" s="4" t="n">
        <f aca="false">IF(AND(Assumptions!$B$13,ISNUMBER('City Data'!I259)),Assumptions!$B$12*'City Data'!I259,0)</f>
        <v>19.5</v>
      </c>
      <c r="O259" s="4" t="n">
        <f aca="false">B259+E259+H259+K259</f>
        <v>139.5</v>
      </c>
      <c r="P259" s="4" t="n">
        <f aca="false">C259+F259+I259+K259</f>
        <v>255.3</v>
      </c>
      <c r="Q259" s="4" t="n">
        <f aca="false">D259+G259+J259+K259</f>
        <v>508.5</v>
      </c>
      <c r="R259" s="4" t="n">
        <f aca="false">IF(Assumptions!$B$14,Assumptions!$B$15*O259,0)</f>
        <v>13.95</v>
      </c>
      <c r="S259" s="4" t="n">
        <f aca="false">IF(Assumptions!$B$14,Assumptions!$B$16*P259,0)</f>
        <v>51.06</v>
      </c>
      <c r="T259" s="4" t="n">
        <f aca="false">IF(Assumptions!$B$14,Assumptions!$B$17*Q259,0)</f>
        <v>177.975</v>
      </c>
      <c r="U259" s="4" t="n">
        <f aca="false">O259+L259+R259</f>
        <v>159.95</v>
      </c>
      <c r="V259" s="4" t="n">
        <f aca="false">P259+M259+S259</f>
        <v>319.36</v>
      </c>
      <c r="W259" s="4" t="n">
        <f aca="false">Q259+N259+T259</f>
        <v>705.975</v>
      </c>
      <c r="X259" s="4" t="n">
        <f aca="false">'City Data'!K259</f>
        <v>85</v>
      </c>
      <c r="Y259" s="4" t="n">
        <f aca="false">'City Data'!L259</f>
        <v>210</v>
      </c>
      <c r="Z259" s="4" t="n">
        <f aca="false">'City Data'!M259</f>
        <v>570</v>
      </c>
      <c r="AA259" s="4" t="n">
        <f aca="false">U259-X259</f>
        <v>74.95</v>
      </c>
      <c r="AB259" s="4" t="n">
        <f aca="false">V259-Y259</f>
        <v>109.36</v>
      </c>
      <c r="AC259" s="4" t="n">
        <f aca="false">W259-Z259</f>
        <v>135.975</v>
      </c>
      <c r="AD259" s="4" t="str">
        <f aca="false">IF(OR(AND(X259&lt;&gt;0,ABS(AA259)&gt;Assumptions!$B$18*X259),AND(Y259&lt;&gt;0,ABS(AB259)&gt;Assumptions!$B$18*Y259),AND(Z259&lt;&gt;0,ABS(AC259)&gt;Assumptions!$B$18*Z259)),"REVIEW","")</f>
        <v>REVIEW</v>
      </c>
    </row>
    <row r="260" customFormat="false" ht="15" hidden="false" customHeight="false" outlineLevel="0" collapsed="false">
      <c r="A260" s="0" t="str">
        <f aca="false">'City Data'!A260</f>
        <v>Tripoli</v>
      </c>
      <c r="B260" s="4" t="n">
        <f aca="false">'City Data'!B260/Assumptions!$B$2</f>
        <v>25</v>
      </c>
      <c r="C260" s="4" t="n">
        <f aca="false">'City Data'!C260/Assumptions!$B$2</f>
        <v>65</v>
      </c>
      <c r="D260" s="4" t="n">
        <f aca="false">'City Data'!D260/Assumptions!$B$2</f>
        <v>140</v>
      </c>
      <c r="E260" s="4" t="n">
        <f aca="false">Assumptions!$B$3*Assumptions!$B$4*'City Data'!E260</f>
        <v>30</v>
      </c>
      <c r="F260" s="4" t="n">
        <f aca="false">Assumptions!$B$3*Assumptions!$B$5*'City Data'!E260</f>
        <v>54</v>
      </c>
      <c r="G260" s="4" t="n">
        <f aca="false">Assumptions!$B$3*Assumptions!$B$6*'City Data'!E260</f>
        <v>105</v>
      </c>
      <c r="H260" s="4" t="n">
        <f aca="false">Assumptions!$B$7*'City Data'!F260</f>
        <v>5</v>
      </c>
      <c r="I260" s="4" t="n">
        <f aca="false">Assumptions!$B$8*'City Data'!F260</f>
        <v>10</v>
      </c>
      <c r="J260" s="4" t="n">
        <f aca="false">Assumptions!$B$9*'City Data'!F260</f>
        <v>20</v>
      </c>
      <c r="K260" s="4" t="n">
        <f aca="false">'City Data'!G260+'City Data'!H260</f>
        <v>1.8</v>
      </c>
      <c r="L260" s="4" t="n">
        <f aca="false">IF(AND(Assumptions!$B$13,ISNUMBER('City Data'!I260)),Assumptions!$B$10*'City Data'!I260,0)</f>
        <v>0</v>
      </c>
      <c r="M260" s="4" t="n">
        <f aca="false">IF(AND(Assumptions!$B$13,ISNUMBER('City Data'!I260)),Assumptions!$B$11*'City Data'!I260,0)</f>
        <v>0</v>
      </c>
      <c r="N260" s="4" t="n">
        <f aca="false">IF(AND(Assumptions!$B$13,ISNUMBER('City Data'!I260)),Assumptions!$B$12*'City Data'!I260,0)</f>
        <v>0</v>
      </c>
      <c r="O260" s="4" t="n">
        <f aca="false">B260+E260+H260+K260</f>
        <v>61.8</v>
      </c>
      <c r="P260" s="4" t="n">
        <f aca="false">C260+F260+I260+K260</f>
        <v>130.8</v>
      </c>
      <c r="Q260" s="4" t="n">
        <f aca="false">D260+G260+J260+K260</f>
        <v>266.8</v>
      </c>
      <c r="R260" s="4" t="n">
        <f aca="false">IF(Assumptions!$B$14,Assumptions!$B$15*O260,0)</f>
        <v>6.18</v>
      </c>
      <c r="S260" s="4" t="n">
        <f aca="false">IF(Assumptions!$B$14,Assumptions!$B$16*P260,0)</f>
        <v>26.16</v>
      </c>
      <c r="T260" s="4" t="n">
        <f aca="false">IF(Assumptions!$B$14,Assumptions!$B$17*Q260,0)</f>
        <v>93.38</v>
      </c>
      <c r="U260" s="4" t="n">
        <f aca="false">O260+L260+R260</f>
        <v>67.98</v>
      </c>
      <c r="V260" s="4" t="n">
        <f aca="false">P260+M260+S260</f>
        <v>156.96</v>
      </c>
      <c r="W260" s="4" t="n">
        <f aca="false">Q260+N260+T260</f>
        <v>360.18</v>
      </c>
      <c r="X260" s="4" t="n">
        <f aca="false">'City Data'!K260</f>
        <v>50</v>
      </c>
      <c r="Y260" s="4" t="n">
        <f aca="false">'City Data'!L260</f>
        <v>125</v>
      </c>
      <c r="Z260" s="4" t="n">
        <f aca="false">'City Data'!M260</f>
        <v>360</v>
      </c>
      <c r="AA260" s="4" t="n">
        <f aca="false">U260-X260</f>
        <v>17.98</v>
      </c>
      <c r="AB260" s="4" t="n">
        <f aca="false">V260-Y260</f>
        <v>31.96</v>
      </c>
      <c r="AC260" s="4" t="n">
        <f aca="false">W260-Z260</f>
        <v>0.180000000000007</v>
      </c>
      <c r="AD260" s="4" t="str">
        <f aca="false">IF(OR(AND(X260&lt;&gt;0,ABS(AA260)&gt;Assumptions!$B$18*X260),AND(Y260&lt;&gt;0,ABS(AB260)&gt;Assumptions!$B$18*Y260),AND(Z260&lt;&gt;0,ABS(AC260)&gt;Assumptions!$B$18*Z260)),"REVIEW","")</f>
        <v>REVIEW</v>
      </c>
    </row>
    <row r="261" customFormat="false" ht="15" hidden="false" customHeight="false" outlineLevel="0" collapsed="false">
      <c r="A261" s="0" t="str">
        <f aca="false">'City Data'!A261</f>
        <v>Tunis</v>
      </c>
      <c r="B261" s="4" t="n">
        <f aca="false">'City Data'!B261/Assumptions!$B$2</f>
        <v>15</v>
      </c>
      <c r="C261" s="4" t="n">
        <f aca="false">'City Data'!C261/Assumptions!$B$2</f>
        <v>37.5</v>
      </c>
      <c r="D261" s="4" t="n">
        <f aca="false">'City Data'!D261/Assumptions!$B$2</f>
        <v>160</v>
      </c>
      <c r="E261" s="4" t="n">
        <f aca="false">Assumptions!$B$3*Assumptions!$B$4*'City Data'!E261</f>
        <v>36</v>
      </c>
      <c r="F261" s="4" t="n">
        <f aca="false">Assumptions!$B$3*Assumptions!$B$5*'City Data'!E261</f>
        <v>64.8</v>
      </c>
      <c r="G261" s="4" t="n">
        <f aca="false">Assumptions!$B$3*Assumptions!$B$6*'City Data'!E261</f>
        <v>126</v>
      </c>
      <c r="H261" s="4" t="n">
        <f aca="false">Assumptions!$B$7*'City Data'!F261</f>
        <v>4</v>
      </c>
      <c r="I261" s="4" t="n">
        <f aca="false">Assumptions!$B$8*'City Data'!F261</f>
        <v>8</v>
      </c>
      <c r="J261" s="4" t="n">
        <f aca="false">Assumptions!$B$9*'City Data'!F261</f>
        <v>16</v>
      </c>
      <c r="K261" s="4" t="n">
        <f aca="false">'City Data'!G261+'City Data'!H261</f>
        <v>1.4</v>
      </c>
      <c r="L261" s="4" t="n">
        <f aca="false">IF(AND(Assumptions!$B$13,ISNUMBER('City Data'!I261)),Assumptions!$B$10*'City Data'!I261,0)</f>
        <v>1.7</v>
      </c>
      <c r="M261" s="4" t="n">
        <f aca="false">IF(AND(Assumptions!$B$13,ISNUMBER('City Data'!I261)),Assumptions!$B$11*'City Data'!I261,0)</f>
        <v>3.4</v>
      </c>
      <c r="N261" s="4" t="n">
        <f aca="false">IF(AND(Assumptions!$B$13,ISNUMBER('City Data'!I261)),Assumptions!$B$12*'City Data'!I261,0)</f>
        <v>5.1</v>
      </c>
      <c r="O261" s="4" t="n">
        <f aca="false">B261+E261+H261+K261</f>
        <v>56.4</v>
      </c>
      <c r="P261" s="4" t="n">
        <f aca="false">C261+F261+I261+K261</f>
        <v>111.7</v>
      </c>
      <c r="Q261" s="4" t="n">
        <f aca="false">D261+G261+J261+K261</f>
        <v>303.4</v>
      </c>
      <c r="R261" s="4" t="n">
        <f aca="false">IF(Assumptions!$B$14,Assumptions!$B$15*O261,0)</f>
        <v>5.64</v>
      </c>
      <c r="S261" s="4" t="n">
        <f aca="false">IF(Assumptions!$B$14,Assumptions!$B$16*P261,0)</f>
        <v>22.34</v>
      </c>
      <c r="T261" s="4" t="n">
        <f aca="false">IF(Assumptions!$B$14,Assumptions!$B$17*Q261,0)</f>
        <v>106.19</v>
      </c>
      <c r="U261" s="4" t="n">
        <f aca="false">O261+L261+R261</f>
        <v>63.74</v>
      </c>
      <c r="V261" s="4" t="n">
        <f aca="false">P261+M261+S261</f>
        <v>137.44</v>
      </c>
      <c r="W261" s="4" t="n">
        <f aca="false">Q261+N261+T261</f>
        <v>414.69</v>
      </c>
      <c r="X261" s="4" t="n">
        <f aca="false">'City Data'!K261</f>
        <v>45</v>
      </c>
      <c r="Y261" s="4" t="n">
        <f aca="false">'City Data'!L261</f>
        <v>115</v>
      </c>
      <c r="Z261" s="4" t="n">
        <f aca="false">'City Data'!M261</f>
        <v>365</v>
      </c>
      <c r="AA261" s="4" t="n">
        <f aca="false">U261-X261</f>
        <v>18.74</v>
      </c>
      <c r="AB261" s="4" t="n">
        <f aca="false">V261-Y261</f>
        <v>22.44</v>
      </c>
      <c r="AC261" s="4" t="n">
        <f aca="false">W261-Z261</f>
        <v>49.69</v>
      </c>
      <c r="AD261" s="4" t="str">
        <f aca="false">IF(OR(AND(X261&lt;&gt;0,ABS(AA261)&gt;Assumptions!$B$18*X261),AND(Y261&lt;&gt;0,ABS(AB261)&gt;Assumptions!$B$18*Y261),AND(Z261&lt;&gt;0,ABS(AC261)&gt;Assumptions!$B$18*Z261)),"REVIEW","")</f>
        <v>REVIEW</v>
      </c>
    </row>
    <row r="262" customFormat="false" ht="15" hidden="false" customHeight="false" outlineLevel="0" collapsed="false">
      <c r="A262" s="0" t="str">
        <f aca="false">'City Data'!A262</f>
        <v>Ulaanbaatar</v>
      </c>
      <c r="B262" s="4" t="n">
        <f aca="false">'City Data'!B262/Assumptions!$B$2</f>
        <v>12.5</v>
      </c>
      <c r="C262" s="4" t="n">
        <f aca="false">'City Data'!C262/Assumptions!$B$2</f>
        <v>35</v>
      </c>
      <c r="D262" s="4" t="n">
        <f aca="false">'City Data'!D262/Assumptions!$B$2</f>
        <v>90</v>
      </c>
      <c r="E262" s="4" t="n">
        <f aca="false">Assumptions!$B$3*Assumptions!$B$4*'City Data'!E262</f>
        <v>24</v>
      </c>
      <c r="F262" s="4" t="n">
        <f aca="false">Assumptions!$B$3*Assumptions!$B$5*'City Data'!E262</f>
        <v>43.2</v>
      </c>
      <c r="G262" s="4" t="n">
        <f aca="false">Assumptions!$B$3*Assumptions!$B$6*'City Data'!E262</f>
        <v>84</v>
      </c>
      <c r="H262" s="4" t="n">
        <f aca="false">Assumptions!$B$7*'City Data'!F262</f>
        <v>4</v>
      </c>
      <c r="I262" s="4" t="n">
        <f aca="false">Assumptions!$B$8*'City Data'!F262</f>
        <v>8</v>
      </c>
      <c r="J262" s="4" t="n">
        <f aca="false">Assumptions!$B$9*'City Data'!F262</f>
        <v>16</v>
      </c>
      <c r="K262" s="4" t="n">
        <f aca="false">'City Data'!G262+'City Data'!H262</f>
        <v>3.6</v>
      </c>
      <c r="L262" s="4" t="n">
        <f aca="false">IF(AND(Assumptions!$B$13,ISNUMBER('City Data'!I262)),Assumptions!$B$10*'City Data'!I262,0)</f>
        <v>3</v>
      </c>
      <c r="M262" s="4" t="n">
        <f aca="false">IF(AND(Assumptions!$B$13,ISNUMBER('City Data'!I262)),Assumptions!$B$11*'City Data'!I262,0)</f>
        <v>6</v>
      </c>
      <c r="N262" s="4" t="n">
        <f aca="false">IF(AND(Assumptions!$B$13,ISNUMBER('City Data'!I262)),Assumptions!$B$12*'City Data'!I262,0)</f>
        <v>9</v>
      </c>
      <c r="O262" s="4" t="n">
        <f aca="false">B262+E262+H262+K262</f>
        <v>44.1</v>
      </c>
      <c r="P262" s="4" t="n">
        <f aca="false">C262+F262+I262+K262</f>
        <v>89.8</v>
      </c>
      <c r="Q262" s="4" t="n">
        <f aca="false">D262+G262+J262+K262</f>
        <v>193.6</v>
      </c>
      <c r="R262" s="4" t="n">
        <f aca="false">IF(Assumptions!$B$14,Assumptions!$B$15*O262,0)</f>
        <v>4.41</v>
      </c>
      <c r="S262" s="4" t="n">
        <f aca="false">IF(Assumptions!$B$14,Assumptions!$B$16*P262,0)</f>
        <v>17.96</v>
      </c>
      <c r="T262" s="4" t="n">
        <f aca="false">IF(Assumptions!$B$14,Assumptions!$B$17*Q262,0)</f>
        <v>67.76</v>
      </c>
      <c r="U262" s="4" t="n">
        <f aca="false">O262+L262+R262</f>
        <v>51.51</v>
      </c>
      <c r="V262" s="4" t="n">
        <f aca="false">P262+M262+S262</f>
        <v>113.76</v>
      </c>
      <c r="W262" s="4" t="n">
        <f aca="false">Q262+N262+T262</f>
        <v>270.36</v>
      </c>
      <c r="X262" s="4" t="n">
        <f aca="false">'City Data'!K262</f>
        <v>35</v>
      </c>
      <c r="Y262" s="4" t="n">
        <f aca="false">'City Data'!L262</f>
        <v>90</v>
      </c>
      <c r="Z262" s="4" t="n">
        <f aca="false">'City Data'!M262</f>
        <v>265</v>
      </c>
      <c r="AA262" s="4" t="n">
        <f aca="false">U262-X262</f>
        <v>16.51</v>
      </c>
      <c r="AB262" s="4" t="n">
        <f aca="false">V262-Y262</f>
        <v>23.76</v>
      </c>
      <c r="AC262" s="4" t="n">
        <f aca="false">W262-Z262</f>
        <v>5.36000000000001</v>
      </c>
      <c r="AD262" s="4" t="str">
        <f aca="false">IF(OR(AND(X262&lt;&gt;0,ABS(AA262)&gt;Assumptions!$B$18*X262),AND(Y262&lt;&gt;0,ABS(AB262)&gt;Assumptions!$B$18*Y262),AND(Z262&lt;&gt;0,ABS(AC262)&gt;Assumptions!$B$18*Z262)),"REVIEW","")</f>
        <v>REVIEW</v>
      </c>
    </row>
    <row r="263" customFormat="false" ht="15" hidden="false" customHeight="false" outlineLevel="0" collapsed="false">
      <c r="A263" s="0" t="str">
        <f aca="false">'City Data'!A263</f>
        <v>Vaduz</v>
      </c>
      <c r="B263" s="4" t="n">
        <f aca="false">'City Data'!B263/Assumptions!$B$2</f>
        <v>45</v>
      </c>
      <c r="C263" s="4" t="n">
        <f aca="false">'City Data'!C263/Assumptions!$B$2</f>
        <v>95</v>
      </c>
      <c r="D263" s="4" t="n">
        <f aca="false">'City Data'!D263/Assumptions!$B$2</f>
        <v>150</v>
      </c>
      <c r="E263" s="4" t="n">
        <f aca="false">Assumptions!$B$3*Assumptions!$B$4*'City Data'!E263</f>
        <v>90</v>
      </c>
      <c r="F263" s="4" t="n">
        <f aca="false">Assumptions!$B$3*Assumptions!$B$5*'City Data'!E263</f>
        <v>162</v>
      </c>
      <c r="G263" s="4" t="n">
        <f aca="false">Assumptions!$B$3*Assumptions!$B$6*'City Data'!E263</f>
        <v>315</v>
      </c>
      <c r="H263" s="4" t="n">
        <f aca="false">Assumptions!$B$7*'City Data'!F263</f>
        <v>25</v>
      </c>
      <c r="I263" s="4" t="n">
        <f aca="false">Assumptions!$B$8*'City Data'!F263</f>
        <v>50</v>
      </c>
      <c r="J263" s="4" t="n">
        <f aca="false">Assumptions!$B$9*'City Data'!F263</f>
        <v>100</v>
      </c>
      <c r="K263" s="4" t="n">
        <f aca="false">'City Data'!G263+'City Data'!H263</f>
        <v>7.5</v>
      </c>
      <c r="L263" s="4" t="n">
        <f aca="false">IF(AND(Assumptions!$B$13,ISNUMBER('City Data'!I263)),Assumptions!$B$10*'City Data'!I263,0)</f>
        <v>6.5</v>
      </c>
      <c r="M263" s="4" t="n">
        <f aca="false">IF(AND(Assumptions!$B$13,ISNUMBER('City Data'!I263)),Assumptions!$B$11*'City Data'!I263,0)</f>
        <v>13</v>
      </c>
      <c r="N263" s="4" t="n">
        <f aca="false">IF(AND(Assumptions!$B$13,ISNUMBER('City Data'!I263)),Assumptions!$B$12*'City Data'!I263,0)</f>
        <v>19.5</v>
      </c>
      <c r="O263" s="4" t="n">
        <f aca="false">B263+E263+H263+K263</f>
        <v>167.5</v>
      </c>
      <c r="P263" s="4" t="n">
        <f aca="false">C263+F263+I263+K263</f>
        <v>314.5</v>
      </c>
      <c r="Q263" s="4" t="n">
        <f aca="false">D263+G263+J263+K263</f>
        <v>572.5</v>
      </c>
      <c r="R263" s="4" t="n">
        <f aca="false">IF(Assumptions!$B$14,Assumptions!$B$15*O263,0)</f>
        <v>16.75</v>
      </c>
      <c r="S263" s="4" t="n">
        <f aca="false">IF(Assumptions!$B$14,Assumptions!$B$16*P263,0)</f>
        <v>62.9</v>
      </c>
      <c r="T263" s="4" t="n">
        <f aca="false">IF(Assumptions!$B$14,Assumptions!$B$17*Q263,0)</f>
        <v>200.375</v>
      </c>
      <c r="U263" s="4" t="n">
        <f aca="false">O263+L263+R263</f>
        <v>190.75</v>
      </c>
      <c r="V263" s="4" t="n">
        <f aca="false">P263+M263+S263</f>
        <v>390.4</v>
      </c>
      <c r="W263" s="4" t="n">
        <f aca="false">Q263+N263+T263</f>
        <v>792.375</v>
      </c>
      <c r="X263" s="4" t="n">
        <f aca="false">'City Data'!K263</f>
        <v>90</v>
      </c>
      <c r="Y263" s="4" t="n">
        <f aca="false">'City Data'!L263</f>
        <v>220</v>
      </c>
      <c r="Z263" s="4" t="n">
        <f aca="false">'City Data'!M263</f>
        <v>595</v>
      </c>
      <c r="AA263" s="4" t="n">
        <f aca="false">U263-X263</f>
        <v>100.75</v>
      </c>
      <c r="AB263" s="4" t="n">
        <f aca="false">V263-Y263</f>
        <v>170.4</v>
      </c>
      <c r="AC263" s="4" t="n">
        <f aca="false">W263-Z263</f>
        <v>197.375</v>
      </c>
      <c r="AD263" s="4" t="str">
        <f aca="false">IF(OR(AND(X263&lt;&gt;0,ABS(AA263)&gt;Assumptions!$B$18*X263),AND(Y263&lt;&gt;0,ABS(AB263)&gt;Assumptions!$B$18*Y263),AND(Z263&lt;&gt;0,ABS(AC263)&gt;Assumptions!$B$18*Z263)),"REVIEW","")</f>
        <v>REVIEW</v>
      </c>
    </row>
    <row r="264" customFormat="false" ht="15" hidden="false" customHeight="false" outlineLevel="0" collapsed="false">
      <c r="A264" s="0" t="str">
        <f aca="false">'City Data'!A264</f>
        <v>Valencia</v>
      </c>
      <c r="B264" s="4" t="n">
        <f aca="false">'City Data'!B264/Assumptions!$B$2</f>
        <v>25</v>
      </c>
      <c r="C264" s="4" t="n">
        <f aca="false">'City Data'!C264/Assumptions!$B$2</f>
        <v>50</v>
      </c>
      <c r="D264" s="4" t="n">
        <f aca="false">'City Data'!D264/Assumptions!$B$2</f>
        <v>130</v>
      </c>
      <c r="E264" s="4" t="n">
        <f aca="false">Assumptions!$B$3*Assumptions!$B$4*'City Data'!E264</f>
        <v>54</v>
      </c>
      <c r="F264" s="4" t="n">
        <f aca="false">Assumptions!$B$3*Assumptions!$B$5*'City Data'!E264</f>
        <v>97.2</v>
      </c>
      <c r="G264" s="4" t="n">
        <f aca="false">Assumptions!$B$3*Assumptions!$B$6*'City Data'!E264</f>
        <v>189</v>
      </c>
      <c r="H264" s="4" t="n">
        <f aca="false">Assumptions!$B$7*'City Data'!F264</f>
        <v>18</v>
      </c>
      <c r="I264" s="4" t="n">
        <f aca="false">Assumptions!$B$8*'City Data'!F264</f>
        <v>36</v>
      </c>
      <c r="J264" s="4" t="n">
        <f aca="false">Assumptions!$B$9*'City Data'!F264</f>
        <v>72</v>
      </c>
      <c r="K264" s="4" t="n">
        <f aca="false">'City Data'!G264+'City Data'!H264</f>
        <v>3.5</v>
      </c>
      <c r="L264" s="4" t="n">
        <f aca="false">IF(AND(Assumptions!$B$13,ISNUMBER('City Data'!I264)),Assumptions!$B$10*'City Data'!I264,0)</f>
        <v>2.5</v>
      </c>
      <c r="M264" s="4" t="n">
        <f aca="false">IF(AND(Assumptions!$B$13,ISNUMBER('City Data'!I264)),Assumptions!$B$11*'City Data'!I264,0)</f>
        <v>5</v>
      </c>
      <c r="N264" s="4" t="n">
        <f aca="false">IF(AND(Assumptions!$B$13,ISNUMBER('City Data'!I264)),Assumptions!$B$12*'City Data'!I264,0)</f>
        <v>7.5</v>
      </c>
      <c r="O264" s="4" t="n">
        <f aca="false">B264+E264+H264+K264</f>
        <v>100.5</v>
      </c>
      <c r="P264" s="4" t="n">
        <f aca="false">C264+F264+I264+K264</f>
        <v>186.7</v>
      </c>
      <c r="Q264" s="4" t="n">
        <f aca="false">D264+G264+J264+K264</f>
        <v>394.5</v>
      </c>
      <c r="R264" s="4" t="n">
        <f aca="false">IF(Assumptions!$B$14,Assumptions!$B$15*O264,0)</f>
        <v>10.05</v>
      </c>
      <c r="S264" s="4" t="n">
        <f aca="false">IF(Assumptions!$B$14,Assumptions!$B$16*P264,0)</f>
        <v>37.34</v>
      </c>
      <c r="T264" s="4" t="n">
        <f aca="false">IF(Assumptions!$B$14,Assumptions!$B$17*Q264,0)</f>
        <v>138.075</v>
      </c>
      <c r="U264" s="4" t="n">
        <f aca="false">O264+L264+R264</f>
        <v>113.05</v>
      </c>
      <c r="V264" s="4" t="n">
        <f aca="false">P264+M264+S264</f>
        <v>229.04</v>
      </c>
      <c r="W264" s="4" t="n">
        <f aca="false">Q264+N264+T264</f>
        <v>540.075</v>
      </c>
      <c r="X264" s="4" t="n">
        <f aca="false">'City Data'!K264</f>
        <v>65</v>
      </c>
      <c r="Y264" s="4" t="n">
        <f aca="false">'City Data'!L264</f>
        <v>155</v>
      </c>
      <c r="Z264" s="4" t="n">
        <f aca="false">'City Data'!M264</f>
        <v>430</v>
      </c>
      <c r="AA264" s="4" t="n">
        <f aca="false">U264-X264</f>
        <v>48.05</v>
      </c>
      <c r="AB264" s="4" t="n">
        <f aca="false">V264-Y264</f>
        <v>74.04</v>
      </c>
      <c r="AC264" s="4" t="n">
        <f aca="false">W264-Z264</f>
        <v>110.075</v>
      </c>
      <c r="AD264" s="4" t="str">
        <f aca="false">IF(OR(AND(X264&lt;&gt;0,ABS(AA264)&gt;Assumptions!$B$18*X264),AND(Y264&lt;&gt;0,ABS(AB264)&gt;Assumptions!$B$18*Y264),AND(Z264&lt;&gt;0,ABS(AC264)&gt;Assumptions!$B$18*Z264)),"REVIEW","")</f>
        <v>REVIEW</v>
      </c>
    </row>
    <row r="265" customFormat="false" ht="15" hidden="false" customHeight="false" outlineLevel="0" collapsed="false">
      <c r="A265" s="0" t="str">
        <f aca="false">'City Data'!A265</f>
        <v>Valletta</v>
      </c>
      <c r="B265" s="4" t="n">
        <f aca="false">'City Data'!B265/Assumptions!$B$2</f>
        <v>32.5</v>
      </c>
      <c r="C265" s="4" t="n">
        <f aca="false">'City Data'!C265/Assumptions!$B$2</f>
        <v>65</v>
      </c>
      <c r="D265" s="4" t="n">
        <f aca="false">'City Data'!D265/Assumptions!$B$2</f>
        <v>190</v>
      </c>
      <c r="E265" s="4" t="n">
        <f aca="false">Assumptions!$B$3*Assumptions!$B$4*'City Data'!E265</f>
        <v>90</v>
      </c>
      <c r="F265" s="4" t="n">
        <f aca="false">Assumptions!$B$3*Assumptions!$B$5*'City Data'!E265</f>
        <v>162</v>
      </c>
      <c r="G265" s="4" t="n">
        <f aca="false">Assumptions!$B$3*Assumptions!$B$6*'City Data'!E265</f>
        <v>315</v>
      </c>
      <c r="H265" s="4" t="n">
        <f aca="false">Assumptions!$B$7*'City Data'!F265</f>
        <v>13</v>
      </c>
      <c r="I265" s="4" t="n">
        <f aca="false">Assumptions!$B$8*'City Data'!F265</f>
        <v>26</v>
      </c>
      <c r="J265" s="4" t="n">
        <f aca="false">Assumptions!$B$9*'City Data'!F265</f>
        <v>52</v>
      </c>
      <c r="K265" s="4" t="n">
        <f aca="false">'City Data'!G265+'City Data'!H265</f>
        <v>3.7</v>
      </c>
      <c r="L265" s="4" t="n">
        <f aca="false">IF(AND(Assumptions!$B$13,ISNUMBER('City Data'!I265)),Assumptions!$B$10*'City Data'!I265,0)</f>
        <v>4.8</v>
      </c>
      <c r="M265" s="4" t="n">
        <f aca="false">IF(AND(Assumptions!$B$13,ISNUMBER('City Data'!I265)),Assumptions!$B$11*'City Data'!I265,0)</f>
        <v>9.6</v>
      </c>
      <c r="N265" s="4" t="n">
        <f aca="false">IF(AND(Assumptions!$B$13,ISNUMBER('City Data'!I265)),Assumptions!$B$12*'City Data'!I265,0)</f>
        <v>14.4</v>
      </c>
      <c r="O265" s="4" t="n">
        <f aca="false">B265+E265+H265+K265</f>
        <v>139.2</v>
      </c>
      <c r="P265" s="4" t="n">
        <f aca="false">C265+F265+I265+K265</f>
        <v>256.7</v>
      </c>
      <c r="Q265" s="4" t="n">
        <f aca="false">D265+G265+J265+K265</f>
        <v>560.7</v>
      </c>
      <c r="R265" s="4" t="n">
        <f aca="false">IF(Assumptions!$B$14,Assumptions!$B$15*O265,0)</f>
        <v>13.92</v>
      </c>
      <c r="S265" s="4" t="n">
        <f aca="false">IF(Assumptions!$B$14,Assumptions!$B$16*P265,0)</f>
        <v>51.34</v>
      </c>
      <c r="T265" s="4" t="n">
        <f aca="false">IF(Assumptions!$B$14,Assumptions!$B$17*Q265,0)</f>
        <v>196.245</v>
      </c>
      <c r="U265" s="4" t="n">
        <f aca="false">O265+L265+R265</f>
        <v>157.92</v>
      </c>
      <c r="V265" s="4" t="n">
        <f aca="false">P265+M265+S265</f>
        <v>317.64</v>
      </c>
      <c r="W265" s="4" t="n">
        <f aca="false">Q265+N265+T265</f>
        <v>771.345</v>
      </c>
      <c r="X265" s="4" t="n">
        <f aca="false">'City Data'!K265</f>
        <v>80</v>
      </c>
      <c r="Y265" s="4" t="n">
        <f aca="false">'City Data'!L265</f>
        <v>200</v>
      </c>
      <c r="Z265" s="4" t="n">
        <f aca="false">'City Data'!M265</f>
        <v>590</v>
      </c>
      <c r="AA265" s="4" t="n">
        <f aca="false">U265-X265</f>
        <v>77.92</v>
      </c>
      <c r="AB265" s="4" t="n">
        <f aca="false">V265-Y265</f>
        <v>117.64</v>
      </c>
      <c r="AC265" s="4" t="n">
        <f aca="false">W265-Z265</f>
        <v>181.345</v>
      </c>
      <c r="AD265" s="4" t="str">
        <f aca="false">IF(OR(AND(X265&lt;&gt;0,ABS(AA265)&gt;Assumptions!$B$18*X265),AND(Y265&lt;&gt;0,ABS(AB265)&gt;Assumptions!$B$18*Y265),AND(Z265&lt;&gt;0,ABS(AC265)&gt;Assumptions!$B$18*Z265)),"REVIEW","")</f>
        <v>REVIEW</v>
      </c>
    </row>
    <row r="266" customFormat="false" ht="15" hidden="false" customHeight="false" outlineLevel="0" collapsed="false">
      <c r="A266" s="0" t="str">
        <f aca="false">'City Data'!A266</f>
        <v>Vancouver</v>
      </c>
      <c r="B266" s="4" t="n">
        <f aca="false">'City Data'!B266/Assumptions!$B$2</f>
        <v>50</v>
      </c>
      <c r="C266" s="4" t="n">
        <f aca="false">'City Data'!C266/Assumptions!$B$2</f>
        <v>90</v>
      </c>
      <c r="D266" s="4" t="n">
        <f aca="false">'City Data'!D266/Assumptions!$B$2</f>
        <v>200</v>
      </c>
      <c r="E266" s="4" t="n">
        <f aca="false">Assumptions!$B$3*Assumptions!$B$4*'City Data'!E266</f>
        <v>75</v>
      </c>
      <c r="F266" s="4" t="n">
        <f aca="false">Assumptions!$B$3*Assumptions!$B$5*'City Data'!E266</f>
        <v>135</v>
      </c>
      <c r="G266" s="4" t="n">
        <f aca="false">Assumptions!$B$3*Assumptions!$B$6*'City Data'!E266</f>
        <v>262.5</v>
      </c>
      <c r="H266" s="4" t="n">
        <f aca="false">Assumptions!$B$7*'City Data'!F266</f>
        <v>28</v>
      </c>
      <c r="I266" s="4" t="n">
        <f aca="false">Assumptions!$B$8*'City Data'!F266</f>
        <v>56</v>
      </c>
      <c r="J266" s="4" t="n">
        <f aca="false">Assumptions!$B$9*'City Data'!F266</f>
        <v>112</v>
      </c>
      <c r="K266" s="4" t="n">
        <f aca="false">'City Data'!G266+'City Data'!H266</f>
        <v>6</v>
      </c>
      <c r="L266" s="4" t="n">
        <f aca="false">IF(AND(Assumptions!$B$13,ISNUMBER('City Data'!I266)),Assumptions!$B$10*'City Data'!I266,0)</f>
        <v>6.5</v>
      </c>
      <c r="M266" s="4" t="n">
        <f aca="false">IF(AND(Assumptions!$B$13,ISNUMBER('City Data'!I266)),Assumptions!$B$11*'City Data'!I266,0)</f>
        <v>13</v>
      </c>
      <c r="N266" s="4" t="n">
        <f aca="false">IF(AND(Assumptions!$B$13,ISNUMBER('City Data'!I266)),Assumptions!$B$12*'City Data'!I266,0)</f>
        <v>19.5</v>
      </c>
      <c r="O266" s="4" t="n">
        <f aca="false">B266+E266+H266+K266</f>
        <v>159</v>
      </c>
      <c r="P266" s="4" t="n">
        <f aca="false">C266+F266+I266+K266</f>
        <v>287</v>
      </c>
      <c r="Q266" s="4" t="n">
        <f aca="false">D266+G266+J266+K266</f>
        <v>580.5</v>
      </c>
      <c r="R266" s="4" t="n">
        <f aca="false">IF(Assumptions!$B$14,Assumptions!$B$15*O266,0)</f>
        <v>15.9</v>
      </c>
      <c r="S266" s="4" t="n">
        <f aca="false">IF(Assumptions!$B$14,Assumptions!$B$16*P266,0)</f>
        <v>57.4</v>
      </c>
      <c r="T266" s="4" t="n">
        <f aca="false">IF(Assumptions!$B$14,Assumptions!$B$17*Q266,0)</f>
        <v>203.175</v>
      </c>
      <c r="U266" s="4" t="n">
        <f aca="false">O266+L266+R266</f>
        <v>181.4</v>
      </c>
      <c r="V266" s="4" t="n">
        <f aca="false">P266+M266+S266</f>
        <v>357.4</v>
      </c>
      <c r="W266" s="4" t="n">
        <f aca="false">Q266+N266+T266</f>
        <v>803.175</v>
      </c>
      <c r="X266" s="4" t="n">
        <f aca="false">'City Data'!K266</f>
        <v>90</v>
      </c>
      <c r="Y266" s="4" t="n">
        <f aca="false">'City Data'!L266</f>
        <v>220</v>
      </c>
      <c r="Z266" s="4" t="n">
        <f aca="false">'City Data'!M266</f>
        <v>600</v>
      </c>
      <c r="AA266" s="4" t="n">
        <f aca="false">U266-X266</f>
        <v>91.4</v>
      </c>
      <c r="AB266" s="4" t="n">
        <f aca="false">V266-Y266</f>
        <v>137.4</v>
      </c>
      <c r="AC266" s="4" t="n">
        <f aca="false">W266-Z266</f>
        <v>203.175</v>
      </c>
      <c r="AD266" s="4" t="str">
        <f aca="false">IF(OR(AND(X266&lt;&gt;0,ABS(AA266)&gt;Assumptions!$B$18*X266),AND(Y266&lt;&gt;0,ABS(AB266)&gt;Assumptions!$B$18*Y266),AND(Z266&lt;&gt;0,ABS(AC266)&gt;Assumptions!$B$18*Z266)),"REVIEW","")</f>
        <v>REVIEW</v>
      </c>
    </row>
    <row r="267" customFormat="false" ht="15" hidden="false" customHeight="false" outlineLevel="0" collapsed="false">
      <c r="A267" s="0" t="str">
        <f aca="false">'City Data'!A267</f>
        <v>Venice</v>
      </c>
      <c r="B267" s="4" t="n">
        <f aca="false">'City Data'!B267/Assumptions!$B$2</f>
        <v>45</v>
      </c>
      <c r="C267" s="4" t="n">
        <f aca="false">'City Data'!C267/Assumptions!$B$2</f>
        <v>80</v>
      </c>
      <c r="D267" s="4" t="n">
        <f aca="false">'City Data'!D267/Assumptions!$B$2</f>
        <v>200</v>
      </c>
      <c r="E267" s="4" t="n">
        <f aca="false">Assumptions!$B$3*Assumptions!$B$4*'City Data'!E267</f>
        <v>84</v>
      </c>
      <c r="F267" s="4" t="n">
        <f aca="false">Assumptions!$B$3*Assumptions!$B$5*'City Data'!E267</f>
        <v>151.2</v>
      </c>
      <c r="G267" s="4" t="n">
        <f aca="false">Assumptions!$B$3*Assumptions!$B$6*'City Data'!E267</f>
        <v>294</v>
      </c>
      <c r="H267" s="4" t="n">
        <f aca="false">Assumptions!$B$7*'City Data'!F267</f>
        <v>35</v>
      </c>
      <c r="I267" s="4" t="n">
        <f aca="false">Assumptions!$B$8*'City Data'!F267</f>
        <v>70</v>
      </c>
      <c r="J267" s="4" t="n">
        <f aca="false">Assumptions!$B$9*'City Data'!F267</f>
        <v>140</v>
      </c>
      <c r="K267" s="4" t="n">
        <f aca="false">'City Data'!G267+'City Data'!H267</f>
        <v>3</v>
      </c>
      <c r="L267" s="4" t="n">
        <f aca="false">IF(AND(Assumptions!$B$13,ISNUMBER('City Data'!I267)),Assumptions!$B$10*'City Data'!I267,0)</f>
        <v>5</v>
      </c>
      <c r="M267" s="4" t="n">
        <f aca="false">IF(AND(Assumptions!$B$13,ISNUMBER('City Data'!I267)),Assumptions!$B$11*'City Data'!I267,0)</f>
        <v>10</v>
      </c>
      <c r="N267" s="4" t="n">
        <f aca="false">IF(AND(Assumptions!$B$13,ISNUMBER('City Data'!I267)),Assumptions!$B$12*'City Data'!I267,0)</f>
        <v>15</v>
      </c>
      <c r="O267" s="4" t="n">
        <f aca="false">B267+E267+H267+K267</f>
        <v>167</v>
      </c>
      <c r="P267" s="4" t="n">
        <f aca="false">C267+F267+I267+K267</f>
        <v>304.2</v>
      </c>
      <c r="Q267" s="4" t="n">
        <f aca="false">D267+G267+J267+K267</f>
        <v>637</v>
      </c>
      <c r="R267" s="4" t="n">
        <f aca="false">IF(Assumptions!$B$14,Assumptions!$B$15*O267,0)</f>
        <v>16.7</v>
      </c>
      <c r="S267" s="4" t="n">
        <f aca="false">IF(Assumptions!$B$14,Assumptions!$B$16*P267,0)</f>
        <v>60.84</v>
      </c>
      <c r="T267" s="4" t="n">
        <f aca="false">IF(Assumptions!$B$14,Assumptions!$B$17*Q267,0)</f>
        <v>222.95</v>
      </c>
      <c r="U267" s="4" t="n">
        <f aca="false">O267+L267+R267</f>
        <v>188.7</v>
      </c>
      <c r="V267" s="4" t="n">
        <f aca="false">P267+M267+S267</f>
        <v>375.04</v>
      </c>
      <c r="W267" s="4" t="n">
        <f aca="false">Q267+N267+T267</f>
        <v>874.95</v>
      </c>
      <c r="X267" s="4" t="n">
        <f aca="false">'City Data'!K267</f>
        <v>90</v>
      </c>
      <c r="Y267" s="4" t="n">
        <f aca="false">'City Data'!L267</f>
        <v>210</v>
      </c>
      <c r="Z267" s="4" t="n">
        <f aca="false">'City Data'!M267</f>
        <v>600</v>
      </c>
      <c r="AA267" s="4" t="n">
        <f aca="false">U267-X267</f>
        <v>98.7</v>
      </c>
      <c r="AB267" s="4" t="n">
        <f aca="false">V267-Y267</f>
        <v>165.04</v>
      </c>
      <c r="AC267" s="4" t="n">
        <f aca="false">W267-Z267</f>
        <v>274.95</v>
      </c>
      <c r="AD267" s="4" t="str">
        <f aca="false">IF(OR(AND(X267&lt;&gt;0,ABS(AA267)&gt;Assumptions!$B$18*X267),AND(Y267&lt;&gt;0,ABS(AB267)&gt;Assumptions!$B$18*Y267),AND(Z267&lt;&gt;0,ABS(AC267)&gt;Assumptions!$B$18*Z267)),"REVIEW","")</f>
        <v>REVIEW</v>
      </c>
    </row>
    <row r="268" customFormat="false" ht="15" hidden="false" customHeight="false" outlineLevel="0" collapsed="false">
      <c r="A268" s="0" t="str">
        <f aca="false">'City Data'!A268</f>
        <v>Verona</v>
      </c>
      <c r="B268" s="4" t="n">
        <f aca="false">'City Data'!B268/Assumptions!$B$2</f>
        <v>35</v>
      </c>
      <c r="C268" s="4" t="n">
        <f aca="false">'City Data'!C268/Assumptions!$B$2</f>
        <v>65</v>
      </c>
      <c r="D268" s="4" t="n">
        <f aca="false">'City Data'!D268/Assumptions!$B$2</f>
        <v>160</v>
      </c>
      <c r="E268" s="4" t="n">
        <f aca="false">Assumptions!$B$3*Assumptions!$B$4*'City Data'!E268</f>
        <v>84</v>
      </c>
      <c r="F268" s="4" t="n">
        <f aca="false">Assumptions!$B$3*Assumptions!$B$5*'City Data'!E268</f>
        <v>151.2</v>
      </c>
      <c r="G268" s="4" t="n">
        <f aca="false">Assumptions!$B$3*Assumptions!$B$6*'City Data'!E268</f>
        <v>294</v>
      </c>
      <c r="H268" s="4" t="n">
        <f aca="false">Assumptions!$B$7*'City Data'!F268</f>
        <v>25</v>
      </c>
      <c r="I268" s="4" t="n">
        <f aca="false">Assumptions!$B$8*'City Data'!F268</f>
        <v>50</v>
      </c>
      <c r="J268" s="4" t="n">
        <f aca="false">Assumptions!$B$9*'City Data'!F268</f>
        <v>100</v>
      </c>
      <c r="K268" s="4" t="n">
        <f aca="false">'City Data'!G268+'City Data'!H268</f>
        <v>2.4</v>
      </c>
      <c r="L268" s="4" t="n">
        <f aca="false">IF(AND(Assumptions!$B$13,ISNUMBER('City Data'!I268)),Assumptions!$B$10*'City Data'!I268,0)</f>
        <v>5.5</v>
      </c>
      <c r="M268" s="4" t="n">
        <f aca="false">IF(AND(Assumptions!$B$13,ISNUMBER('City Data'!I268)),Assumptions!$B$11*'City Data'!I268,0)</f>
        <v>11</v>
      </c>
      <c r="N268" s="4" t="n">
        <f aca="false">IF(AND(Assumptions!$B$13,ISNUMBER('City Data'!I268)),Assumptions!$B$12*'City Data'!I268,0)</f>
        <v>16.5</v>
      </c>
      <c r="O268" s="4" t="n">
        <f aca="false">B268+E268+H268+K268</f>
        <v>146.4</v>
      </c>
      <c r="P268" s="4" t="n">
        <f aca="false">C268+F268+I268+K268</f>
        <v>268.6</v>
      </c>
      <c r="Q268" s="4" t="n">
        <f aca="false">D268+G268+J268+K268</f>
        <v>556.4</v>
      </c>
      <c r="R268" s="4" t="n">
        <f aca="false">IF(Assumptions!$B$14,Assumptions!$B$15*O268,0)</f>
        <v>14.64</v>
      </c>
      <c r="S268" s="4" t="n">
        <f aca="false">IF(Assumptions!$B$14,Assumptions!$B$16*P268,0)</f>
        <v>53.72</v>
      </c>
      <c r="T268" s="4" t="n">
        <f aca="false">IF(Assumptions!$B$14,Assumptions!$B$17*Q268,0)</f>
        <v>194.74</v>
      </c>
      <c r="U268" s="4" t="n">
        <f aca="false">O268+L268+R268</f>
        <v>166.54</v>
      </c>
      <c r="V268" s="4" t="n">
        <f aca="false">P268+M268+S268</f>
        <v>333.32</v>
      </c>
      <c r="W268" s="4" t="n">
        <f aca="false">Q268+N268+T268</f>
        <v>767.64</v>
      </c>
      <c r="X268" s="4" t="n">
        <f aca="false">'City Data'!K268</f>
        <v>70</v>
      </c>
      <c r="Y268" s="4" t="n">
        <f aca="false">'City Data'!L268</f>
        <v>165</v>
      </c>
      <c r="Z268" s="4" t="n">
        <f aca="false">'City Data'!M268</f>
        <v>450</v>
      </c>
      <c r="AA268" s="4" t="n">
        <f aca="false">U268-X268</f>
        <v>96.54</v>
      </c>
      <c r="AB268" s="4" t="n">
        <f aca="false">V268-Y268</f>
        <v>168.32</v>
      </c>
      <c r="AC268" s="4" t="n">
        <f aca="false">W268-Z268</f>
        <v>317.64</v>
      </c>
      <c r="AD268" s="4" t="str">
        <f aca="false">IF(OR(AND(X268&lt;&gt;0,ABS(AA268)&gt;Assumptions!$B$18*X268),AND(Y268&lt;&gt;0,ABS(AB268)&gt;Assumptions!$B$18*Y268),AND(Z268&lt;&gt;0,ABS(AC268)&gt;Assumptions!$B$18*Z268)),"REVIEW","")</f>
        <v>REVIEW</v>
      </c>
    </row>
    <row r="269" customFormat="false" ht="15" hidden="false" customHeight="false" outlineLevel="0" collapsed="false">
      <c r="A269" s="0" t="str">
        <f aca="false">'City Data'!A269</f>
        <v>Victoria</v>
      </c>
      <c r="B269" s="4" t="n">
        <f aca="false">'City Data'!B269/Assumptions!$B$2</f>
        <v>22.5</v>
      </c>
      <c r="C269" s="4" t="n">
        <f aca="false">'City Data'!C269/Assumptions!$B$2</f>
        <v>70</v>
      </c>
      <c r="D269" s="4" t="n">
        <f aca="false">'City Data'!D269/Assumptions!$B$2</f>
        <v>175</v>
      </c>
      <c r="E269" s="4" t="n">
        <f aca="false">Assumptions!$B$3*Assumptions!$B$4*'City Data'!E269</f>
        <v>54</v>
      </c>
      <c r="F269" s="4" t="n">
        <f aca="false">Assumptions!$B$3*Assumptions!$B$5*'City Data'!E269</f>
        <v>97.2</v>
      </c>
      <c r="G269" s="4" t="n">
        <f aca="false">Assumptions!$B$3*Assumptions!$B$6*'City Data'!E269</f>
        <v>189</v>
      </c>
      <c r="H269" s="4" t="n">
        <f aca="false">Assumptions!$B$7*'City Data'!F269</f>
        <v>12</v>
      </c>
      <c r="I269" s="4" t="n">
        <f aca="false">Assumptions!$B$8*'City Data'!F269</f>
        <v>24</v>
      </c>
      <c r="J269" s="4" t="n">
        <f aca="false">Assumptions!$B$9*'City Data'!F269</f>
        <v>48</v>
      </c>
      <c r="K269" s="4" t="n">
        <f aca="false">'City Data'!G269+'City Data'!H269</f>
        <v>4.7</v>
      </c>
      <c r="L269" s="4" t="n">
        <f aca="false">IF(AND(Assumptions!$B$13,ISNUMBER('City Data'!I269)),Assumptions!$B$10*'City Data'!I269,0)</f>
        <v>4.5</v>
      </c>
      <c r="M269" s="4" t="n">
        <f aca="false">IF(AND(Assumptions!$B$13,ISNUMBER('City Data'!I269)),Assumptions!$B$11*'City Data'!I269,0)</f>
        <v>9</v>
      </c>
      <c r="N269" s="4" t="n">
        <f aca="false">IF(AND(Assumptions!$B$13,ISNUMBER('City Data'!I269)),Assumptions!$B$12*'City Data'!I269,0)</f>
        <v>13.5</v>
      </c>
      <c r="O269" s="4" t="n">
        <f aca="false">B269+E269+H269+K269</f>
        <v>93.2</v>
      </c>
      <c r="P269" s="4" t="n">
        <f aca="false">C269+F269+I269+K269</f>
        <v>195.9</v>
      </c>
      <c r="Q269" s="4" t="n">
        <f aca="false">D269+G269+J269+K269</f>
        <v>416.7</v>
      </c>
      <c r="R269" s="4" t="n">
        <f aca="false">IF(Assumptions!$B$14,Assumptions!$B$15*O269,0)</f>
        <v>9.32</v>
      </c>
      <c r="S269" s="4" t="n">
        <f aca="false">IF(Assumptions!$B$14,Assumptions!$B$16*P269,0)</f>
        <v>39.18</v>
      </c>
      <c r="T269" s="4" t="n">
        <f aca="false">IF(Assumptions!$B$14,Assumptions!$B$17*Q269,0)</f>
        <v>145.845</v>
      </c>
      <c r="U269" s="4" t="n">
        <f aca="false">O269+L269+R269</f>
        <v>107.02</v>
      </c>
      <c r="V269" s="4" t="n">
        <f aca="false">P269+M269+S269</f>
        <v>244.08</v>
      </c>
      <c r="W269" s="4" t="n">
        <f aca="false">Q269+N269+T269</f>
        <v>576.045</v>
      </c>
      <c r="X269" s="4" t="n">
        <f aca="false">'City Data'!K269</f>
        <v>60</v>
      </c>
      <c r="Y269" s="4" t="n">
        <f aca="false">'City Data'!L269</f>
        <v>150</v>
      </c>
      <c r="Z269" s="4" t="n">
        <f aca="false">'City Data'!M269</f>
        <v>450</v>
      </c>
      <c r="AA269" s="4" t="n">
        <f aca="false">U269-X269</f>
        <v>47.02</v>
      </c>
      <c r="AB269" s="4" t="n">
        <f aca="false">V269-Y269</f>
        <v>94.08</v>
      </c>
      <c r="AC269" s="4" t="n">
        <f aca="false">W269-Z269</f>
        <v>126.045</v>
      </c>
      <c r="AD269" s="4" t="str">
        <f aca="false">IF(OR(AND(X269&lt;&gt;0,ABS(AA269)&gt;Assumptions!$B$18*X269),AND(Y269&lt;&gt;0,ABS(AB269)&gt;Assumptions!$B$18*Y269),AND(Z269&lt;&gt;0,ABS(AC269)&gt;Assumptions!$B$18*Z269)),"REVIEW","")</f>
        <v>REVIEW</v>
      </c>
    </row>
    <row r="270" customFormat="false" ht="15" hidden="false" customHeight="false" outlineLevel="0" collapsed="false">
      <c r="A270" s="0" t="str">
        <f aca="false">'City Data'!A270</f>
        <v>Victoria Falls</v>
      </c>
      <c r="B270" s="4" t="n">
        <f aca="false">'City Data'!B270/Assumptions!$B$2</f>
        <v>9</v>
      </c>
      <c r="C270" s="4" t="n">
        <f aca="false">'City Data'!C270/Assumptions!$B$2</f>
        <v>65</v>
      </c>
      <c r="D270" s="4" t="n">
        <f aca="false">'City Data'!D270/Assumptions!$B$2</f>
        <v>275</v>
      </c>
      <c r="E270" s="4" t="n">
        <f aca="false">Assumptions!$B$3*Assumptions!$B$4*'City Data'!E270</f>
        <v>45</v>
      </c>
      <c r="F270" s="4" t="n">
        <f aca="false">Assumptions!$B$3*Assumptions!$B$5*'City Data'!E270</f>
        <v>81</v>
      </c>
      <c r="G270" s="4" t="n">
        <f aca="false">Assumptions!$B$3*Assumptions!$B$6*'City Data'!E270</f>
        <v>157.5</v>
      </c>
      <c r="H270" s="4" t="n">
        <f aca="false">Assumptions!$B$7*'City Data'!F270</f>
        <v>6</v>
      </c>
      <c r="I270" s="4" t="n">
        <f aca="false">Assumptions!$B$8*'City Data'!F270</f>
        <v>12</v>
      </c>
      <c r="J270" s="4" t="n">
        <f aca="false">Assumptions!$B$9*'City Data'!F270</f>
        <v>24</v>
      </c>
      <c r="K270" s="4" t="n">
        <f aca="false">'City Data'!G270+'City Data'!H270</f>
        <v>4.5</v>
      </c>
      <c r="L270" s="4" t="n">
        <f aca="false">IF(AND(Assumptions!$B$13,ISNUMBER('City Data'!I270)),Assumptions!$B$10*'City Data'!I270,0)</f>
        <v>3</v>
      </c>
      <c r="M270" s="4" t="n">
        <f aca="false">IF(AND(Assumptions!$B$13,ISNUMBER('City Data'!I270)),Assumptions!$B$11*'City Data'!I270,0)</f>
        <v>6</v>
      </c>
      <c r="N270" s="4" t="n">
        <f aca="false">IF(AND(Assumptions!$B$13,ISNUMBER('City Data'!I270)),Assumptions!$B$12*'City Data'!I270,0)</f>
        <v>9</v>
      </c>
      <c r="O270" s="4" t="n">
        <f aca="false">B270+E270+H270+K270</f>
        <v>64.5</v>
      </c>
      <c r="P270" s="4" t="n">
        <f aca="false">C270+F270+I270+K270</f>
        <v>162.5</v>
      </c>
      <c r="Q270" s="4" t="n">
        <f aca="false">D270+G270+J270+K270</f>
        <v>461</v>
      </c>
      <c r="R270" s="4" t="n">
        <f aca="false">IF(Assumptions!$B$14,Assumptions!$B$15*O270,0)</f>
        <v>6.45</v>
      </c>
      <c r="S270" s="4" t="n">
        <f aca="false">IF(Assumptions!$B$14,Assumptions!$B$16*P270,0)</f>
        <v>32.5</v>
      </c>
      <c r="T270" s="4" t="n">
        <f aca="false">IF(Assumptions!$B$14,Assumptions!$B$17*Q270,0)</f>
        <v>161.35</v>
      </c>
      <c r="U270" s="4" t="n">
        <f aca="false">O270+L270+R270</f>
        <v>73.95</v>
      </c>
      <c r="V270" s="4" t="n">
        <f aca="false">P270+M270+S270</f>
        <v>201</v>
      </c>
      <c r="W270" s="4" t="n">
        <f aca="false">Q270+N270+T270</f>
        <v>631.35</v>
      </c>
      <c r="X270" s="4" t="n">
        <f aca="false">'City Data'!K270</f>
        <v>50</v>
      </c>
      <c r="Y270" s="4" t="n">
        <f aca="false">'City Data'!L270</f>
        <v>140</v>
      </c>
      <c r="Z270" s="4" t="n">
        <f aca="false">'City Data'!M270</f>
        <v>475</v>
      </c>
      <c r="AA270" s="4" t="n">
        <f aca="false">U270-X270</f>
        <v>23.95</v>
      </c>
      <c r="AB270" s="4" t="n">
        <f aca="false">V270-Y270</f>
        <v>61</v>
      </c>
      <c r="AC270" s="4" t="n">
        <f aca="false">W270-Z270</f>
        <v>156.35</v>
      </c>
      <c r="AD270" s="4" t="str">
        <f aca="false">IF(OR(AND(X270&lt;&gt;0,ABS(AA270)&gt;Assumptions!$B$18*X270),AND(Y270&lt;&gt;0,ABS(AB270)&gt;Assumptions!$B$18*Y270),AND(Z270&lt;&gt;0,ABS(AC270)&gt;Assumptions!$B$18*Z270)),"REVIEW","")</f>
        <v>REVIEW</v>
      </c>
    </row>
    <row r="271" customFormat="false" ht="15" hidden="false" customHeight="false" outlineLevel="0" collapsed="false">
      <c r="A271" s="0" t="str">
        <f aca="false">'City Data'!A271</f>
        <v>Vienna</v>
      </c>
      <c r="B271" s="4" t="n">
        <f aca="false">'City Data'!B271/Assumptions!$B$2</f>
        <v>30</v>
      </c>
      <c r="C271" s="4" t="n">
        <f aca="false">'City Data'!C271/Assumptions!$B$2</f>
        <v>60</v>
      </c>
      <c r="D271" s="4" t="n">
        <f aca="false">'City Data'!D271/Assumptions!$B$2</f>
        <v>150</v>
      </c>
      <c r="E271" s="4" t="n">
        <f aca="false">Assumptions!$B$3*Assumptions!$B$4*'City Data'!E271</f>
        <v>66</v>
      </c>
      <c r="F271" s="4" t="n">
        <f aca="false">Assumptions!$B$3*Assumptions!$B$5*'City Data'!E271</f>
        <v>118.8</v>
      </c>
      <c r="G271" s="4" t="n">
        <f aca="false">Assumptions!$B$3*Assumptions!$B$6*'City Data'!E271</f>
        <v>231</v>
      </c>
      <c r="H271" s="4" t="n">
        <f aca="false">Assumptions!$B$7*'City Data'!F271</f>
        <v>18</v>
      </c>
      <c r="I271" s="4" t="n">
        <f aca="false">Assumptions!$B$8*'City Data'!F271</f>
        <v>36</v>
      </c>
      <c r="J271" s="4" t="n">
        <f aca="false">Assumptions!$B$9*'City Data'!F271</f>
        <v>72</v>
      </c>
      <c r="K271" s="4" t="n">
        <f aca="false">'City Data'!G271+'City Data'!H271</f>
        <v>5.2</v>
      </c>
      <c r="L271" s="4" t="n">
        <f aca="false">IF(AND(Assumptions!$B$13,ISNUMBER('City Data'!I271)),Assumptions!$B$10*'City Data'!I271,0)</f>
        <v>5</v>
      </c>
      <c r="M271" s="4" t="n">
        <f aca="false">IF(AND(Assumptions!$B$13,ISNUMBER('City Data'!I271)),Assumptions!$B$11*'City Data'!I271,0)</f>
        <v>10</v>
      </c>
      <c r="N271" s="4" t="n">
        <f aca="false">IF(AND(Assumptions!$B$13,ISNUMBER('City Data'!I271)),Assumptions!$B$12*'City Data'!I271,0)</f>
        <v>15</v>
      </c>
      <c r="O271" s="4" t="n">
        <f aca="false">B271+E271+H271+K271</f>
        <v>119.2</v>
      </c>
      <c r="P271" s="4" t="n">
        <f aca="false">C271+F271+I271+K271</f>
        <v>220</v>
      </c>
      <c r="Q271" s="4" t="n">
        <f aca="false">D271+G271+J271+K271</f>
        <v>458.2</v>
      </c>
      <c r="R271" s="4" t="n">
        <f aca="false">IF(Assumptions!$B$14,Assumptions!$B$15*O271,0)</f>
        <v>11.92</v>
      </c>
      <c r="S271" s="4" t="n">
        <f aca="false">IF(Assumptions!$B$14,Assumptions!$B$16*P271,0)</f>
        <v>44</v>
      </c>
      <c r="T271" s="4" t="n">
        <f aca="false">IF(Assumptions!$B$14,Assumptions!$B$17*Q271,0)</f>
        <v>160.37</v>
      </c>
      <c r="U271" s="4" t="n">
        <f aca="false">O271+L271+R271</f>
        <v>136.12</v>
      </c>
      <c r="V271" s="4" t="n">
        <f aca="false">P271+M271+S271</f>
        <v>274</v>
      </c>
      <c r="W271" s="4" t="n">
        <f aca="false">Q271+N271+T271</f>
        <v>633.57</v>
      </c>
      <c r="X271" s="4" t="n">
        <f aca="false">'City Data'!K271</f>
        <v>80</v>
      </c>
      <c r="Y271" s="4" t="n">
        <f aca="false">'City Data'!L271</f>
        <v>190</v>
      </c>
      <c r="Z271" s="4" t="n">
        <f aca="false">'City Data'!M271</f>
        <v>500</v>
      </c>
      <c r="AA271" s="4" t="n">
        <f aca="false">U271-X271</f>
        <v>56.12</v>
      </c>
      <c r="AB271" s="4" t="n">
        <f aca="false">V271-Y271</f>
        <v>84</v>
      </c>
      <c r="AC271" s="4" t="n">
        <f aca="false">W271-Z271</f>
        <v>133.57</v>
      </c>
      <c r="AD271" s="4" t="str">
        <f aca="false">IF(OR(AND(X271&lt;&gt;0,ABS(AA271)&gt;Assumptions!$B$18*X271),AND(Y271&lt;&gt;0,ABS(AB271)&gt;Assumptions!$B$18*Y271),AND(Z271&lt;&gt;0,ABS(AC271)&gt;Assumptions!$B$18*Z271)),"REVIEW","")</f>
        <v>REVIEW</v>
      </c>
    </row>
    <row r="272" customFormat="false" ht="15" hidden="false" customHeight="false" outlineLevel="0" collapsed="false">
      <c r="A272" s="0" t="str">
        <f aca="false">'City Data'!A272</f>
        <v>Vientiane</v>
      </c>
      <c r="B272" s="4" t="n">
        <f aca="false">'City Data'!B272/Assumptions!$B$2</f>
        <v>7.5</v>
      </c>
      <c r="C272" s="4" t="n">
        <f aca="false">'City Data'!C272/Assumptions!$B$2</f>
        <v>22.5</v>
      </c>
      <c r="D272" s="4" t="n">
        <f aca="false">'City Data'!D272/Assumptions!$B$2</f>
        <v>60</v>
      </c>
      <c r="E272" s="4" t="n">
        <f aca="false">Assumptions!$B$3*Assumptions!$B$4*'City Data'!E272</f>
        <v>21</v>
      </c>
      <c r="F272" s="4" t="n">
        <f aca="false">Assumptions!$B$3*Assumptions!$B$5*'City Data'!E272</f>
        <v>37.8</v>
      </c>
      <c r="G272" s="4" t="n">
        <f aca="false">Assumptions!$B$3*Assumptions!$B$6*'City Data'!E272</f>
        <v>73.5</v>
      </c>
      <c r="H272" s="4" t="n">
        <f aca="false">Assumptions!$B$7*'City Data'!F272</f>
        <v>4</v>
      </c>
      <c r="I272" s="4" t="n">
        <f aca="false">Assumptions!$B$8*'City Data'!F272</f>
        <v>8</v>
      </c>
      <c r="J272" s="4" t="n">
        <f aca="false">Assumptions!$B$9*'City Data'!F272</f>
        <v>16</v>
      </c>
      <c r="K272" s="4" t="n">
        <f aca="false">'City Data'!G272+'City Data'!H272</f>
        <v>2</v>
      </c>
      <c r="L272" s="4" t="n">
        <f aca="false">IF(AND(Assumptions!$B$13,ISNUMBER('City Data'!I272)),Assumptions!$B$10*'City Data'!I272,0)</f>
        <v>2</v>
      </c>
      <c r="M272" s="4" t="n">
        <f aca="false">IF(AND(Assumptions!$B$13,ISNUMBER('City Data'!I272)),Assumptions!$B$11*'City Data'!I272,0)</f>
        <v>4</v>
      </c>
      <c r="N272" s="4" t="n">
        <f aca="false">IF(AND(Assumptions!$B$13,ISNUMBER('City Data'!I272)),Assumptions!$B$12*'City Data'!I272,0)</f>
        <v>6</v>
      </c>
      <c r="O272" s="4" t="n">
        <f aca="false">B272+E272+H272+K272</f>
        <v>34.5</v>
      </c>
      <c r="P272" s="4" t="n">
        <f aca="false">C272+F272+I272+K272</f>
        <v>70.3</v>
      </c>
      <c r="Q272" s="4" t="n">
        <f aca="false">D272+G272+J272+K272</f>
        <v>151.5</v>
      </c>
      <c r="R272" s="4" t="n">
        <f aca="false">IF(Assumptions!$B$14,Assumptions!$B$15*O272,0)</f>
        <v>3.45</v>
      </c>
      <c r="S272" s="4" t="n">
        <f aca="false">IF(Assumptions!$B$14,Assumptions!$B$16*P272,0)</f>
        <v>14.06</v>
      </c>
      <c r="T272" s="4" t="n">
        <f aca="false">IF(Assumptions!$B$14,Assumptions!$B$17*Q272,0)</f>
        <v>53.025</v>
      </c>
      <c r="U272" s="4" t="n">
        <f aca="false">O272+L272+R272</f>
        <v>39.95</v>
      </c>
      <c r="V272" s="4" t="n">
        <f aca="false">P272+M272+S272</f>
        <v>88.36</v>
      </c>
      <c r="W272" s="4" t="n">
        <f aca="false">Q272+N272+T272</f>
        <v>210.525</v>
      </c>
      <c r="X272" s="4" t="n">
        <f aca="false">'City Data'!K272</f>
        <v>30</v>
      </c>
      <c r="Y272" s="4" t="n">
        <f aca="false">'City Data'!L272</f>
        <v>70</v>
      </c>
      <c r="Z272" s="4" t="n">
        <f aca="false">'City Data'!M272</f>
        <v>215</v>
      </c>
      <c r="AA272" s="4" t="n">
        <f aca="false">U272-X272</f>
        <v>9.95</v>
      </c>
      <c r="AB272" s="4" t="n">
        <f aca="false">V272-Y272</f>
        <v>18.36</v>
      </c>
      <c r="AC272" s="4" t="n">
        <f aca="false">W272-Z272</f>
        <v>-4.47499999999999</v>
      </c>
      <c r="AD272" s="4" t="str">
        <f aca="false">IF(OR(AND(X272&lt;&gt;0,ABS(AA272)&gt;Assumptions!$B$18*X272),AND(Y272&lt;&gt;0,ABS(AB272)&gt;Assumptions!$B$18*Y272),AND(Z272&lt;&gt;0,ABS(AC272)&gt;Assumptions!$B$18*Z272)),"REVIEW","")</f>
        <v>REVIEW</v>
      </c>
    </row>
    <row r="273" customFormat="false" ht="15" hidden="false" customHeight="false" outlineLevel="0" collapsed="false">
      <c r="A273" s="0" t="str">
        <f aca="false">'City Data'!A273</f>
        <v>Vilnius</v>
      </c>
      <c r="B273" s="4" t="n">
        <f aca="false">'City Data'!B273/Assumptions!$B$2</f>
        <v>20</v>
      </c>
      <c r="C273" s="4" t="n">
        <f aca="false">'City Data'!C273/Assumptions!$B$2</f>
        <v>45</v>
      </c>
      <c r="D273" s="4" t="n">
        <f aca="false">'City Data'!D273/Assumptions!$B$2</f>
        <v>85</v>
      </c>
      <c r="E273" s="4" t="n">
        <f aca="false">Assumptions!$B$3*Assumptions!$B$4*'City Data'!E273</f>
        <v>48</v>
      </c>
      <c r="F273" s="4" t="n">
        <f aca="false">Assumptions!$B$3*Assumptions!$B$5*'City Data'!E273</f>
        <v>86.4</v>
      </c>
      <c r="G273" s="4" t="n">
        <f aca="false">Assumptions!$B$3*Assumptions!$B$6*'City Data'!E273</f>
        <v>168</v>
      </c>
      <c r="H273" s="4" t="n">
        <f aca="false">Assumptions!$B$7*'City Data'!F273</f>
        <v>12</v>
      </c>
      <c r="I273" s="4" t="n">
        <f aca="false">Assumptions!$B$8*'City Data'!F273</f>
        <v>24</v>
      </c>
      <c r="J273" s="4" t="n">
        <f aca="false">Assumptions!$B$9*'City Data'!F273</f>
        <v>48</v>
      </c>
      <c r="K273" s="4" t="n">
        <f aca="false">'City Data'!G273+'City Data'!H273</f>
        <v>4</v>
      </c>
      <c r="L273" s="4" t="n">
        <f aca="false">IF(AND(Assumptions!$B$13,ISNUMBER('City Data'!I273)),Assumptions!$B$10*'City Data'!I273,0)</f>
        <v>3.5</v>
      </c>
      <c r="M273" s="4" t="n">
        <f aca="false">IF(AND(Assumptions!$B$13,ISNUMBER('City Data'!I273)),Assumptions!$B$11*'City Data'!I273,0)</f>
        <v>7</v>
      </c>
      <c r="N273" s="4" t="n">
        <f aca="false">IF(AND(Assumptions!$B$13,ISNUMBER('City Data'!I273)),Assumptions!$B$12*'City Data'!I273,0)</f>
        <v>10.5</v>
      </c>
      <c r="O273" s="4" t="n">
        <f aca="false">B273+E273+H273+K273</f>
        <v>84</v>
      </c>
      <c r="P273" s="4" t="n">
        <f aca="false">C273+F273+I273+K273</f>
        <v>159.4</v>
      </c>
      <c r="Q273" s="4" t="n">
        <f aca="false">D273+G273+J273+K273</f>
        <v>305</v>
      </c>
      <c r="R273" s="4" t="n">
        <f aca="false">IF(Assumptions!$B$14,Assumptions!$B$15*O273,0)</f>
        <v>8.4</v>
      </c>
      <c r="S273" s="4" t="n">
        <f aca="false">IF(Assumptions!$B$14,Assumptions!$B$16*P273,0)</f>
        <v>31.88</v>
      </c>
      <c r="T273" s="4" t="n">
        <f aca="false">IF(Assumptions!$B$14,Assumptions!$B$17*Q273,0)</f>
        <v>106.75</v>
      </c>
      <c r="U273" s="4" t="n">
        <f aca="false">O273+L273+R273</f>
        <v>95.9</v>
      </c>
      <c r="V273" s="4" t="n">
        <f aca="false">P273+M273+S273</f>
        <v>198.28</v>
      </c>
      <c r="W273" s="4" t="n">
        <f aca="false">Q273+N273+T273</f>
        <v>422.25</v>
      </c>
      <c r="X273" s="4" t="n">
        <f aca="false">'City Data'!K273</f>
        <v>55</v>
      </c>
      <c r="Y273" s="4" t="n">
        <f aca="false">'City Data'!L273</f>
        <v>130</v>
      </c>
      <c r="Z273" s="4" t="n">
        <f aca="false">'City Data'!M273</f>
        <v>350</v>
      </c>
      <c r="AA273" s="4" t="n">
        <f aca="false">U273-X273</f>
        <v>40.9</v>
      </c>
      <c r="AB273" s="4" t="n">
        <f aca="false">V273-Y273</f>
        <v>68.28</v>
      </c>
      <c r="AC273" s="4" t="n">
        <f aca="false">W273-Z273</f>
        <v>72.25</v>
      </c>
      <c r="AD273" s="4" t="str">
        <f aca="false">IF(OR(AND(X273&lt;&gt;0,ABS(AA273)&gt;Assumptions!$B$18*X273),AND(Y273&lt;&gt;0,ABS(AB273)&gt;Assumptions!$B$18*Y273),AND(Z273&lt;&gt;0,ABS(AC273)&gt;Assumptions!$B$18*Z273)),"REVIEW","")</f>
        <v>REVIEW</v>
      </c>
    </row>
    <row r="274" customFormat="false" ht="15" hidden="false" customHeight="false" outlineLevel="0" collapsed="false">
      <c r="A274" s="0" t="str">
        <f aca="false">'City Data'!A274</f>
        <v>Warsaw</v>
      </c>
      <c r="B274" s="4" t="n">
        <f aca="false">'City Data'!B274/Assumptions!$B$2</f>
        <v>20</v>
      </c>
      <c r="C274" s="4" t="n">
        <f aca="false">'City Data'!C274/Assumptions!$B$2</f>
        <v>40</v>
      </c>
      <c r="D274" s="4" t="n">
        <f aca="false">'City Data'!D274/Assumptions!$B$2</f>
        <v>100</v>
      </c>
      <c r="E274" s="4" t="n">
        <f aca="false">Assumptions!$B$3*Assumptions!$B$4*'City Data'!E274</f>
        <v>45</v>
      </c>
      <c r="F274" s="4" t="n">
        <f aca="false">Assumptions!$B$3*Assumptions!$B$5*'City Data'!E274</f>
        <v>81</v>
      </c>
      <c r="G274" s="4" t="n">
        <f aca="false">Assumptions!$B$3*Assumptions!$B$6*'City Data'!E274</f>
        <v>157.5</v>
      </c>
      <c r="H274" s="4" t="n">
        <f aca="false">Assumptions!$B$7*'City Data'!F274</f>
        <v>15</v>
      </c>
      <c r="I274" s="4" t="n">
        <f aca="false">Assumptions!$B$8*'City Data'!F274</f>
        <v>30</v>
      </c>
      <c r="J274" s="4" t="n">
        <f aca="false">Assumptions!$B$9*'City Data'!F274</f>
        <v>60</v>
      </c>
      <c r="K274" s="4" t="n">
        <f aca="false">'City Data'!G274+'City Data'!H274</f>
        <v>5</v>
      </c>
      <c r="L274" s="4" t="n">
        <f aca="false">IF(AND(Assumptions!$B$13,ISNUMBER('City Data'!I274)),Assumptions!$B$10*'City Data'!I274,0)</f>
        <v>3.5</v>
      </c>
      <c r="M274" s="4" t="n">
        <f aca="false">IF(AND(Assumptions!$B$13,ISNUMBER('City Data'!I274)),Assumptions!$B$11*'City Data'!I274,0)</f>
        <v>7</v>
      </c>
      <c r="N274" s="4" t="n">
        <f aca="false">IF(AND(Assumptions!$B$13,ISNUMBER('City Data'!I274)),Assumptions!$B$12*'City Data'!I274,0)</f>
        <v>10.5</v>
      </c>
      <c r="O274" s="4" t="n">
        <f aca="false">B274+E274+H274+K274</f>
        <v>85</v>
      </c>
      <c r="P274" s="4" t="n">
        <f aca="false">C274+F274+I274+K274</f>
        <v>156</v>
      </c>
      <c r="Q274" s="4" t="n">
        <f aca="false">D274+G274+J274+K274</f>
        <v>322.5</v>
      </c>
      <c r="R274" s="4" t="n">
        <f aca="false">IF(Assumptions!$B$14,Assumptions!$B$15*O274,0)</f>
        <v>8.5</v>
      </c>
      <c r="S274" s="4" t="n">
        <f aca="false">IF(Assumptions!$B$14,Assumptions!$B$16*P274,0)</f>
        <v>31.2</v>
      </c>
      <c r="T274" s="4" t="n">
        <f aca="false">IF(Assumptions!$B$14,Assumptions!$B$17*Q274,0)</f>
        <v>112.875</v>
      </c>
      <c r="U274" s="4" t="n">
        <f aca="false">O274+L274+R274</f>
        <v>97</v>
      </c>
      <c r="V274" s="4" t="n">
        <f aca="false">P274+M274+S274</f>
        <v>194.2</v>
      </c>
      <c r="W274" s="4" t="n">
        <f aca="false">Q274+N274+T274</f>
        <v>445.875</v>
      </c>
      <c r="X274" s="4" t="n">
        <f aca="false">'City Data'!K274</f>
        <v>55</v>
      </c>
      <c r="Y274" s="4" t="n">
        <f aca="false">'City Data'!L274</f>
        <v>130</v>
      </c>
      <c r="Z274" s="4" t="n">
        <f aca="false">'City Data'!M274</f>
        <v>350</v>
      </c>
      <c r="AA274" s="4" t="n">
        <f aca="false">U274-X274</f>
        <v>42</v>
      </c>
      <c r="AB274" s="4" t="n">
        <f aca="false">V274-Y274</f>
        <v>64.2</v>
      </c>
      <c r="AC274" s="4" t="n">
        <f aca="false">W274-Z274</f>
        <v>95.875</v>
      </c>
      <c r="AD274" s="4" t="str">
        <f aca="false">IF(OR(AND(X274&lt;&gt;0,ABS(AA274)&gt;Assumptions!$B$18*X274),AND(Y274&lt;&gt;0,ABS(AB274)&gt;Assumptions!$B$18*Y274),AND(Z274&lt;&gt;0,ABS(AC274)&gt;Assumptions!$B$18*Z274)),"REVIEW","")</f>
        <v>REVIEW</v>
      </c>
    </row>
    <row r="275" customFormat="false" ht="15" hidden="false" customHeight="false" outlineLevel="0" collapsed="false">
      <c r="A275" s="0" t="str">
        <f aca="false">'City Data'!A275</f>
        <v>Washington, D.C.</v>
      </c>
      <c r="B275" s="4" t="n">
        <f aca="false">'City Data'!B275/Assumptions!$B$2</f>
        <v>55</v>
      </c>
      <c r="C275" s="4" t="n">
        <f aca="false">'City Data'!C275/Assumptions!$B$2</f>
        <v>100</v>
      </c>
      <c r="D275" s="4" t="n">
        <f aca="false">'City Data'!D275/Assumptions!$B$2</f>
        <v>225</v>
      </c>
      <c r="E275" s="4" t="n">
        <f aca="false">Assumptions!$B$3*Assumptions!$B$4*'City Data'!E275</f>
        <v>84</v>
      </c>
      <c r="F275" s="4" t="n">
        <f aca="false">Assumptions!$B$3*Assumptions!$B$5*'City Data'!E275</f>
        <v>151.2</v>
      </c>
      <c r="G275" s="4" t="n">
        <f aca="false">Assumptions!$B$3*Assumptions!$B$6*'City Data'!E275</f>
        <v>294</v>
      </c>
      <c r="H275" s="4" t="n">
        <f aca="false">Assumptions!$B$7*'City Data'!F275</f>
        <v>28</v>
      </c>
      <c r="I275" s="4" t="n">
        <f aca="false">Assumptions!$B$8*'City Data'!F275</f>
        <v>56</v>
      </c>
      <c r="J275" s="4" t="n">
        <f aca="false">Assumptions!$B$9*'City Data'!F275</f>
        <v>112</v>
      </c>
      <c r="K275" s="4" t="n">
        <f aca="false">'City Data'!G275+'City Data'!H275</f>
        <v>6.5</v>
      </c>
      <c r="L275" s="4" t="n">
        <f aca="false">IF(AND(Assumptions!$B$13,ISNUMBER('City Data'!I275)),Assumptions!$B$10*'City Data'!I275,0)</f>
        <v>7</v>
      </c>
      <c r="M275" s="4" t="n">
        <f aca="false">IF(AND(Assumptions!$B$13,ISNUMBER('City Data'!I275)),Assumptions!$B$11*'City Data'!I275,0)</f>
        <v>14</v>
      </c>
      <c r="N275" s="4" t="n">
        <f aca="false">IF(AND(Assumptions!$B$13,ISNUMBER('City Data'!I275)),Assumptions!$B$12*'City Data'!I275,0)</f>
        <v>21</v>
      </c>
      <c r="O275" s="4" t="n">
        <f aca="false">B275+E275+H275+K275</f>
        <v>173.5</v>
      </c>
      <c r="P275" s="4" t="n">
        <f aca="false">C275+F275+I275+K275</f>
        <v>313.7</v>
      </c>
      <c r="Q275" s="4" t="n">
        <f aca="false">D275+G275+J275+K275</f>
        <v>637.5</v>
      </c>
      <c r="R275" s="4" t="n">
        <f aca="false">IF(Assumptions!$B$14,Assumptions!$B$15*O275,0)</f>
        <v>17.35</v>
      </c>
      <c r="S275" s="4" t="n">
        <f aca="false">IF(Assumptions!$B$14,Assumptions!$B$16*P275,0)</f>
        <v>62.74</v>
      </c>
      <c r="T275" s="4" t="n">
        <f aca="false">IF(Assumptions!$B$14,Assumptions!$B$17*Q275,0)</f>
        <v>223.125</v>
      </c>
      <c r="U275" s="4" t="n">
        <f aca="false">O275+L275+R275</f>
        <v>197.85</v>
      </c>
      <c r="V275" s="4" t="n">
        <f aca="false">P275+M275+S275</f>
        <v>390.44</v>
      </c>
      <c r="W275" s="4" t="n">
        <f aca="false">Q275+N275+T275</f>
        <v>881.625</v>
      </c>
      <c r="X275" s="4" t="n">
        <f aca="false">'City Data'!K275</f>
        <v>100</v>
      </c>
      <c r="Y275" s="4" t="n">
        <f aca="false">'City Data'!L275</f>
        <v>250</v>
      </c>
      <c r="Z275" s="4" t="n">
        <f aca="false">'City Data'!M275</f>
        <v>680</v>
      </c>
      <c r="AA275" s="4" t="n">
        <f aca="false">U275-X275</f>
        <v>97.85</v>
      </c>
      <c r="AB275" s="4" t="n">
        <f aca="false">V275-Y275</f>
        <v>140.44</v>
      </c>
      <c r="AC275" s="4" t="n">
        <f aca="false">W275-Z275</f>
        <v>201.625</v>
      </c>
      <c r="AD275" s="4" t="str">
        <f aca="false">IF(OR(AND(X275&lt;&gt;0,ABS(AA275)&gt;Assumptions!$B$18*X275),AND(Y275&lt;&gt;0,ABS(AB275)&gt;Assumptions!$B$18*Y275),AND(Z275&lt;&gt;0,ABS(AC275)&gt;Assumptions!$B$18*Z275)),"REVIEW","")</f>
        <v>REVIEW</v>
      </c>
    </row>
    <row r="276" customFormat="false" ht="15" hidden="false" customHeight="false" outlineLevel="0" collapsed="false">
      <c r="A276" s="0" t="str">
        <f aca="false">'City Data'!A276</f>
        <v>Weno</v>
      </c>
      <c r="B276" s="4" t="n">
        <f aca="false">'City Data'!B276/Assumptions!$B$2</f>
        <v>32.5</v>
      </c>
      <c r="C276" s="4" t="n">
        <f aca="false">'City Data'!C276/Assumptions!$B$2</f>
        <v>37.5</v>
      </c>
      <c r="D276" s="4" t="n">
        <f aca="false">'City Data'!D276/Assumptions!$B$2</f>
        <v>90</v>
      </c>
      <c r="E276" s="4" t="n">
        <f aca="false">Assumptions!$B$3*Assumptions!$B$4*'City Data'!E276</f>
        <v>36</v>
      </c>
      <c r="F276" s="4" t="n">
        <f aca="false">Assumptions!$B$3*Assumptions!$B$5*'City Data'!E276</f>
        <v>64.8</v>
      </c>
      <c r="G276" s="4" t="n">
        <f aca="false">Assumptions!$B$3*Assumptions!$B$6*'City Data'!E276</f>
        <v>126</v>
      </c>
      <c r="H276" s="4" t="n">
        <f aca="false">Assumptions!$B$7*'City Data'!F276</f>
        <v>2</v>
      </c>
      <c r="I276" s="4" t="n">
        <f aca="false">Assumptions!$B$8*'City Data'!F276</f>
        <v>4</v>
      </c>
      <c r="J276" s="4" t="n">
        <f aca="false">Assumptions!$B$9*'City Data'!F276</f>
        <v>8</v>
      </c>
      <c r="K276" s="4" t="n">
        <f aca="false">'City Data'!G276+'City Data'!H276</f>
        <v>4.5</v>
      </c>
      <c r="L276" s="4" t="n">
        <f aca="false">IF(AND(Assumptions!$B$13,ISNUMBER('City Data'!I276)),Assumptions!$B$10*'City Data'!I276,0)</f>
        <v>6</v>
      </c>
      <c r="M276" s="4" t="n">
        <f aca="false">IF(AND(Assumptions!$B$13,ISNUMBER('City Data'!I276)),Assumptions!$B$11*'City Data'!I276,0)</f>
        <v>12</v>
      </c>
      <c r="N276" s="4" t="n">
        <f aca="false">IF(AND(Assumptions!$B$13,ISNUMBER('City Data'!I276)),Assumptions!$B$12*'City Data'!I276,0)</f>
        <v>18</v>
      </c>
      <c r="O276" s="4" t="n">
        <f aca="false">B276+E276+H276+K276</f>
        <v>75</v>
      </c>
      <c r="P276" s="4" t="n">
        <f aca="false">C276+F276+I276+K276</f>
        <v>110.8</v>
      </c>
      <c r="Q276" s="4" t="n">
        <f aca="false">D276+G276+J276+K276</f>
        <v>228.5</v>
      </c>
      <c r="R276" s="4" t="n">
        <f aca="false">IF(Assumptions!$B$14,Assumptions!$B$15*O276,0)</f>
        <v>7.5</v>
      </c>
      <c r="S276" s="4" t="n">
        <f aca="false">IF(Assumptions!$B$14,Assumptions!$B$16*P276,0)</f>
        <v>22.16</v>
      </c>
      <c r="T276" s="4" t="n">
        <f aca="false">IF(Assumptions!$B$14,Assumptions!$B$17*Q276,0)</f>
        <v>79.975</v>
      </c>
      <c r="U276" s="4" t="n">
        <f aca="false">O276+L276+R276</f>
        <v>88.5</v>
      </c>
      <c r="V276" s="4" t="n">
        <f aca="false">P276+M276+S276</f>
        <v>144.96</v>
      </c>
      <c r="W276" s="4" t="n">
        <f aca="false">Q276+N276+T276</f>
        <v>326.475</v>
      </c>
      <c r="X276" s="4" t="n">
        <f aca="false">'City Data'!K276</f>
        <v>50</v>
      </c>
      <c r="Y276" s="4" t="n">
        <f aca="false">'City Data'!L276</f>
        <v>125</v>
      </c>
      <c r="Z276" s="4" t="n">
        <f aca="false">'City Data'!M276</f>
        <v>350</v>
      </c>
      <c r="AA276" s="4" t="n">
        <f aca="false">U276-X276</f>
        <v>38.5</v>
      </c>
      <c r="AB276" s="4" t="n">
        <f aca="false">V276-Y276</f>
        <v>19.96</v>
      </c>
      <c r="AC276" s="4" t="n">
        <f aca="false">W276-Z276</f>
        <v>-23.525</v>
      </c>
      <c r="AD276" s="4" t="str">
        <f aca="false">IF(OR(AND(X276&lt;&gt;0,ABS(AA276)&gt;Assumptions!$B$18*X276),AND(Y276&lt;&gt;0,ABS(AB276)&gt;Assumptions!$B$18*Y276),AND(Z276&lt;&gt;0,ABS(AC276)&gt;Assumptions!$B$18*Z276)),"REVIEW","")</f>
        <v>REVIEW</v>
      </c>
    </row>
    <row r="277" customFormat="false" ht="15" hidden="false" customHeight="false" outlineLevel="0" collapsed="false">
      <c r="A277" s="0" t="str">
        <f aca="false">'City Data'!A277</f>
        <v>Windhoek</v>
      </c>
      <c r="B277" s="4" t="n">
        <f aca="false">'City Data'!B277/Assumptions!$B$2</f>
        <v>12.5</v>
      </c>
      <c r="C277" s="4" t="n">
        <f aca="false">'City Data'!C277/Assumptions!$B$2</f>
        <v>47.5</v>
      </c>
      <c r="D277" s="4" t="n">
        <f aca="false">'City Data'!D277/Assumptions!$B$2</f>
        <v>110</v>
      </c>
      <c r="E277" s="4" t="n">
        <f aca="false">Assumptions!$B$3*Assumptions!$B$4*'City Data'!E277</f>
        <v>36</v>
      </c>
      <c r="F277" s="4" t="n">
        <f aca="false">Assumptions!$B$3*Assumptions!$B$5*'City Data'!E277</f>
        <v>64.8</v>
      </c>
      <c r="G277" s="4" t="n">
        <f aca="false">Assumptions!$B$3*Assumptions!$B$6*'City Data'!E277</f>
        <v>126</v>
      </c>
      <c r="H277" s="4" t="n">
        <f aca="false">Assumptions!$B$7*'City Data'!F277</f>
        <v>6</v>
      </c>
      <c r="I277" s="4" t="n">
        <f aca="false">Assumptions!$B$8*'City Data'!F277</f>
        <v>12</v>
      </c>
      <c r="J277" s="4" t="n">
        <f aca="false">Assumptions!$B$9*'City Data'!F277</f>
        <v>24</v>
      </c>
      <c r="K277" s="4" t="n">
        <f aca="false">'City Data'!G277+'City Data'!H277</f>
        <v>3.5</v>
      </c>
      <c r="L277" s="4" t="n">
        <f aca="false">IF(AND(Assumptions!$B$13,ISNUMBER('City Data'!I277)),Assumptions!$B$10*'City Data'!I277,0)</f>
        <v>2.5</v>
      </c>
      <c r="M277" s="4" t="n">
        <f aca="false">IF(AND(Assumptions!$B$13,ISNUMBER('City Data'!I277)),Assumptions!$B$11*'City Data'!I277,0)</f>
        <v>5</v>
      </c>
      <c r="N277" s="4" t="n">
        <f aca="false">IF(AND(Assumptions!$B$13,ISNUMBER('City Data'!I277)),Assumptions!$B$12*'City Data'!I277,0)</f>
        <v>7.5</v>
      </c>
      <c r="O277" s="4" t="n">
        <f aca="false">B277+E277+H277+K277</f>
        <v>58</v>
      </c>
      <c r="P277" s="4" t="n">
        <f aca="false">C277+F277+I277+K277</f>
        <v>127.8</v>
      </c>
      <c r="Q277" s="4" t="n">
        <f aca="false">D277+G277+J277+K277</f>
        <v>263.5</v>
      </c>
      <c r="R277" s="4" t="n">
        <f aca="false">IF(Assumptions!$B$14,Assumptions!$B$15*O277,0)</f>
        <v>5.8</v>
      </c>
      <c r="S277" s="4" t="n">
        <f aca="false">IF(Assumptions!$B$14,Assumptions!$B$16*P277,0)</f>
        <v>25.56</v>
      </c>
      <c r="T277" s="4" t="n">
        <f aca="false">IF(Assumptions!$B$14,Assumptions!$B$17*Q277,0)</f>
        <v>92.225</v>
      </c>
      <c r="U277" s="4" t="n">
        <f aca="false">O277+L277+R277</f>
        <v>66.3</v>
      </c>
      <c r="V277" s="4" t="n">
        <f aca="false">P277+M277+S277</f>
        <v>158.36</v>
      </c>
      <c r="W277" s="4" t="n">
        <f aca="false">Q277+N277+T277</f>
        <v>363.225</v>
      </c>
      <c r="X277" s="4" t="n">
        <f aca="false">'City Data'!K277</f>
        <v>40</v>
      </c>
      <c r="Y277" s="4" t="n">
        <f aca="false">'City Data'!L277</f>
        <v>105</v>
      </c>
      <c r="Z277" s="4" t="n">
        <f aca="false">'City Data'!M277</f>
        <v>315</v>
      </c>
      <c r="AA277" s="4" t="n">
        <f aca="false">U277-X277</f>
        <v>26.3</v>
      </c>
      <c r="AB277" s="4" t="n">
        <f aca="false">V277-Y277</f>
        <v>53.36</v>
      </c>
      <c r="AC277" s="4" t="n">
        <f aca="false">W277-Z277</f>
        <v>48.225</v>
      </c>
      <c r="AD277" s="4" t="str">
        <f aca="false">IF(OR(AND(X277&lt;&gt;0,ABS(AA277)&gt;Assumptions!$B$18*X277),AND(Y277&lt;&gt;0,ABS(AB277)&gt;Assumptions!$B$18*Y277),AND(Z277&lt;&gt;0,ABS(AC277)&gt;Assumptions!$B$18*Z277)),"REVIEW","")</f>
        <v>REVIEW</v>
      </c>
    </row>
    <row r="278" customFormat="false" ht="15" hidden="false" customHeight="false" outlineLevel="0" collapsed="false">
      <c r="A278" s="0" t="str">
        <f aca="false">'City Data'!A278</f>
        <v>Wuhan</v>
      </c>
      <c r="B278" s="4" t="n">
        <f aca="false">'City Data'!B278/Assumptions!$B$2</f>
        <v>11</v>
      </c>
      <c r="C278" s="4" t="n">
        <f aca="false">'City Data'!C278/Assumptions!$B$2</f>
        <v>27.5</v>
      </c>
      <c r="D278" s="4" t="n">
        <f aca="false">'City Data'!D278/Assumptions!$B$2</f>
        <v>65</v>
      </c>
      <c r="E278" s="4" t="n">
        <f aca="false">Assumptions!$B$3*Assumptions!$B$4*'City Data'!E278</f>
        <v>24</v>
      </c>
      <c r="F278" s="4" t="n">
        <f aca="false">Assumptions!$B$3*Assumptions!$B$5*'City Data'!E278</f>
        <v>43.2</v>
      </c>
      <c r="G278" s="4" t="n">
        <f aca="false">Assumptions!$B$3*Assumptions!$B$6*'City Data'!E278</f>
        <v>84</v>
      </c>
      <c r="H278" s="4" t="n">
        <f aca="false">Assumptions!$B$7*'City Data'!F278</f>
        <v>4</v>
      </c>
      <c r="I278" s="4" t="n">
        <f aca="false">Assumptions!$B$8*'City Data'!F278</f>
        <v>8</v>
      </c>
      <c r="J278" s="4" t="n">
        <f aca="false">Assumptions!$B$9*'City Data'!F278</f>
        <v>16</v>
      </c>
      <c r="K278" s="4" t="n">
        <f aca="false">'City Data'!G278+'City Data'!H278</f>
        <v>3.8</v>
      </c>
      <c r="L278" s="4" t="n">
        <f aca="false">IF(AND(Assumptions!$B$13,ISNUMBER('City Data'!I278)),Assumptions!$B$10*'City Data'!I278,0)</f>
        <v>1.2</v>
      </c>
      <c r="M278" s="4" t="n">
        <f aca="false">IF(AND(Assumptions!$B$13,ISNUMBER('City Data'!I278)),Assumptions!$B$11*'City Data'!I278,0)</f>
        <v>2.4</v>
      </c>
      <c r="N278" s="4" t="n">
        <f aca="false">IF(AND(Assumptions!$B$13,ISNUMBER('City Data'!I278)),Assumptions!$B$12*'City Data'!I278,0)</f>
        <v>3.6</v>
      </c>
      <c r="O278" s="4" t="n">
        <f aca="false">B278+E278+H278+K278</f>
        <v>42.8</v>
      </c>
      <c r="P278" s="4" t="n">
        <f aca="false">C278+F278+I278+K278</f>
        <v>82.5</v>
      </c>
      <c r="Q278" s="4" t="n">
        <f aca="false">D278+G278+J278+K278</f>
        <v>168.8</v>
      </c>
      <c r="R278" s="4" t="n">
        <f aca="false">IF(Assumptions!$B$14,Assumptions!$B$15*O278,0)</f>
        <v>4.28</v>
      </c>
      <c r="S278" s="4" t="n">
        <f aca="false">IF(Assumptions!$B$14,Assumptions!$B$16*P278,0)</f>
        <v>16.5</v>
      </c>
      <c r="T278" s="4" t="n">
        <f aca="false">IF(Assumptions!$B$14,Assumptions!$B$17*Q278,0)</f>
        <v>59.08</v>
      </c>
      <c r="U278" s="4" t="n">
        <f aca="false">O278+L278+R278</f>
        <v>48.28</v>
      </c>
      <c r="V278" s="4" t="n">
        <f aca="false">P278+M278+S278</f>
        <v>101.4</v>
      </c>
      <c r="W278" s="4" t="n">
        <f aca="false">Q278+N278+T278</f>
        <v>231.48</v>
      </c>
      <c r="X278" s="4" t="n">
        <f aca="false">'City Data'!K278</f>
        <v>30</v>
      </c>
      <c r="Y278" s="4" t="n">
        <f aca="false">'City Data'!L278</f>
        <v>75</v>
      </c>
      <c r="Z278" s="4" t="n">
        <f aca="false">'City Data'!M278</f>
        <v>220</v>
      </c>
      <c r="AA278" s="4" t="n">
        <f aca="false">U278-X278</f>
        <v>18.28</v>
      </c>
      <c r="AB278" s="4" t="n">
        <f aca="false">V278-Y278</f>
        <v>26.4</v>
      </c>
      <c r="AC278" s="4" t="n">
        <f aca="false">W278-Z278</f>
        <v>11.48</v>
      </c>
      <c r="AD278" s="4" t="str">
        <f aca="false">IF(OR(AND(X278&lt;&gt;0,ABS(AA278)&gt;Assumptions!$B$18*X278),AND(Y278&lt;&gt;0,ABS(AB278)&gt;Assumptions!$B$18*Y278),AND(Z278&lt;&gt;0,ABS(AC278)&gt;Assumptions!$B$18*Z278)),"REVIEW","")</f>
        <v>REVIEW</v>
      </c>
    </row>
    <row r="279" customFormat="false" ht="15" hidden="false" customHeight="false" outlineLevel="0" collapsed="false">
      <c r="A279" s="0" t="str">
        <f aca="false">'City Data'!A279</f>
        <v>Wuxi</v>
      </c>
      <c r="B279" s="4" t="n">
        <f aca="false">'City Data'!B279/Assumptions!$B$2</f>
        <v>15</v>
      </c>
      <c r="C279" s="4" t="n">
        <f aca="false">'City Data'!C279/Assumptions!$B$2</f>
        <v>30</v>
      </c>
      <c r="D279" s="4" t="n">
        <f aca="false">'City Data'!D279/Assumptions!$B$2</f>
        <v>65</v>
      </c>
      <c r="E279" s="4" t="n">
        <f aca="false">Assumptions!$B$3*Assumptions!$B$4*'City Data'!E279</f>
        <v>24</v>
      </c>
      <c r="F279" s="4" t="n">
        <f aca="false">Assumptions!$B$3*Assumptions!$B$5*'City Data'!E279</f>
        <v>43.2</v>
      </c>
      <c r="G279" s="4" t="n">
        <f aca="false">Assumptions!$B$3*Assumptions!$B$6*'City Data'!E279</f>
        <v>84</v>
      </c>
      <c r="H279" s="4" t="n">
        <f aca="false">Assumptions!$B$7*'City Data'!F279</f>
        <v>3</v>
      </c>
      <c r="I279" s="4" t="n">
        <f aca="false">Assumptions!$B$8*'City Data'!F279</f>
        <v>6</v>
      </c>
      <c r="J279" s="4" t="n">
        <f aca="false">Assumptions!$B$9*'City Data'!F279</f>
        <v>12</v>
      </c>
      <c r="K279" s="4" t="n">
        <f aca="false">'City Data'!G279+'City Data'!H279</f>
        <v>4.5</v>
      </c>
      <c r="L279" s="4" t="n">
        <f aca="false">IF(AND(Assumptions!$B$13,ISNUMBER('City Data'!I279)),Assumptions!$B$10*'City Data'!I279,0)</f>
        <v>2</v>
      </c>
      <c r="M279" s="4" t="n">
        <f aca="false">IF(AND(Assumptions!$B$13,ISNUMBER('City Data'!I279)),Assumptions!$B$11*'City Data'!I279,0)</f>
        <v>4</v>
      </c>
      <c r="N279" s="4" t="n">
        <f aca="false">IF(AND(Assumptions!$B$13,ISNUMBER('City Data'!I279)),Assumptions!$B$12*'City Data'!I279,0)</f>
        <v>6</v>
      </c>
      <c r="O279" s="4" t="n">
        <f aca="false">B279+E279+H279+K279</f>
        <v>46.5</v>
      </c>
      <c r="P279" s="4" t="n">
        <f aca="false">C279+F279+I279+K279</f>
        <v>83.7</v>
      </c>
      <c r="Q279" s="4" t="n">
        <f aca="false">D279+G279+J279+K279</f>
        <v>165.5</v>
      </c>
      <c r="R279" s="4" t="n">
        <f aca="false">IF(Assumptions!$B$14,Assumptions!$B$15*O279,0)</f>
        <v>4.65</v>
      </c>
      <c r="S279" s="4" t="n">
        <f aca="false">IF(Assumptions!$B$14,Assumptions!$B$16*P279,0)</f>
        <v>16.74</v>
      </c>
      <c r="T279" s="4" t="n">
        <f aca="false">IF(Assumptions!$B$14,Assumptions!$B$17*Q279,0)</f>
        <v>57.925</v>
      </c>
      <c r="U279" s="4" t="n">
        <f aca="false">O279+L279+R279</f>
        <v>53.15</v>
      </c>
      <c r="V279" s="4" t="n">
        <f aca="false">P279+M279+S279</f>
        <v>104.44</v>
      </c>
      <c r="W279" s="4" t="n">
        <f aca="false">Q279+N279+T279</f>
        <v>229.425</v>
      </c>
      <c r="X279" s="4" t="n">
        <f aca="false">'City Data'!K279</f>
        <v>40</v>
      </c>
      <c r="Y279" s="4" t="n">
        <f aca="false">'City Data'!L279</f>
        <v>100</v>
      </c>
      <c r="Z279" s="4" t="n">
        <f aca="false">'City Data'!M279</f>
        <v>280</v>
      </c>
      <c r="AA279" s="4" t="n">
        <f aca="false">U279-X279</f>
        <v>13.15</v>
      </c>
      <c r="AB279" s="4" t="n">
        <f aca="false">V279-Y279</f>
        <v>4.44</v>
      </c>
      <c r="AC279" s="4" t="n">
        <f aca="false">W279-Z279</f>
        <v>-50.575</v>
      </c>
      <c r="AD279" s="4" t="str">
        <f aca="false">IF(OR(AND(X279&lt;&gt;0,ABS(AA279)&gt;Assumptions!$B$18*X279),AND(Y279&lt;&gt;0,ABS(AB279)&gt;Assumptions!$B$18*Y279),AND(Z279&lt;&gt;0,ABS(AC279)&gt;Assumptions!$B$18*Z279)),"REVIEW","")</f>
        <v>REVIEW</v>
      </c>
    </row>
    <row r="280" customFormat="false" ht="15" hidden="false" customHeight="false" outlineLevel="0" collapsed="false">
      <c r="A280" s="0" t="str">
        <f aca="false">'City Data'!A280</f>
        <v>Xi'an</v>
      </c>
      <c r="B280" s="4" t="n">
        <f aca="false">'City Data'!B280/Assumptions!$B$2</f>
        <v>10</v>
      </c>
      <c r="C280" s="4" t="n">
        <f aca="false">'City Data'!C280/Assumptions!$B$2</f>
        <v>27.5</v>
      </c>
      <c r="D280" s="4" t="n">
        <f aca="false">'City Data'!D280/Assumptions!$B$2</f>
        <v>65</v>
      </c>
      <c r="E280" s="4" t="n">
        <f aca="false">Assumptions!$B$3*Assumptions!$B$4*'City Data'!E280</f>
        <v>18</v>
      </c>
      <c r="F280" s="4" t="n">
        <f aca="false">Assumptions!$B$3*Assumptions!$B$5*'City Data'!E280</f>
        <v>32.4</v>
      </c>
      <c r="G280" s="4" t="n">
        <f aca="false">Assumptions!$B$3*Assumptions!$B$6*'City Data'!E280</f>
        <v>63</v>
      </c>
      <c r="H280" s="4" t="n">
        <f aca="false">Assumptions!$B$7*'City Data'!F280</f>
        <v>3</v>
      </c>
      <c r="I280" s="4" t="n">
        <f aca="false">Assumptions!$B$8*'City Data'!F280</f>
        <v>6</v>
      </c>
      <c r="J280" s="4" t="n">
        <f aca="false">Assumptions!$B$9*'City Data'!F280</f>
        <v>12</v>
      </c>
      <c r="K280" s="4" t="n">
        <f aca="false">'City Data'!G280+'City Data'!H280</f>
        <v>4.4</v>
      </c>
      <c r="L280" s="4" t="n">
        <f aca="false">IF(AND(Assumptions!$B$13,ISNUMBER('City Data'!I280)),Assumptions!$B$10*'City Data'!I280,0)</f>
        <v>1.5</v>
      </c>
      <c r="M280" s="4" t="n">
        <f aca="false">IF(AND(Assumptions!$B$13,ISNUMBER('City Data'!I280)),Assumptions!$B$11*'City Data'!I280,0)</f>
        <v>3</v>
      </c>
      <c r="N280" s="4" t="n">
        <f aca="false">IF(AND(Assumptions!$B$13,ISNUMBER('City Data'!I280)),Assumptions!$B$12*'City Data'!I280,0)</f>
        <v>4.5</v>
      </c>
      <c r="O280" s="4" t="n">
        <f aca="false">B280+E280+H280+K280</f>
        <v>35.4</v>
      </c>
      <c r="P280" s="4" t="n">
        <f aca="false">C280+F280+I280+K280</f>
        <v>70.3</v>
      </c>
      <c r="Q280" s="4" t="n">
        <f aca="false">D280+G280+J280+K280</f>
        <v>144.4</v>
      </c>
      <c r="R280" s="4" t="n">
        <f aca="false">IF(Assumptions!$B$14,Assumptions!$B$15*O280,0)</f>
        <v>3.54</v>
      </c>
      <c r="S280" s="4" t="n">
        <f aca="false">IF(Assumptions!$B$14,Assumptions!$B$16*P280,0)</f>
        <v>14.06</v>
      </c>
      <c r="T280" s="4" t="n">
        <f aca="false">IF(Assumptions!$B$14,Assumptions!$B$17*Q280,0)</f>
        <v>50.54</v>
      </c>
      <c r="U280" s="4" t="n">
        <f aca="false">O280+L280+R280</f>
        <v>40.44</v>
      </c>
      <c r="V280" s="4" t="n">
        <f aca="false">P280+M280+S280</f>
        <v>87.36</v>
      </c>
      <c r="W280" s="4" t="n">
        <f aca="false">Q280+N280+T280</f>
        <v>199.44</v>
      </c>
      <c r="X280" s="4" t="n">
        <f aca="false">'City Data'!K280</f>
        <v>30</v>
      </c>
      <c r="Y280" s="4" t="n">
        <f aca="false">'City Data'!L280</f>
        <v>75</v>
      </c>
      <c r="Z280" s="4" t="n">
        <f aca="false">'City Data'!M280</f>
        <v>220</v>
      </c>
      <c r="AA280" s="4" t="n">
        <f aca="false">U280-X280</f>
        <v>10.44</v>
      </c>
      <c r="AB280" s="4" t="n">
        <f aca="false">V280-Y280</f>
        <v>12.36</v>
      </c>
      <c r="AC280" s="4" t="n">
        <f aca="false">W280-Z280</f>
        <v>-20.56</v>
      </c>
      <c r="AD280" s="4" t="str">
        <f aca="false">IF(OR(AND(X280&lt;&gt;0,ABS(AA280)&gt;Assumptions!$B$18*X280),AND(Y280&lt;&gt;0,ABS(AB280)&gt;Assumptions!$B$18*Y280),AND(Z280&lt;&gt;0,ABS(AC280)&gt;Assumptions!$B$18*Z280)),"REVIEW","")</f>
        <v>REVIEW</v>
      </c>
    </row>
    <row r="281" customFormat="false" ht="15" hidden="false" customHeight="false" outlineLevel="0" collapsed="false">
      <c r="A281" s="0" t="str">
        <f aca="false">'City Data'!A281</f>
        <v>Xiamen</v>
      </c>
      <c r="B281" s="4" t="n">
        <f aca="false">'City Data'!B281/Assumptions!$B$2</f>
        <v>12.5</v>
      </c>
      <c r="C281" s="4" t="n">
        <f aca="false">'City Data'!C281/Assumptions!$B$2</f>
        <v>30</v>
      </c>
      <c r="D281" s="4" t="n">
        <f aca="false">'City Data'!D281/Assumptions!$B$2</f>
        <v>65</v>
      </c>
      <c r="E281" s="4" t="n">
        <f aca="false">Assumptions!$B$3*Assumptions!$B$4*'City Data'!E281</f>
        <v>27</v>
      </c>
      <c r="F281" s="4" t="n">
        <f aca="false">Assumptions!$B$3*Assumptions!$B$5*'City Data'!E281</f>
        <v>48.6</v>
      </c>
      <c r="G281" s="4" t="n">
        <f aca="false">Assumptions!$B$3*Assumptions!$B$6*'City Data'!E281</f>
        <v>94.5</v>
      </c>
      <c r="H281" s="4" t="n">
        <f aca="false">Assumptions!$B$7*'City Data'!F281</f>
        <v>5</v>
      </c>
      <c r="I281" s="4" t="n">
        <f aca="false">Assumptions!$B$8*'City Data'!F281</f>
        <v>10</v>
      </c>
      <c r="J281" s="4" t="n">
        <f aca="false">Assumptions!$B$9*'City Data'!F281</f>
        <v>20</v>
      </c>
      <c r="K281" s="4" t="n">
        <f aca="false">'City Data'!G281+'City Data'!H281</f>
        <v>4.6</v>
      </c>
      <c r="L281" s="4" t="n">
        <f aca="false">IF(AND(Assumptions!$B$13,ISNUMBER('City Data'!I281)),Assumptions!$B$10*'City Data'!I281,0)</f>
        <v>2</v>
      </c>
      <c r="M281" s="4" t="n">
        <f aca="false">IF(AND(Assumptions!$B$13,ISNUMBER('City Data'!I281)),Assumptions!$B$11*'City Data'!I281,0)</f>
        <v>4</v>
      </c>
      <c r="N281" s="4" t="n">
        <f aca="false">IF(AND(Assumptions!$B$13,ISNUMBER('City Data'!I281)),Assumptions!$B$12*'City Data'!I281,0)</f>
        <v>6</v>
      </c>
      <c r="O281" s="4" t="n">
        <f aca="false">B281+E281+H281+K281</f>
        <v>49.1</v>
      </c>
      <c r="P281" s="4" t="n">
        <f aca="false">C281+F281+I281+K281</f>
        <v>93.2</v>
      </c>
      <c r="Q281" s="4" t="n">
        <f aca="false">D281+G281+J281+K281</f>
        <v>184.1</v>
      </c>
      <c r="R281" s="4" t="n">
        <f aca="false">IF(Assumptions!$B$14,Assumptions!$B$15*O281,0)</f>
        <v>4.91</v>
      </c>
      <c r="S281" s="4" t="n">
        <f aca="false">IF(Assumptions!$B$14,Assumptions!$B$16*P281,0)</f>
        <v>18.64</v>
      </c>
      <c r="T281" s="4" t="n">
        <f aca="false">IF(Assumptions!$B$14,Assumptions!$B$17*Q281,0)</f>
        <v>64.435</v>
      </c>
      <c r="U281" s="4" t="n">
        <f aca="false">O281+L281+R281</f>
        <v>56.01</v>
      </c>
      <c r="V281" s="4" t="n">
        <f aca="false">P281+M281+S281</f>
        <v>115.84</v>
      </c>
      <c r="W281" s="4" t="n">
        <f aca="false">Q281+N281+T281</f>
        <v>254.535</v>
      </c>
      <c r="X281" s="4" t="n">
        <f aca="false">'City Data'!K281</f>
        <v>35</v>
      </c>
      <c r="Y281" s="4" t="n">
        <f aca="false">'City Data'!L281</f>
        <v>90</v>
      </c>
      <c r="Z281" s="4" t="n">
        <f aca="false">'City Data'!M281</f>
        <v>280</v>
      </c>
      <c r="AA281" s="4" t="n">
        <f aca="false">U281-X281</f>
        <v>21.01</v>
      </c>
      <c r="AB281" s="4" t="n">
        <f aca="false">V281-Y281</f>
        <v>25.84</v>
      </c>
      <c r="AC281" s="4" t="n">
        <f aca="false">W281-Z281</f>
        <v>-25.465</v>
      </c>
      <c r="AD281" s="4" t="str">
        <f aca="false">IF(OR(AND(X281&lt;&gt;0,ABS(AA281)&gt;Assumptions!$B$18*X281),AND(Y281&lt;&gt;0,ABS(AB281)&gt;Assumptions!$B$18*Y281),AND(Z281&lt;&gt;0,ABS(AC281)&gt;Assumptions!$B$18*Z281)),"REVIEW","")</f>
        <v>REVIEW</v>
      </c>
    </row>
    <row r="282" customFormat="false" ht="15" hidden="false" customHeight="false" outlineLevel="0" collapsed="false">
      <c r="A282" s="0" t="str">
        <f aca="false">'City Data'!A282</f>
        <v>Yangon</v>
      </c>
      <c r="B282" s="4" t="n">
        <f aca="false">'City Data'!B282/Assumptions!$B$2</f>
        <v>9</v>
      </c>
      <c r="C282" s="4" t="n">
        <f aca="false">'City Data'!C282/Assumptions!$B$2</f>
        <v>27.5</v>
      </c>
      <c r="D282" s="4" t="n">
        <f aca="false">'City Data'!D282/Assumptions!$B$2</f>
        <v>90</v>
      </c>
      <c r="E282" s="4" t="n">
        <f aca="false">Assumptions!$B$3*Assumptions!$B$4*'City Data'!E282</f>
        <v>18</v>
      </c>
      <c r="F282" s="4" t="n">
        <f aca="false">Assumptions!$B$3*Assumptions!$B$5*'City Data'!E282</f>
        <v>32.4</v>
      </c>
      <c r="G282" s="4" t="n">
        <f aca="false">Assumptions!$B$3*Assumptions!$B$6*'City Data'!E282</f>
        <v>63</v>
      </c>
      <c r="H282" s="4" t="n">
        <f aca="false">Assumptions!$B$7*'City Data'!F282</f>
        <v>4</v>
      </c>
      <c r="I282" s="4" t="n">
        <f aca="false">Assumptions!$B$8*'City Data'!F282</f>
        <v>8</v>
      </c>
      <c r="J282" s="4" t="n">
        <f aca="false">Assumptions!$B$9*'City Data'!F282</f>
        <v>16</v>
      </c>
      <c r="K282" s="4" t="n">
        <f aca="false">'City Data'!G282+'City Data'!H282</f>
        <v>2.9</v>
      </c>
      <c r="L282" s="4" t="n">
        <f aca="false">IF(AND(Assumptions!$B$13,ISNUMBER('City Data'!I282)),Assumptions!$B$10*'City Data'!I282,0)</f>
        <v>2</v>
      </c>
      <c r="M282" s="4" t="n">
        <f aca="false">IF(AND(Assumptions!$B$13,ISNUMBER('City Data'!I282)),Assumptions!$B$11*'City Data'!I282,0)</f>
        <v>4</v>
      </c>
      <c r="N282" s="4" t="n">
        <f aca="false">IF(AND(Assumptions!$B$13,ISNUMBER('City Data'!I282)),Assumptions!$B$12*'City Data'!I282,0)</f>
        <v>6</v>
      </c>
      <c r="O282" s="4" t="n">
        <f aca="false">B282+E282+H282+K282</f>
        <v>33.9</v>
      </c>
      <c r="P282" s="4" t="n">
        <f aca="false">C282+F282+I282+K282</f>
        <v>70.8</v>
      </c>
      <c r="Q282" s="4" t="n">
        <f aca="false">D282+G282+J282+K282</f>
        <v>171.9</v>
      </c>
      <c r="R282" s="4" t="n">
        <f aca="false">IF(Assumptions!$B$14,Assumptions!$B$15*O282,0)</f>
        <v>3.39</v>
      </c>
      <c r="S282" s="4" t="n">
        <f aca="false">IF(Assumptions!$B$14,Assumptions!$B$16*P282,0)</f>
        <v>14.16</v>
      </c>
      <c r="T282" s="4" t="n">
        <f aca="false">IF(Assumptions!$B$14,Assumptions!$B$17*Q282,0)</f>
        <v>60.165</v>
      </c>
      <c r="U282" s="4" t="n">
        <f aca="false">O282+L282+R282</f>
        <v>39.29</v>
      </c>
      <c r="V282" s="4" t="n">
        <f aca="false">P282+M282+S282</f>
        <v>88.96</v>
      </c>
      <c r="W282" s="4" t="n">
        <f aca="false">Q282+N282+T282</f>
        <v>238.065</v>
      </c>
      <c r="X282" s="4" t="n">
        <f aca="false">'City Data'!K282</f>
        <v>30</v>
      </c>
      <c r="Y282" s="4" t="n">
        <f aca="false">'City Data'!L282</f>
        <v>80</v>
      </c>
      <c r="Z282" s="4" t="n">
        <f aca="false">'City Data'!M282</f>
        <v>240</v>
      </c>
      <c r="AA282" s="4" t="n">
        <f aca="false">U282-X282</f>
        <v>9.29</v>
      </c>
      <c r="AB282" s="4" t="n">
        <f aca="false">V282-Y282</f>
        <v>8.96000000000001</v>
      </c>
      <c r="AC282" s="4" t="n">
        <f aca="false">W282-Z282</f>
        <v>-1.935</v>
      </c>
      <c r="AD282" s="4" t="str">
        <f aca="false">IF(OR(AND(X282&lt;&gt;0,ABS(AA282)&gt;Assumptions!$B$18*X282),AND(Y282&lt;&gt;0,ABS(AB282)&gt;Assumptions!$B$18*Y282),AND(Z282&lt;&gt;0,ABS(AC282)&gt;Assumptions!$B$18*Z282)),"REVIEW","")</f>
        <v>REVIEW</v>
      </c>
    </row>
    <row r="283" customFormat="false" ht="15" hidden="false" customHeight="false" outlineLevel="0" collapsed="false">
      <c r="A283" s="0" t="str">
        <f aca="false">'City Data'!A283</f>
        <v>Yaren</v>
      </c>
      <c r="B283" s="4" t="n">
        <f aca="false">'City Data'!B283/Assumptions!$B$2</f>
        <v>17.5</v>
      </c>
      <c r="C283" s="4" t="n">
        <f aca="false">'City Data'!C283/Assumptions!$B$2</f>
        <v>55</v>
      </c>
      <c r="D283" s="4" t="n">
        <f aca="false">'City Data'!D283/Assumptions!$B$2</f>
        <v>110</v>
      </c>
      <c r="E283" s="4" t="n">
        <f aca="false">Assumptions!$B$3*Assumptions!$B$4*'City Data'!E283</f>
        <v>96</v>
      </c>
      <c r="F283" s="4" t="n">
        <f aca="false">Assumptions!$B$3*Assumptions!$B$5*'City Data'!E283</f>
        <v>172.8</v>
      </c>
      <c r="G283" s="4" t="n">
        <f aca="false">Assumptions!$B$3*Assumptions!$B$6*'City Data'!E283</f>
        <v>336</v>
      </c>
      <c r="H283" s="4" t="n">
        <f aca="false">Assumptions!$B$7*'City Data'!F283</f>
        <v>13</v>
      </c>
      <c r="I283" s="4" t="n">
        <f aca="false">Assumptions!$B$8*'City Data'!F283</f>
        <v>26</v>
      </c>
      <c r="J283" s="4" t="n">
        <f aca="false">Assumptions!$B$9*'City Data'!F283</f>
        <v>52</v>
      </c>
      <c r="K283" s="4" t="n">
        <f aca="false">'City Data'!G283+'City Data'!H283</f>
        <v>7</v>
      </c>
      <c r="L283" s="4" t="n">
        <f aca="false">IF(AND(Assumptions!$B$13,ISNUMBER('City Data'!I283)),Assumptions!$B$10*'City Data'!I283,0)</f>
        <v>6</v>
      </c>
      <c r="M283" s="4" t="n">
        <f aca="false">IF(AND(Assumptions!$B$13,ISNUMBER('City Data'!I283)),Assumptions!$B$11*'City Data'!I283,0)</f>
        <v>12</v>
      </c>
      <c r="N283" s="4" t="n">
        <f aca="false">IF(AND(Assumptions!$B$13,ISNUMBER('City Data'!I283)),Assumptions!$B$12*'City Data'!I283,0)</f>
        <v>18</v>
      </c>
      <c r="O283" s="4" t="n">
        <f aca="false">B283+E283+H283+K283</f>
        <v>133.5</v>
      </c>
      <c r="P283" s="4" t="n">
        <f aca="false">C283+F283+I283+K283</f>
        <v>260.8</v>
      </c>
      <c r="Q283" s="4" t="n">
        <f aca="false">D283+G283+J283+K283</f>
        <v>505</v>
      </c>
      <c r="R283" s="4" t="n">
        <f aca="false">IF(Assumptions!$B$14,Assumptions!$B$15*O283,0)</f>
        <v>13.35</v>
      </c>
      <c r="S283" s="4" t="n">
        <f aca="false">IF(Assumptions!$B$14,Assumptions!$B$16*P283,0)</f>
        <v>52.16</v>
      </c>
      <c r="T283" s="4" t="n">
        <f aca="false">IF(Assumptions!$B$14,Assumptions!$B$17*Q283,0)</f>
        <v>176.75</v>
      </c>
      <c r="U283" s="4" t="n">
        <f aca="false">O283+L283+R283</f>
        <v>152.85</v>
      </c>
      <c r="V283" s="4" t="n">
        <f aca="false">P283+M283+S283</f>
        <v>324.96</v>
      </c>
      <c r="W283" s="4" t="n">
        <f aca="false">Q283+N283+T283</f>
        <v>699.75</v>
      </c>
      <c r="X283" s="4" t="n">
        <f aca="false">'City Data'!K283</f>
        <v>65</v>
      </c>
      <c r="Y283" s="4" t="n">
        <f aca="false">'City Data'!L283</f>
        <v>165</v>
      </c>
      <c r="Z283" s="4" t="n">
        <f aca="false">'City Data'!M283</f>
        <v>490</v>
      </c>
      <c r="AA283" s="4" t="n">
        <f aca="false">U283-X283</f>
        <v>87.85</v>
      </c>
      <c r="AB283" s="4" t="n">
        <f aca="false">V283-Y283</f>
        <v>159.96</v>
      </c>
      <c r="AC283" s="4" t="n">
        <f aca="false">W283-Z283</f>
        <v>209.75</v>
      </c>
      <c r="AD283" s="4" t="str">
        <f aca="false">IF(OR(AND(X283&lt;&gt;0,ABS(AA283)&gt;Assumptions!$B$18*X283),AND(Y283&lt;&gt;0,ABS(AB283)&gt;Assumptions!$B$18*Y283),AND(Z283&lt;&gt;0,ABS(AC283)&gt;Assumptions!$B$18*Z283)),"REVIEW","")</f>
        <v>REVIEW</v>
      </c>
    </row>
    <row r="284" customFormat="false" ht="15" hidden="false" customHeight="false" outlineLevel="0" collapsed="false">
      <c r="A284" s="0" t="str">
        <f aca="false">'City Data'!A284</f>
        <v>Yerevan</v>
      </c>
      <c r="B284" s="4" t="n">
        <f aca="false">'City Data'!B284/Assumptions!$B$2</f>
        <v>12.5</v>
      </c>
      <c r="C284" s="4" t="n">
        <f aca="false">'City Data'!C284/Assumptions!$B$2</f>
        <v>27.5</v>
      </c>
      <c r="D284" s="4" t="n">
        <f aca="false">'City Data'!D284/Assumptions!$B$2</f>
        <v>100</v>
      </c>
      <c r="E284" s="4" t="n">
        <f aca="false">Assumptions!$B$3*Assumptions!$B$4*'City Data'!E284</f>
        <v>30</v>
      </c>
      <c r="F284" s="4" t="n">
        <f aca="false">Assumptions!$B$3*Assumptions!$B$5*'City Data'!E284</f>
        <v>54</v>
      </c>
      <c r="G284" s="4" t="n">
        <f aca="false">Assumptions!$B$3*Assumptions!$B$6*'City Data'!E284</f>
        <v>105</v>
      </c>
      <c r="H284" s="4" t="n">
        <f aca="false">Assumptions!$B$7*'City Data'!F284</f>
        <v>4</v>
      </c>
      <c r="I284" s="4" t="n">
        <f aca="false">Assumptions!$B$8*'City Data'!F284</f>
        <v>8</v>
      </c>
      <c r="J284" s="4" t="n">
        <f aca="false">Assumptions!$B$9*'City Data'!F284</f>
        <v>16</v>
      </c>
      <c r="K284" s="4" t="n">
        <f aca="false">'City Data'!G284+'City Data'!H284</f>
        <v>2.5</v>
      </c>
      <c r="L284" s="4" t="n">
        <f aca="false">IF(AND(Assumptions!$B$13,ISNUMBER('City Data'!I284)),Assumptions!$B$10*'City Data'!I284,0)</f>
        <v>3</v>
      </c>
      <c r="M284" s="4" t="n">
        <f aca="false">IF(AND(Assumptions!$B$13,ISNUMBER('City Data'!I284)),Assumptions!$B$11*'City Data'!I284,0)</f>
        <v>6</v>
      </c>
      <c r="N284" s="4" t="n">
        <f aca="false">IF(AND(Assumptions!$B$13,ISNUMBER('City Data'!I284)),Assumptions!$B$12*'City Data'!I284,0)</f>
        <v>9</v>
      </c>
      <c r="O284" s="4" t="n">
        <f aca="false">B284+E284+H284+K284</f>
        <v>49</v>
      </c>
      <c r="P284" s="4" t="n">
        <f aca="false">C284+F284+I284+K284</f>
        <v>92</v>
      </c>
      <c r="Q284" s="4" t="n">
        <f aca="false">D284+G284+J284+K284</f>
        <v>223.5</v>
      </c>
      <c r="R284" s="4" t="n">
        <f aca="false">IF(Assumptions!$B$14,Assumptions!$B$15*O284,0)</f>
        <v>4.9</v>
      </c>
      <c r="S284" s="4" t="n">
        <f aca="false">IF(Assumptions!$B$14,Assumptions!$B$16*P284,0)</f>
        <v>18.4</v>
      </c>
      <c r="T284" s="4" t="n">
        <f aca="false">IF(Assumptions!$B$14,Assumptions!$B$17*Q284,0)</f>
        <v>78.225</v>
      </c>
      <c r="U284" s="4" t="n">
        <f aca="false">O284+L284+R284</f>
        <v>56.9</v>
      </c>
      <c r="V284" s="4" t="n">
        <f aca="false">P284+M284+S284</f>
        <v>116.4</v>
      </c>
      <c r="W284" s="4" t="n">
        <f aca="false">Q284+N284+T284</f>
        <v>310.725</v>
      </c>
      <c r="X284" s="4" t="n">
        <f aca="false">'City Data'!K284</f>
        <v>40</v>
      </c>
      <c r="Y284" s="4" t="n">
        <f aca="false">'City Data'!L284</f>
        <v>95</v>
      </c>
      <c r="Z284" s="4" t="n">
        <f aca="false">'City Data'!M284</f>
        <v>290</v>
      </c>
      <c r="AA284" s="4" t="n">
        <f aca="false">U284-X284</f>
        <v>16.9</v>
      </c>
      <c r="AB284" s="4" t="n">
        <f aca="false">V284-Y284</f>
        <v>21.4</v>
      </c>
      <c r="AC284" s="4" t="n">
        <f aca="false">W284-Z284</f>
        <v>20.725</v>
      </c>
      <c r="AD284" s="4" t="str">
        <f aca="false">IF(OR(AND(X284&lt;&gt;0,ABS(AA284)&gt;Assumptions!$B$18*X284),AND(Y284&lt;&gt;0,ABS(AB284)&gt;Assumptions!$B$18*Y284),AND(Z284&lt;&gt;0,ABS(AC284)&gt;Assumptions!$B$18*Z284)),"REVIEW","")</f>
        <v>REVIEW</v>
      </c>
    </row>
    <row r="285" customFormat="false" ht="15" hidden="false" customHeight="false" outlineLevel="0" collapsed="false">
      <c r="A285" s="0" t="str">
        <f aca="false">'City Data'!A285</f>
        <v>Yokohama</v>
      </c>
      <c r="B285" s="4" t="n">
        <f aca="false">'City Data'!B285/Assumptions!$B$2</f>
        <v>22.5</v>
      </c>
      <c r="C285" s="4" t="n">
        <f aca="false">'City Data'!C285/Assumptions!$B$2</f>
        <v>60</v>
      </c>
      <c r="D285" s="4" t="n">
        <f aca="false">'City Data'!D285/Assumptions!$B$2</f>
        <v>150</v>
      </c>
      <c r="E285" s="4" t="n">
        <f aca="false">Assumptions!$B$3*Assumptions!$B$4*'City Data'!E285</f>
        <v>36</v>
      </c>
      <c r="F285" s="4" t="n">
        <f aca="false">Assumptions!$B$3*Assumptions!$B$5*'City Data'!E285</f>
        <v>64.8</v>
      </c>
      <c r="G285" s="4" t="n">
        <f aca="false">Assumptions!$B$3*Assumptions!$B$6*'City Data'!E285</f>
        <v>126</v>
      </c>
      <c r="H285" s="4" t="n">
        <f aca="false">Assumptions!$B$7*'City Data'!F285</f>
        <v>8</v>
      </c>
      <c r="I285" s="4" t="n">
        <f aca="false">Assumptions!$B$8*'City Data'!F285</f>
        <v>16</v>
      </c>
      <c r="J285" s="4" t="n">
        <f aca="false">Assumptions!$B$9*'City Data'!F285</f>
        <v>32</v>
      </c>
      <c r="K285" s="4" t="n">
        <f aca="false">'City Data'!G285+'City Data'!H285</f>
        <v>4</v>
      </c>
      <c r="L285" s="4" t="n">
        <f aca="false">IF(AND(Assumptions!$B$13,ISNUMBER('City Data'!I285)),Assumptions!$B$10*'City Data'!I285,0)</f>
        <v>4</v>
      </c>
      <c r="M285" s="4" t="n">
        <f aca="false">IF(AND(Assumptions!$B$13,ISNUMBER('City Data'!I285)),Assumptions!$B$11*'City Data'!I285,0)</f>
        <v>8</v>
      </c>
      <c r="N285" s="4" t="n">
        <f aca="false">IF(AND(Assumptions!$B$13,ISNUMBER('City Data'!I285)),Assumptions!$B$12*'City Data'!I285,0)</f>
        <v>12</v>
      </c>
      <c r="O285" s="4" t="n">
        <f aca="false">B285+E285+H285+K285</f>
        <v>70.5</v>
      </c>
      <c r="P285" s="4" t="n">
        <f aca="false">C285+F285+I285+K285</f>
        <v>144.8</v>
      </c>
      <c r="Q285" s="4" t="n">
        <f aca="false">D285+G285+J285+K285</f>
        <v>312</v>
      </c>
      <c r="R285" s="4" t="n">
        <f aca="false">IF(Assumptions!$B$14,Assumptions!$B$15*O285,0)</f>
        <v>7.05</v>
      </c>
      <c r="S285" s="4" t="n">
        <f aca="false">IF(Assumptions!$B$14,Assumptions!$B$16*P285,0)</f>
        <v>28.96</v>
      </c>
      <c r="T285" s="4" t="n">
        <f aca="false">IF(Assumptions!$B$14,Assumptions!$B$17*Q285,0)</f>
        <v>109.2</v>
      </c>
      <c r="U285" s="4" t="n">
        <f aca="false">O285+L285+R285</f>
        <v>81.55</v>
      </c>
      <c r="V285" s="4" t="n">
        <f aca="false">P285+M285+S285</f>
        <v>181.76</v>
      </c>
      <c r="W285" s="4" t="n">
        <f aca="false">Q285+N285+T285</f>
        <v>433.2</v>
      </c>
      <c r="X285" s="4" t="n">
        <f aca="false">'City Data'!K285</f>
        <v>60</v>
      </c>
      <c r="Y285" s="4" t="n">
        <f aca="false">'City Data'!L285</f>
        <v>150</v>
      </c>
      <c r="Z285" s="4" t="n">
        <f aca="false">'City Data'!M285</f>
        <v>400</v>
      </c>
      <c r="AA285" s="4" t="n">
        <f aca="false">U285-X285</f>
        <v>21.55</v>
      </c>
      <c r="AB285" s="4" t="n">
        <f aca="false">V285-Y285</f>
        <v>31.76</v>
      </c>
      <c r="AC285" s="4" t="n">
        <f aca="false">W285-Z285</f>
        <v>33.2</v>
      </c>
      <c r="AD285" s="4" t="str">
        <f aca="false">IF(OR(AND(X285&lt;&gt;0,ABS(AA285)&gt;Assumptions!$B$18*X285),AND(Y285&lt;&gt;0,ABS(AB285)&gt;Assumptions!$B$18*Y285),AND(Z285&lt;&gt;0,ABS(AC285)&gt;Assumptions!$B$18*Z285)),"REVIEW","")</f>
        <v>REVIEW</v>
      </c>
    </row>
    <row r="286" customFormat="false" ht="15" hidden="false" customHeight="false" outlineLevel="0" collapsed="false">
      <c r="A286" s="0" t="str">
        <f aca="false">'City Data'!A286</f>
        <v>Zanzibar City</v>
      </c>
      <c r="B286" s="4" t="n">
        <f aca="false">'City Data'!B286/Assumptions!$B$2</f>
        <v>12.5</v>
      </c>
      <c r="C286" s="4" t="n">
        <f aca="false">'City Data'!C286/Assumptions!$B$2</f>
        <v>45</v>
      </c>
      <c r="D286" s="4" t="n">
        <f aca="false">'City Data'!D286/Assumptions!$B$2</f>
        <v>150</v>
      </c>
      <c r="E286" s="4" t="n">
        <f aca="false">Assumptions!$B$3*Assumptions!$B$4*'City Data'!E286</f>
        <v>36</v>
      </c>
      <c r="F286" s="4" t="n">
        <f aca="false">Assumptions!$B$3*Assumptions!$B$5*'City Data'!E286</f>
        <v>64.8</v>
      </c>
      <c r="G286" s="4" t="n">
        <f aca="false">Assumptions!$B$3*Assumptions!$B$6*'City Data'!E286</f>
        <v>126</v>
      </c>
      <c r="H286" s="4" t="n">
        <f aca="false">Assumptions!$B$7*'City Data'!F286</f>
        <v>8</v>
      </c>
      <c r="I286" s="4" t="n">
        <f aca="false">Assumptions!$B$8*'City Data'!F286</f>
        <v>16</v>
      </c>
      <c r="J286" s="4" t="n">
        <f aca="false">Assumptions!$B$9*'City Data'!F286</f>
        <v>32</v>
      </c>
      <c r="K286" s="4" t="n">
        <f aca="false">'City Data'!G286+'City Data'!H286</f>
        <v>3.1</v>
      </c>
      <c r="L286" s="4" t="n">
        <f aca="false">IF(AND(Assumptions!$B$13,ISNUMBER('City Data'!I286)),Assumptions!$B$10*'City Data'!I286,0)</f>
        <v>3</v>
      </c>
      <c r="M286" s="4" t="n">
        <f aca="false">IF(AND(Assumptions!$B$13,ISNUMBER('City Data'!I286)),Assumptions!$B$11*'City Data'!I286,0)</f>
        <v>6</v>
      </c>
      <c r="N286" s="4" t="n">
        <f aca="false">IF(AND(Assumptions!$B$13,ISNUMBER('City Data'!I286)),Assumptions!$B$12*'City Data'!I286,0)</f>
        <v>9</v>
      </c>
      <c r="O286" s="4" t="n">
        <f aca="false">B286+E286+H286+K286</f>
        <v>59.6</v>
      </c>
      <c r="P286" s="4" t="n">
        <f aca="false">C286+F286+I286+K286</f>
        <v>128.9</v>
      </c>
      <c r="Q286" s="4" t="n">
        <f aca="false">D286+G286+J286+K286</f>
        <v>311.1</v>
      </c>
      <c r="R286" s="4" t="n">
        <f aca="false">IF(Assumptions!$B$14,Assumptions!$B$15*O286,0)</f>
        <v>5.96</v>
      </c>
      <c r="S286" s="4" t="n">
        <f aca="false">IF(Assumptions!$B$14,Assumptions!$B$16*P286,0)</f>
        <v>25.78</v>
      </c>
      <c r="T286" s="4" t="n">
        <f aca="false">IF(Assumptions!$B$14,Assumptions!$B$17*Q286,0)</f>
        <v>108.885</v>
      </c>
      <c r="U286" s="4" t="n">
        <f aca="false">O286+L286+R286</f>
        <v>68.56</v>
      </c>
      <c r="V286" s="4" t="n">
        <f aca="false">P286+M286+S286</f>
        <v>160.68</v>
      </c>
      <c r="W286" s="4" t="n">
        <f aca="false">Q286+N286+T286</f>
        <v>428.985</v>
      </c>
      <c r="X286" s="4" t="n">
        <f aca="false">'City Data'!K286</f>
        <v>45</v>
      </c>
      <c r="Y286" s="4" t="n">
        <f aca="false">'City Data'!L286</f>
        <v>115</v>
      </c>
      <c r="Z286" s="4" t="n">
        <f aca="false">'City Data'!M286</f>
        <v>350</v>
      </c>
      <c r="AA286" s="4" t="n">
        <f aca="false">U286-X286</f>
        <v>23.56</v>
      </c>
      <c r="AB286" s="4" t="n">
        <f aca="false">V286-Y286</f>
        <v>45.68</v>
      </c>
      <c r="AC286" s="4" t="n">
        <f aca="false">W286-Z286</f>
        <v>78.985</v>
      </c>
      <c r="AD286" s="4" t="str">
        <f aca="false">IF(OR(AND(X286&lt;&gt;0,ABS(AA286)&gt;Assumptions!$B$18*X286),AND(Y286&lt;&gt;0,ABS(AB286)&gt;Assumptions!$B$18*Y286),AND(Z286&lt;&gt;0,ABS(AC286)&gt;Assumptions!$B$18*Z286)),"REVIEW","")</f>
        <v>REVIEW</v>
      </c>
    </row>
    <row r="287" customFormat="false" ht="15" hidden="false" customHeight="false" outlineLevel="0" collapsed="false">
      <c r="A287" s="0" t="str">
        <f aca="false">'City Data'!A287</f>
        <v>Zhengzhou</v>
      </c>
      <c r="B287" s="4" t="n">
        <f aca="false">'City Data'!B287/Assumptions!$B$2</f>
        <v>10</v>
      </c>
      <c r="C287" s="4" t="n">
        <f aca="false">'City Data'!C287/Assumptions!$B$2</f>
        <v>27.5</v>
      </c>
      <c r="D287" s="4" t="n">
        <f aca="false">'City Data'!D287/Assumptions!$B$2</f>
        <v>60</v>
      </c>
      <c r="E287" s="4" t="n">
        <f aca="false">Assumptions!$B$3*Assumptions!$B$4*'City Data'!E287</f>
        <v>18</v>
      </c>
      <c r="F287" s="4" t="n">
        <f aca="false">Assumptions!$B$3*Assumptions!$B$5*'City Data'!E287</f>
        <v>32.4</v>
      </c>
      <c r="G287" s="4" t="n">
        <f aca="false">Assumptions!$B$3*Assumptions!$B$6*'City Data'!E287</f>
        <v>63</v>
      </c>
      <c r="H287" s="4" t="n">
        <f aca="false">Assumptions!$B$7*'City Data'!F287</f>
        <v>3</v>
      </c>
      <c r="I287" s="4" t="n">
        <f aca="false">Assumptions!$B$8*'City Data'!F287</f>
        <v>6</v>
      </c>
      <c r="J287" s="4" t="n">
        <f aca="false">Assumptions!$B$9*'City Data'!F287</f>
        <v>12</v>
      </c>
      <c r="K287" s="4" t="n">
        <f aca="false">'City Data'!G287+'City Data'!H287</f>
        <v>4</v>
      </c>
      <c r="L287" s="4" t="n">
        <f aca="false">IF(AND(Assumptions!$B$13,ISNUMBER('City Data'!I287)),Assumptions!$B$10*'City Data'!I287,0)</f>
        <v>2</v>
      </c>
      <c r="M287" s="4" t="n">
        <f aca="false">IF(AND(Assumptions!$B$13,ISNUMBER('City Data'!I287)),Assumptions!$B$11*'City Data'!I287,0)</f>
        <v>4</v>
      </c>
      <c r="N287" s="4" t="n">
        <f aca="false">IF(AND(Assumptions!$B$13,ISNUMBER('City Data'!I287)),Assumptions!$B$12*'City Data'!I287,0)</f>
        <v>6</v>
      </c>
      <c r="O287" s="4" t="n">
        <f aca="false">B287+E287+H287+K287</f>
        <v>35</v>
      </c>
      <c r="P287" s="4" t="n">
        <f aca="false">C287+F287+I287+K287</f>
        <v>69.9</v>
      </c>
      <c r="Q287" s="4" t="n">
        <f aca="false">D287+G287+J287+K287</f>
        <v>139</v>
      </c>
      <c r="R287" s="4" t="n">
        <f aca="false">IF(Assumptions!$B$14,Assumptions!$B$15*O287,0)</f>
        <v>3.5</v>
      </c>
      <c r="S287" s="4" t="n">
        <f aca="false">IF(Assumptions!$B$14,Assumptions!$B$16*P287,0)</f>
        <v>13.98</v>
      </c>
      <c r="T287" s="4" t="n">
        <f aca="false">IF(Assumptions!$B$14,Assumptions!$B$17*Q287,0)</f>
        <v>48.65</v>
      </c>
      <c r="U287" s="4" t="n">
        <f aca="false">O287+L287+R287</f>
        <v>40.5</v>
      </c>
      <c r="V287" s="4" t="n">
        <f aca="false">P287+M287+S287</f>
        <v>87.88</v>
      </c>
      <c r="W287" s="4" t="n">
        <f aca="false">Q287+N287+T287</f>
        <v>193.65</v>
      </c>
      <c r="X287" s="4" t="n">
        <f aca="false">'City Data'!K287</f>
        <v>30</v>
      </c>
      <c r="Y287" s="4" t="n">
        <f aca="false">'City Data'!L287</f>
        <v>70</v>
      </c>
      <c r="Z287" s="4" t="n">
        <f aca="false">'City Data'!M287</f>
        <v>220</v>
      </c>
      <c r="AA287" s="4" t="n">
        <f aca="false">U287-X287</f>
        <v>10.5</v>
      </c>
      <c r="AB287" s="4" t="n">
        <f aca="false">V287-Y287</f>
        <v>17.88</v>
      </c>
      <c r="AC287" s="4" t="n">
        <f aca="false">W287-Z287</f>
        <v>-26.35</v>
      </c>
      <c r="AD287" s="4" t="str">
        <f aca="false">IF(OR(AND(X287&lt;&gt;0,ABS(AA287)&gt;Assumptions!$B$18*X287),AND(Y287&lt;&gt;0,ABS(AB287)&gt;Assumptions!$B$18*Y287),AND(Z287&lt;&gt;0,ABS(AC287)&gt;Assumptions!$B$18*Z287)),"REVIEW","")</f>
        <v>REVIEW</v>
      </c>
    </row>
    <row r="288" customFormat="false" ht="15" hidden="false" customHeight="false" outlineLevel="0" collapsed="false">
      <c r="A288" s="0" t="str">
        <f aca="false">'City Data'!A288</f>
        <v>Zhuhai</v>
      </c>
      <c r="B288" s="4" t="n">
        <f aca="false">'City Data'!B288/Assumptions!$B$2</f>
        <v>17.5</v>
      </c>
      <c r="C288" s="4" t="n">
        <f aca="false">'City Data'!C288/Assumptions!$B$2</f>
        <v>35</v>
      </c>
      <c r="D288" s="4" t="n">
        <f aca="false">'City Data'!D288/Assumptions!$B$2</f>
        <v>80</v>
      </c>
      <c r="E288" s="4" t="n">
        <f aca="false">Assumptions!$B$3*Assumptions!$B$4*'City Data'!E288</f>
        <v>45</v>
      </c>
      <c r="F288" s="4" t="n">
        <f aca="false">Assumptions!$B$3*Assumptions!$B$5*'City Data'!E288</f>
        <v>81</v>
      </c>
      <c r="G288" s="4" t="n">
        <f aca="false">Assumptions!$B$3*Assumptions!$B$6*'City Data'!E288</f>
        <v>157.5</v>
      </c>
      <c r="H288" s="4" t="n">
        <f aca="false">Assumptions!$B$7*'City Data'!F288</f>
        <v>10</v>
      </c>
      <c r="I288" s="4" t="n">
        <f aca="false">Assumptions!$B$8*'City Data'!F288</f>
        <v>20</v>
      </c>
      <c r="J288" s="4" t="n">
        <f aca="false">Assumptions!$B$9*'City Data'!F288</f>
        <v>40</v>
      </c>
      <c r="K288" s="4" t="n">
        <f aca="false">'City Data'!G288+'City Data'!H288</f>
        <v>4</v>
      </c>
      <c r="L288" s="4" t="n">
        <f aca="false">IF(AND(Assumptions!$B$13,ISNUMBER('City Data'!I288)),Assumptions!$B$10*'City Data'!I288,0)</f>
        <v>1.5</v>
      </c>
      <c r="M288" s="4" t="n">
        <f aca="false">IF(AND(Assumptions!$B$13,ISNUMBER('City Data'!I288)),Assumptions!$B$11*'City Data'!I288,0)</f>
        <v>3</v>
      </c>
      <c r="N288" s="4" t="n">
        <f aca="false">IF(AND(Assumptions!$B$13,ISNUMBER('City Data'!I288)),Assumptions!$B$12*'City Data'!I288,0)</f>
        <v>4.5</v>
      </c>
      <c r="O288" s="4" t="n">
        <f aca="false">B288+E288+H288+K288</f>
        <v>76.5</v>
      </c>
      <c r="P288" s="4" t="n">
        <f aca="false">C288+F288+I288+K288</f>
        <v>140</v>
      </c>
      <c r="Q288" s="4" t="n">
        <f aca="false">D288+G288+J288+K288</f>
        <v>281.5</v>
      </c>
      <c r="R288" s="4" t="n">
        <f aca="false">IF(Assumptions!$B$14,Assumptions!$B$15*O288,0)</f>
        <v>7.65</v>
      </c>
      <c r="S288" s="4" t="n">
        <f aca="false">IF(Assumptions!$B$14,Assumptions!$B$16*P288,0)</f>
        <v>28</v>
      </c>
      <c r="T288" s="4" t="n">
        <f aca="false">IF(Assumptions!$B$14,Assumptions!$B$17*Q288,0)</f>
        <v>98.525</v>
      </c>
      <c r="U288" s="4" t="n">
        <f aca="false">O288+L288+R288</f>
        <v>85.65</v>
      </c>
      <c r="V288" s="4" t="n">
        <f aca="false">P288+M288+S288</f>
        <v>171</v>
      </c>
      <c r="W288" s="4" t="n">
        <f aca="false">Q288+N288+T288</f>
        <v>384.525</v>
      </c>
      <c r="X288" s="4" t="n">
        <f aca="false">'City Data'!K288</f>
        <v>45</v>
      </c>
      <c r="Y288" s="4" t="n">
        <f aca="false">'City Data'!L288</f>
        <v>110</v>
      </c>
      <c r="Z288" s="4" t="n">
        <f aca="false">'City Data'!M288</f>
        <v>320</v>
      </c>
      <c r="AA288" s="4" t="n">
        <f aca="false">U288-X288</f>
        <v>40.65</v>
      </c>
      <c r="AB288" s="4" t="n">
        <f aca="false">V288-Y288</f>
        <v>61</v>
      </c>
      <c r="AC288" s="4" t="n">
        <f aca="false">W288-Z288</f>
        <v>64.525</v>
      </c>
      <c r="AD288" s="4" t="str">
        <f aca="false">IF(OR(AND(X288&lt;&gt;0,ABS(AA288)&gt;Assumptions!$B$18*X288),AND(Y288&lt;&gt;0,ABS(AB288)&gt;Assumptions!$B$18*Y288),AND(Z288&lt;&gt;0,ABS(AC288)&gt;Assumptions!$B$18*Z288)),"REVIEW","")</f>
        <v>REVIEW</v>
      </c>
    </row>
    <row r="289" customFormat="false" ht="15" hidden="false" customHeight="false" outlineLevel="0" collapsed="false">
      <c r="A289" s="0" t="str">
        <f aca="false">'City Data'!A289</f>
        <v>Zurich</v>
      </c>
      <c r="B289" s="4" t="n">
        <f aca="false">'City Data'!B289/Assumptions!$B$2</f>
        <v>70</v>
      </c>
      <c r="C289" s="4" t="n">
        <f aca="false">'City Data'!C289/Assumptions!$B$2</f>
        <v>125</v>
      </c>
      <c r="D289" s="4" t="n">
        <f aca="false">'City Data'!D289/Assumptions!$B$2</f>
        <v>275</v>
      </c>
      <c r="E289" s="4" t="n">
        <f aca="false">Assumptions!$B$3*Assumptions!$B$4*'City Data'!E289</f>
        <v>120</v>
      </c>
      <c r="F289" s="4" t="n">
        <f aca="false">Assumptions!$B$3*Assumptions!$B$5*'City Data'!E289</f>
        <v>216</v>
      </c>
      <c r="G289" s="4" t="n">
        <f aca="false">Assumptions!$B$3*Assumptions!$B$6*'City Data'!E289</f>
        <v>420</v>
      </c>
      <c r="H289" s="4" t="n">
        <f aca="false">Assumptions!$B$7*'City Data'!F289</f>
        <v>40</v>
      </c>
      <c r="I289" s="4" t="n">
        <f aca="false">Assumptions!$B$8*'City Data'!F289</f>
        <v>80</v>
      </c>
      <c r="J289" s="4" t="n">
        <f aca="false">Assumptions!$B$9*'City Data'!F289</f>
        <v>160</v>
      </c>
      <c r="K289" s="4" t="n">
        <f aca="false">'City Data'!G289+'City Data'!H289</f>
        <v>9</v>
      </c>
      <c r="L289" s="4" t="n">
        <f aca="false">IF(AND(Assumptions!$B$13,ISNUMBER('City Data'!I289)),Assumptions!$B$10*'City Data'!I289,0)</f>
        <v>7.5</v>
      </c>
      <c r="M289" s="4" t="n">
        <f aca="false">IF(AND(Assumptions!$B$13,ISNUMBER('City Data'!I289)),Assumptions!$B$11*'City Data'!I289,0)</f>
        <v>15</v>
      </c>
      <c r="N289" s="4" t="n">
        <f aca="false">IF(AND(Assumptions!$B$13,ISNUMBER('City Data'!I289)),Assumptions!$B$12*'City Data'!I289,0)</f>
        <v>22.5</v>
      </c>
      <c r="O289" s="4" t="n">
        <f aca="false">B289+E289+H289+K289</f>
        <v>239</v>
      </c>
      <c r="P289" s="4" t="n">
        <f aca="false">C289+F289+I289+K289</f>
        <v>430</v>
      </c>
      <c r="Q289" s="4" t="n">
        <f aca="false">D289+G289+J289+K289</f>
        <v>864</v>
      </c>
      <c r="R289" s="4" t="n">
        <f aca="false">IF(Assumptions!$B$14,Assumptions!$B$15*O289,0)</f>
        <v>23.9</v>
      </c>
      <c r="S289" s="4" t="n">
        <f aca="false">IF(Assumptions!$B$14,Assumptions!$B$16*P289,0)</f>
        <v>86</v>
      </c>
      <c r="T289" s="4" t="n">
        <f aca="false">IF(Assumptions!$B$14,Assumptions!$B$17*Q289,0)</f>
        <v>302.4</v>
      </c>
      <c r="U289" s="4" t="n">
        <f aca="false">O289+L289+R289</f>
        <v>270.4</v>
      </c>
      <c r="V289" s="4" t="n">
        <f aca="false">P289+M289+S289</f>
        <v>531</v>
      </c>
      <c r="W289" s="4" t="n">
        <f aca="false">Q289+N289+T289</f>
        <v>1188.9</v>
      </c>
      <c r="X289" s="4" t="n">
        <f aca="false">'City Data'!K289</f>
        <v>130</v>
      </c>
      <c r="Y289" s="4" t="n">
        <f aca="false">'City Data'!L289</f>
        <v>300</v>
      </c>
      <c r="Z289" s="4" t="n">
        <f aca="false">'City Data'!M289</f>
        <v>850</v>
      </c>
      <c r="AA289" s="4" t="n">
        <f aca="false">U289-X289</f>
        <v>140.4</v>
      </c>
      <c r="AB289" s="4" t="n">
        <f aca="false">V289-Y289</f>
        <v>231</v>
      </c>
      <c r="AC289" s="4" t="n">
        <f aca="false">W289-Z289</f>
        <v>338.9</v>
      </c>
      <c r="AD289" s="4" t="str">
        <f aca="false">IF(OR(AND(X289&lt;&gt;0,ABS(AA289)&gt;Assumptions!$B$18*X289),AND(Y289&lt;&gt;0,ABS(AB289)&gt;Assumptions!$B$18*Y289),AND(Z289&lt;&gt;0,ABS(AC289)&gt;Assumptions!$B$18*Z289)),"REVIEW","")</f>
        <v>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2026-07-20T22:11:23Z</dcterms:created>
  <dc:creator>openpyxl</dc:creator>
  <dc:description/>
  <dc:language>en-US</dc:language>
  <cp:lastModifiedBy/>
  <dcterms:modified xsi:type="dcterms:W3CDTF">2026-07-20T22:11:23Z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